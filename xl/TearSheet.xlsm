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64011"/>
  <mc:AlternateContent xmlns:mc="http://schemas.openxmlformats.org/markup-compatibility/2006">
    <mc:Choice Requires="x15">
      <x15ac:absPath xmlns:x15ac="http://schemas.microsoft.com/office/spreadsheetml/2010/11/ac" url="E:\"/>
    </mc:Choice>
  </mc:AlternateContent>
  <bookViews>
    <workbookView xWindow="0" yWindow="0" windowWidth="27795" windowHeight="11295" firstSheet="1" activeTab="1"/>
  </bookViews>
  <sheets>
    <sheet name="__snloffice" sheetId="5" r:id="rId1"/>
    <sheet name="Variables" sheetId="1" r:id="rId2"/>
    <sheet name="Progress" sheetId="216" r:id="rId3"/>
    <sheet name="SchD_1A_1" sheetId="3" r:id="rId4"/>
    <sheet name="Tear_Sheet" sheetId="28" r:id="rId5"/>
    <sheet name="OLD_MPL" sheetId="85" r:id="rId6"/>
    <sheet name="TEST_MPL2" sheetId="217" r:id="rId7"/>
    <sheet name="Flattened_Value_Staging" sheetId="23" r:id="rId8"/>
    <sheet name="Financials" sheetId="17" r:id="rId9"/>
    <sheet name="Prospect_List" sheetId="25" r:id="rId10"/>
    <sheet name="SchBA" sheetId="8" r:id="rId11"/>
    <sheet name="Single_Data" sheetId="4" r:id="rId12"/>
    <sheet name="___snlofficequeries" sheetId="19" r:id="rId13"/>
    <sheet name="__queryref" sheetId="21" r:id="rId14"/>
    <sheet name="Companies" sheetId="22" r:id="rId15"/>
    <sheet name="RunTimes" sheetId="215" r:id="rId16"/>
  </sheets>
  <functionGroups builtInGroupCount="18"/>
  <externalReferences>
    <externalReference r:id="rId17"/>
  </externalReferences>
  <definedNames>
    <definedName name="AUM_THRESHOLD">Variables!$B$15</definedName>
    <definedName name="COMPANY_GENERAL">__queryref!$B$12</definedName>
    <definedName name="COMPANY_NAME">Variables!$B$5</definedName>
    <definedName name="FILER_TYPE">Variables!$B$11</definedName>
    <definedName name="FLAT_VALUE_STAGE">Flattened_Value_Staging!$A$2:$GO$2</definedName>
    <definedName name="HEALTH_BOOL">Variables!$B$12</definedName>
    <definedName name="INSTITUTION_KEY">Variables!$B$39</definedName>
    <definedName name="LIFE_BOOL">Variables!$B$13</definedName>
    <definedName name="LINE_TYPE">Variables!$B$16</definedName>
    <definedName name="PC_BOOL">Variables!$B$14</definedName>
    <definedName name="snlquery__1190A2BC_919C_408F_88CD_AEAF851C4485_" localSheetId="14" hidden="1">Companies!$A$1,Companies!$A$3:$D$16</definedName>
    <definedName name="STAT_KEY">Variables!$B$4</definedName>
  </definedNames>
  <calcPr calcId="162913"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P2" i="23" l="1"/>
  <c r="JO2" i="23"/>
  <c r="JN2" i="23"/>
  <c r="JM2" i="23"/>
  <c r="JL2" i="23"/>
  <c r="JK2" i="23"/>
  <c r="JJ2" i="23"/>
  <c r="JI2" i="23"/>
  <c r="JH2" i="23"/>
  <c r="JG2" i="23"/>
  <c r="JF2" i="23"/>
  <c r="JE2" i="23"/>
  <c r="JD2" i="23"/>
  <c r="JC2" i="23"/>
  <c r="JB2" i="23"/>
  <c r="JA2" i="23"/>
  <c r="IZ2" i="23"/>
  <c r="IY2" i="23"/>
  <c r="IX2" i="23"/>
  <c r="IW2" i="23"/>
  <c r="IV2" i="23"/>
  <c r="IU2" i="23"/>
  <c r="IT2" i="23"/>
  <c r="IS2" i="23"/>
  <c r="IR2" i="23"/>
  <c r="IQ2" i="23"/>
  <c r="IP2" i="23"/>
  <c r="IO2" i="23"/>
  <c r="IN2" i="23"/>
  <c r="IM2" i="23"/>
  <c r="IL2" i="23"/>
  <c r="IK2" i="23"/>
  <c r="IJ2" i="23"/>
  <c r="II2" i="23"/>
  <c r="IH2" i="23"/>
  <c r="IG2" i="23"/>
  <c r="IF2" i="23"/>
  <c r="IE2" i="23"/>
  <c r="ID2" i="23"/>
  <c r="IC2" i="23"/>
  <c r="IB2" i="23"/>
  <c r="IA2" i="23"/>
  <c r="HZ2" i="23"/>
  <c r="HY2" i="23"/>
  <c r="HX2" i="23"/>
  <c r="HW2" i="23"/>
  <c r="HV2" i="23"/>
  <c r="HU2" i="23"/>
  <c r="HT2" i="23"/>
  <c r="HS2" i="23"/>
  <c r="HR2" i="23"/>
  <c r="HQ2" i="23"/>
  <c r="HP2" i="23"/>
  <c r="HO2" i="23"/>
  <c r="HN2" i="23"/>
  <c r="HM2" i="23"/>
  <c r="HL2" i="23"/>
  <c r="HK2" i="23"/>
  <c r="HJ2" i="23"/>
  <c r="HI2" i="23"/>
  <c r="HH2" i="23"/>
  <c r="HG2" i="23"/>
  <c r="HF2" i="23"/>
  <c r="HE2" i="23"/>
  <c r="HD2" i="23"/>
  <c r="HC2" i="23"/>
  <c r="HB2" i="23"/>
  <c r="HA2" i="23"/>
  <c r="GZ2" i="23"/>
  <c r="GY2" i="23"/>
  <c r="GX2" i="23"/>
  <c r="GW2" i="23"/>
  <c r="GV2" i="23"/>
  <c r="GU2" i="23"/>
  <c r="GT2" i="23"/>
  <c r="GS2" i="23"/>
  <c r="GR2" i="23"/>
  <c r="GQ2" i="23"/>
  <c r="GP2" i="23"/>
  <c r="GO2" i="23"/>
  <c r="GN2" i="23"/>
  <c r="GM2" i="23"/>
  <c r="GL2" i="23"/>
  <c r="GK2" i="23"/>
  <c r="GJ2" i="23"/>
  <c r="GI2" i="23"/>
  <c r="GH2" i="23"/>
  <c r="GG2" i="23"/>
  <c r="GF2" i="23"/>
  <c r="GE2" i="23"/>
  <c r="GD2" i="23"/>
  <c r="GC2" i="23"/>
  <c r="GB2" i="23"/>
  <c r="GA2" i="23"/>
  <c r="FZ2" i="23"/>
  <c r="FY2" i="23"/>
  <c r="FX2" i="23"/>
  <c r="FW2" i="23"/>
  <c r="FV2" i="23"/>
  <c r="FU2" i="23"/>
  <c r="FT2" i="23"/>
  <c r="FS2" i="23"/>
  <c r="FR2" i="23"/>
  <c r="FQ2" i="23"/>
  <c r="FP2" i="23"/>
  <c r="FO2" i="23"/>
  <c r="FN2" i="23"/>
  <c r="FM2" i="23"/>
  <c r="FL2" i="23"/>
  <c r="FK2" i="23"/>
  <c r="FJ2" i="23"/>
  <c r="FI2" i="23"/>
  <c r="FH2" i="23"/>
  <c r="FG2" i="23"/>
  <c r="FF2" i="23"/>
  <c r="FE2" i="23"/>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Z2" i="23"/>
  <c r="DY2" i="23"/>
  <c r="DX2" i="23"/>
  <c r="DW2" i="23"/>
  <c r="DV2" i="23"/>
  <c r="DU2" i="23"/>
  <c r="DT2" i="23"/>
  <c r="DS2" i="23"/>
  <c r="DR2" i="23"/>
  <c r="DQ2" i="23"/>
  <c r="DP2" i="23"/>
  <c r="DO2" i="23"/>
  <c r="DN2" i="23"/>
  <c r="DM2" i="23"/>
  <c r="DL2" i="23"/>
  <c r="DK2" i="23"/>
  <c r="DJ2" i="23"/>
  <c r="DI2" i="23"/>
  <c r="DH2" i="23"/>
  <c r="DG2" i="23"/>
  <c r="DF2" i="23"/>
  <c r="DE2" i="23"/>
  <c r="DD2" i="23"/>
  <c r="DC2" i="23"/>
  <c r="DB2" i="23"/>
  <c r="DA2" i="23"/>
  <c r="CZ2" i="23"/>
  <c r="CY2" i="23"/>
  <c r="CX2" i="23"/>
  <c r="CW2" i="23"/>
  <c r="CV2" i="23"/>
  <c r="CU2" i="23"/>
  <c r="CT2" i="23"/>
  <c r="CS2" i="23"/>
  <c r="CR2" i="23"/>
  <c r="CQ2" i="23"/>
  <c r="CP2" i="23"/>
  <c r="CO2" i="23"/>
  <c r="CN2" i="23"/>
  <c r="CM2" i="23"/>
  <c r="CL2" i="23"/>
  <c r="CK2" i="23"/>
  <c r="CJ2" i="23"/>
  <c r="CI2" i="23"/>
  <c r="CH2" i="23"/>
  <c r="CG2" i="23"/>
  <c r="CF2" i="23"/>
  <c r="CE2" i="23"/>
  <c r="CD2" i="23"/>
  <c r="CC2" i="23"/>
  <c r="CB2" i="23"/>
  <c r="CA2" i="23"/>
  <c r="BZ2" i="23"/>
  <c r="BY2" i="23"/>
  <c r="BX2" i="23"/>
  <c r="BW2" i="23"/>
  <c r="BV2" i="23"/>
  <c r="BU2" i="23"/>
  <c r="BT2" i="23"/>
  <c r="BS2" i="23"/>
  <c r="BR2" i="23"/>
  <c r="BQ2" i="23"/>
  <c r="BP2" i="23"/>
  <c r="BO2" i="23"/>
  <c r="BN2" i="23"/>
  <c r="BM2" i="23"/>
  <c r="BL2" i="23"/>
  <c r="BK2" i="23"/>
  <c r="BJ2" i="23"/>
  <c r="BI2" i="23"/>
  <c r="BH2" i="23"/>
  <c r="BG2" i="23"/>
  <c r="BF2" i="23"/>
  <c r="BE2" i="23"/>
  <c r="BD2" i="23"/>
  <c r="BC2" i="23"/>
  <c r="BB2" i="23"/>
  <c r="BA2" i="23"/>
  <c r="AZ2" i="23"/>
  <c r="AY2" i="23"/>
  <c r="AX2" i="23"/>
  <c r="AW2" i="23"/>
  <c r="AV2" i="23"/>
  <c r="AU2" i="23"/>
  <c r="AT2" i="23"/>
  <c r="AS2" i="23"/>
  <c r="AR2" i="23"/>
  <c r="AQ2" i="23"/>
  <c r="AP2" i="23"/>
  <c r="AO2" i="23"/>
  <c r="AN2" i="23"/>
  <c r="AM2" i="23"/>
  <c r="AL2" i="23"/>
  <c r="AK2"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2" i="23"/>
  <c r="JP1" i="23"/>
  <c r="JO1" i="23"/>
  <c r="JN1" i="23"/>
  <c r="JM1" i="23"/>
  <c r="JL1" i="23"/>
  <c r="JK1" i="23"/>
  <c r="JJ1" i="23"/>
  <c r="JI1" i="23"/>
  <c r="JH1" i="23"/>
  <c r="JG1" i="23"/>
  <c r="JF1" i="23"/>
  <c r="JE1" i="23"/>
  <c r="JD1" i="23"/>
  <c r="JC1" i="23"/>
  <c r="JB1" i="23"/>
  <c r="JA1" i="23"/>
  <c r="IZ1" i="23"/>
  <c r="IY1" i="23"/>
  <c r="IX1" i="23"/>
  <c r="IW1" i="23"/>
  <c r="IV1" i="23"/>
  <c r="IU1" i="23"/>
  <c r="IT1" i="23"/>
  <c r="IS1" i="23"/>
  <c r="IR1" i="23"/>
  <c r="IQ1" i="23"/>
  <c r="IP1" i="23"/>
  <c r="IO1" i="23"/>
  <c r="IN1" i="23"/>
  <c r="IM1" i="23"/>
  <c r="IL1" i="23"/>
  <c r="IK1" i="23"/>
  <c r="IJ1" i="23"/>
  <c r="II1" i="23"/>
  <c r="IH1" i="23"/>
  <c r="IG1" i="23"/>
  <c r="IF1" i="23"/>
  <c r="IE1" i="23"/>
  <c r="ID1" i="23"/>
  <c r="IC1" i="23"/>
  <c r="IB1" i="23"/>
  <c r="IA1" i="23"/>
  <c r="HZ1" i="23"/>
  <c r="HY1" i="23"/>
  <c r="HX1" i="23"/>
  <c r="HW1" i="23"/>
  <c r="HV1" i="23"/>
  <c r="HU1" i="23"/>
  <c r="HT1" i="23"/>
  <c r="HS1" i="23"/>
  <c r="HR1" i="23"/>
  <c r="HQ1" i="23"/>
  <c r="HP1" i="23"/>
  <c r="HO1" i="23"/>
  <c r="HN1" i="23"/>
  <c r="HM1" i="23"/>
  <c r="HL1" i="23"/>
  <c r="HK1" i="23"/>
  <c r="HJ1" i="23"/>
  <c r="HI1" i="23"/>
  <c r="HH1" i="23"/>
  <c r="HG1" i="23"/>
  <c r="HF1" i="23"/>
  <c r="HE1" i="23"/>
  <c r="HD1" i="23"/>
  <c r="HC1" i="23"/>
  <c r="HB1" i="23"/>
  <c r="HA1" i="23"/>
  <c r="GZ1" i="23"/>
  <c r="GY1" i="23"/>
  <c r="GX1" i="23"/>
  <c r="GW1" i="23"/>
  <c r="GV1" i="23"/>
  <c r="GU1" i="23"/>
  <c r="GT1" i="23"/>
  <c r="GS1" i="23"/>
  <c r="GR1" i="23"/>
  <c r="GQ1" i="23"/>
  <c r="GP1" i="23"/>
  <c r="GO1" i="23"/>
  <c r="GN1" i="23"/>
  <c r="GM1" i="23"/>
  <c r="GL1" i="23"/>
  <c r="GK1" i="23"/>
  <c r="GJ1" i="23"/>
  <c r="GI1" i="23"/>
  <c r="GH1" i="23"/>
  <c r="GG1" i="23"/>
  <c r="GF1" i="23"/>
  <c r="GE1" i="23"/>
  <c r="GD1" i="23"/>
  <c r="GC1" i="23"/>
  <c r="GB1" i="23"/>
  <c r="GA1" i="23"/>
  <c r="FZ1" i="23"/>
  <c r="FY1" i="23"/>
  <c r="FX1" i="23"/>
  <c r="FW1" i="23"/>
  <c r="FV1" i="23"/>
  <c r="FU1" i="23"/>
  <c r="FT1" i="23"/>
  <c r="FS1" i="23"/>
  <c r="FR1" i="23"/>
  <c r="FQ1" i="23"/>
  <c r="FP1" i="23"/>
  <c r="FO1" i="23"/>
  <c r="FN1" i="23"/>
  <c r="FM1" i="23"/>
  <c r="FL1" i="23"/>
  <c r="FK1" i="23"/>
  <c r="FJ1" i="23"/>
  <c r="FI1" i="23"/>
  <c r="FH1" i="23"/>
  <c r="FG1" i="23"/>
  <c r="FF1" i="23"/>
  <c r="FE1" i="23"/>
  <c r="FD1" i="23"/>
  <c r="FC1" i="23"/>
  <c r="FB1" i="23"/>
  <c r="FA1" i="23"/>
  <c r="EZ1" i="23"/>
  <c r="EY1" i="23"/>
  <c r="EX1" i="23"/>
  <c r="EW1" i="23"/>
  <c r="EV1" i="23"/>
  <c r="EU1" i="23"/>
  <c r="ET1" i="23"/>
  <c r="ES1" i="23"/>
  <c r="ER1" i="23"/>
  <c r="EQ1" i="23"/>
  <c r="EP1" i="23"/>
  <c r="EO1" i="23"/>
  <c r="EN1" i="23"/>
  <c r="EM1" i="23"/>
  <c r="EL1" i="23"/>
  <c r="EK1" i="23"/>
  <c r="EJ1" i="23"/>
  <c r="EI1" i="23"/>
  <c r="EH1" i="23"/>
  <c r="EG1" i="23"/>
  <c r="EF1" i="23"/>
  <c r="EE1" i="23"/>
  <c r="ED1" i="23"/>
  <c r="EC1" i="23"/>
  <c r="EB1" i="23"/>
  <c r="EA1" i="23"/>
  <c r="DZ1" i="23"/>
  <c r="DY1" i="23"/>
  <c r="DX1" i="23"/>
  <c r="DW1" i="23"/>
  <c r="DV1" i="23"/>
  <c r="DU1" i="23"/>
  <c r="DT1" i="23"/>
  <c r="DS1" i="23"/>
  <c r="DR1" i="23"/>
  <c r="DQ1" i="23"/>
  <c r="DP1" i="23"/>
  <c r="DO1" i="23"/>
  <c r="DN1" i="23"/>
  <c r="DM1" i="23"/>
  <c r="DL1" i="23"/>
  <c r="DK1" i="23"/>
  <c r="DJ1" i="23"/>
  <c r="DI1" i="23"/>
  <c r="DH1" i="23"/>
  <c r="DG1" i="23"/>
  <c r="DF1" i="23"/>
  <c r="DE1" i="23"/>
  <c r="DD1" i="23"/>
  <c r="DC1" i="23"/>
  <c r="DB1" i="23"/>
  <c r="DA1" i="23"/>
  <c r="CZ1" i="23"/>
  <c r="CY1" i="23"/>
  <c r="CX1" i="23"/>
  <c r="CW1" i="23"/>
  <c r="CV1" i="23"/>
  <c r="CU1" i="23"/>
  <c r="CT1" i="23"/>
  <c r="CS1" i="23"/>
  <c r="CR1" i="23"/>
  <c r="CQ1" i="23"/>
  <c r="CP1" i="23"/>
  <c r="CO1" i="23"/>
  <c r="CN1" i="23"/>
  <c r="CM1" i="23"/>
  <c r="CL1" i="23"/>
  <c r="CK1" i="23"/>
  <c r="CJ1" i="23"/>
  <c r="CI1" i="23"/>
  <c r="CH1" i="23"/>
  <c r="CG1" i="23"/>
  <c r="CF1" i="23"/>
  <c r="CE1" i="23"/>
  <c r="CD1" i="23"/>
  <c r="CC1" i="23"/>
  <c r="CB1" i="23"/>
  <c r="CA1" i="23"/>
  <c r="BZ1" i="23"/>
  <c r="BY1" i="23"/>
  <c r="BX1" i="23"/>
  <c r="BW1" i="23"/>
  <c r="BV1" i="23"/>
  <c r="BU1" i="23"/>
  <c r="BT1" i="23"/>
  <c r="BS1" i="23"/>
  <c r="BR1" i="23"/>
  <c r="BQ1" i="23"/>
  <c r="BP1" i="23"/>
  <c r="BO1" i="23"/>
  <c r="BN1" i="23"/>
  <c r="BM1" i="23"/>
  <c r="BL1" i="23"/>
  <c r="BK1" i="23"/>
  <c r="BJ1" i="23"/>
  <c r="BI1" i="23"/>
  <c r="BH1" i="23"/>
  <c r="BG1" i="23"/>
  <c r="BF1" i="23"/>
  <c r="BE1" i="23"/>
  <c r="BD1" i="23"/>
  <c r="BC1" i="23"/>
  <c r="BB1" i="23"/>
  <c r="BA1" i="23"/>
  <c r="AZ1" i="23"/>
  <c r="AY1" i="23"/>
  <c r="AX1" i="23"/>
  <c r="AW1" i="23"/>
  <c r="AV1" i="23"/>
  <c r="AU1" i="23"/>
  <c r="AT1" i="23"/>
  <c r="AS1" i="23"/>
  <c r="AR1" i="23"/>
  <c r="AQ1" i="23"/>
  <c r="AP1" i="23"/>
  <c r="AO1" i="23"/>
  <c r="AN1" i="23"/>
  <c r="AM1" i="23"/>
  <c r="AL1" i="23"/>
  <c r="AK1"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1" i="23"/>
  <c r="JP2" i="25"/>
  <c r="JO2" i="25"/>
  <c r="JN2" i="25"/>
  <c r="JM2" i="25"/>
  <c r="JL2" i="25"/>
  <c r="JK2" i="25"/>
  <c r="JJ2" i="25"/>
  <c r="JI2" i="25"/>
  <c r="JH2" i="25"/>
  <c r="JG2" i="25"/>
  <c r="JF2" i="25"/>
  <c r="JE2" i="25"/>
  <c r="JD2" i="25"/>
  <c r="JC2" i="25"/>
  <c r="JB2" i="25"/>
  <c r="JA2" i="25"/>
  <c r="IZ2" i="25"/>
  <c r="IY2" i="25"/>
  <c r="IX2" i="25"/>
  <c r="IW2" i="25"/>
  <c r="IV2" i="25"/>
  <c r="IU2" i="25"/>
  <c r="IT2" i="25"/>
  <c r="IS2" i="25"/>
  <c r="IR2" i="25"/>
  <c r="IQ2" i="25"/>
  <c r="IP2" i="25"/>
  <c r="IO2" i="25"/>
  <c r="IN2" i="25"/>
  <c r="IM2" i="25"/>
  <c r="IL2" i="25"/>
  <c r="IK2" i="25"/>
  <c r="IJ2" i="25"/>
  <c r="II2" i="25"/>
  <c r="IH2" i="25"/>
  <c r="IG2" i="25"/>
  <c r="IF2" i="25"/>
  <c r="IE2" i="25"/>
  <c r="ID2" i="25"/>
  <c r="IC2" i="25"/>
  <c r="IB2" i="25"/>
  <c r="IA2" i="25"/>
  <c r="HZ2" i="25"/>
  <c r="HY2" i="25"/>
  <c r="HX2" i="25"/>
  <c r="HW2" i="25"/>
  <c r="HV2" i="25"/>
  <c r="HU2" i="25"/>
  <c r="HT2" i="25"/>
  <c r="HS2" i="25"/>
  <c r="HR2" i="25"/>
  <c r="HQ2" i="25"/>
  <c r="HP2" i="25"/>
  <c r="HO2" i="25"/>
  <c r="HN2" i="25"/>
  <c r="HM2" i="25"/>
  <c r="HL2" i="25"/>
  <c r="HK2" i="25"/>
  <c r="HJ2" i="25"/>
  <c r="HI2" i="25"/>
  <c r="HH2" i="25"/>
  <c r="HG2" i="25"/>
  <c r="HF2" i="25"/>
  <c r="HE2" i="25"/>
  <c r="HD2" i="25"/>
  <c r="HC2" i="25"/>
  <c r="HB2" i="25"/>
  <c r="HA2" i="25"/>
  <c r="GZ2" i="25"/>
  <c r="GY2" i="25"/>
  <c r="GX2" i="25"/>
  <c r="GW2" i="25"/>
  <c r="GV2" i="25"/>
  <c r="GU2" i="25"/>
  <c r="GT2" i="25"/>
  <c r="GS2" i="25"/>
  <c r="GR2" i="25"/>
  <c r="GQ2" i="25"/>
  <c r="GP2" i="25"/>
  <c r="GO2" i="25"/>
  <c r="GN2" i="25"/>
  <c r="GM2" i="25"/>
  <c r="GL2" i="25"/>
  <c r="GK2" i="25"/>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X2" i="25"/>
  <c r="W2" i="25"/>
  <c r="V2" i="25"/>
  <c r="U2" i="25"/>
  <c r="T2" i="25"/>
  <c r="S2" i="25"/>
  <c r="R2" i="25"/>
  <c r="Q2" i="25"/>
  <c r="P2" i="25"/>
  <c r="O2" i="25"/>
  <c r="N2" i="25"/>
  <c r="M2" i="25"/>
  <c r="L2" i="25"/>
  <c r="K2" i="25"/>
  <c r="J2" i="25"/>
  <c r="I2" i="25"/>
  <c r="H2" i="25"/>
  <c r="G2" i="25"/>
  <c r="F2" i="25"/>
  <c r="E2" i="25"/>
  <c r="D2" i="25"/>
  <c r="C2" i="25"/>
  <c r="B2" i="25"/>
  <c r="A2" i="25"/>
  <c r="JP1" i="25"/>
  <c r="JO1" i="25"/>
  <c r="JN1" i="25"/>
  <c r="JM1" i="25"/>
  <c r="JL1" i="25"/>
  <c r="JK1" i="25"/>
  <c r="JJ1" i="25"/>
  <c r="JI1" i="25"/>
  <c r="JH1" i="25"/>
  <c r="JG1" i="25"/>
  <c r="JF1" i="25"/>
  <c r="JE1" i="25"/>
  <c r="JD1" i="25"/>
  <c r="JC1" i="25"/>
  <c r="JB1" i="25"/>
  <c r="JA1" i="25"/>
  <c r="IZ1" i="25"/>
  <c r="IY1" i="25"/>
  <c r="IX1" i="25"/>
  <c r="IW1" i="25"/>
  <c r="IV1" i="25"/>
  <c r="IU1" i="25"/>
  <c r="IT1" i="25"/>
  <c r="IS1" i="25"/>
  <c r="IR1" i="25"/>
  <c r="IQ1" i="25"/>
  <c r="IP1" i="25"/>
  <c r="IO1" i="25"/>
  <c r="IN1" i="25"/>
  <c r="IM1" i="25"/>
  <c r="IL1" i="25"/>
  <c r="IK1" i="25"/>
  <c r="IJ1" i="25"/>
  <c r="II1" i="25"/>
  <c r="IH1" i="25"/>
  <c r="IG1" i="25"/>
  <c r="IF1" i="25"/>
  <c r="IE1" i="25"/>
  <c r="ID1" i="25"/>
  <c r="IC1" i="25"/>
  <c r="IB1" i="25"/>
  <c r="IA1" i="25"/>
  <c r="HZ1" i="25"/>
  <c r="HY1" i="25"/>
  <c r="HX1" i="25"/>
  <c r="HW1" i="25"/>
  <c r="HV1" i="25"/>
  <c r="HU1" i="25"/>
  <c r="HT1" i="25"/>
  <c r="HS1" i="25"/>
  <c r="HR1" i="25"/>
  <c r="HQ1" i="25"/>
  <c r="HP1" i="25"/>
  <c r="HO1" i="25"/>
  <c r="HN1" i="25"/>
  <c r="HM1" i="25"/>
  <c r="HL1" i="25"/>
  <c r="HK1" i="25"/>
  <c r="HJ1" i="25"/>
  <c r="HI1" i="25"/>
  <c r="HH1" i="25"/>
  <c r="HG1" i="25"/>
  <c r="HF1" i="25"/>
  <c r="HE1" i="25"/>
  <c r="HD1" i="25"/>
  <c r="HC1" i="25"/>
  <c r="HB1" i="25"/>
  <c r="HA1" i="25"/>
  <c r="GZ1" i="25"/>
  <c r="GY1" i="25"/>
  <c r="GX1" i="25"/>
  <c r="GW1" i="25"/>
  <c r="GV1" i="25"/>
  <c r="GU1" i="25"/>
  <c r="GT1" i="25"/>
  <c r="GS1" i="25"/>
  <c r="GR1" i="25"/>
  <c r="GQ1" i="25"/>
  <c r="GP1" i="25"/>
  <c r="GO1" i="25"/>
  <c r="GN1" i="25"/>
  <c r="GM1" i="25"/>
  <c r="GL1" i="25"/>
  <c r="GK1" i="25"/>
  <c r="GJ1" i="25"/>
  <c r="GI1" i="25"/>
  <c r="GH1" i="25"/>
  <c r="GG1" i="25"/>
  <c r="GF1" i="25"/>
  <c r="GE1" i="25"/>
  <c r="GD1" i="25"/>
  <c r="GC1" i="25"/>
  <c r="GB1" i="25"/>
  <c r="GA1" i="25"/>
  <c r="FZ1" i="25"/>
  <c r="FY1" i="25"/>
  <c r="FX1" i="25"/>
  <c r="FW1" i="25"/>
  <c r="FV1" i="25"/>
  <c r="FU1" i="25"/>
  <c r="FT1" i="25"/>
  <c r="FS1" i="25"/>
  <c r="FR1" i="25"/>
  <c r="FQ1" i="25"/>
  <c r="FP1" i="25"/>
  <c r="FO1" i="25"/>
  <c r="FN1" i="25"/>
  <c r="FM1" i="25"/>
  <c r="FL1" i="25"/>
  <c r="FK1" i="25"/>
  <c r="FJ1" i="25"/>
  <c r="FI1" i="25"/>
  <c r="FH1" i="25"/>
  <c r="FG1" i="25"/>
  <c r="FF1" i="25"/>
  <c r="FE1" i="25"/>
  <c r="FD1" i="25"/>
  <c r="FC1" i="25"/>
  <c r="FB1" i="25"/>
  <c r="FA1" i="25"/>
  <c r="EZ1" i="25"/>
  <c r="EY1" i="25"/>
  <c r="EX1" i="25"/>
  <c r="EW1" i="25"/>
  <c r="EV1" i="25"/>
  <c r="EU1" i="25"/>
  <c r="ET1" i="25"/>
  <c r="ES1" i="25"/>
  <c r="ER1" i="25"/>
  <c r="EQ1" i="25"/>
  <c r="EP1" i="25"/>
  <c r="EO1" i="25"/>
  <c r="EN1" i="25"/>
  <c r="EM1" i="25"/>
  <c r="EL1" i="25"/>
  <c r="EK1" i="25"/>
  <c r="EJ1" i="25"/>
  <c r="EI1" i="25"/>
  <c r="EH1" i="25"/>
  <c r="EG1" i="25"/>
  <c r="EF1" i="25"/>
  <c r="EE1" i="25"/>
  <c r="ED1" i="25"/>
  <c r="EC1" i="25"/>
  <c r="EB1" i="25"/>
  <c r="EA1" i="25"/>
  <c r="DZ1" i="25"/>
  <c r="DY1" i="25"/>
  <c r="DX1" i="25"/>
  <c r="DW1" i="25"/>
  <c r="DV1" i="25"/>
  <c r="DU1" i="25"/>
  <c r="DT1" i="25"/>
  <c r="DS1" i="25"/>
  <c r="DR1" i="25"/>
  <c r="DQ1" i="25"/>
  <c r="DP1" i="25"/>
  <c r="DO1" i="25"/>
  <c r="DN1" i="25"/>
  <c r="DM1" i="25"/>
  <c r="DL1" i="25"/>
  <c r="DK1" i="25"/>
  <c r="DJ1" i="25"/>
  <c r="DI1" i="25"/>
  <c r="DH1" i="25"/>
  <c r="DG1" i="25"/>
  <c r="DF1" i="25"/>
  <c r="DE1" i="25"/>
  <c r="DD1" i="25"/>
  <c r="DC1" i="25"/>
  <c r="DB1" i="25"/>
  <c r="DA1" i="25"/>
  <c r="CZ1" i="25"/>
  <c r="CY1" i="25"/>
  <c r="CX1" i="25"/>
  <c r="CW1" i="25"/>
  <c r="CV1" i="25"/>
  <c r="CU1" i="25"/>
  <c r="CT1" i="25"/>
  <c r="CS1" i="25"/>
  <c r="CR1" i="25"/>
  <c r="CQ1" i="25"/>
  <c r="CP1" i="25"/>
  <c r="CO1" i="25"/>
  <c r="CN1" i="25"/>
  <c r="CM1" i="25"/>
  <c r="CL1" i="25"/>
  <c r="CK1" i="25"/>
  <c r="CJ1" i="25"/>
  <c r="CI1" i="25"/>
  <c r="CH1" i="25"/>
  <c r="CG1" i="25"/>
  <c r="CF1" i="25"/>
  <c r="CE1" i="25"/>
  <c r="CD1" i="25"/>
  <c r="CC1" i="25"/>
  <c r="CB1" i="25"/>
  <c r="CA1" i="25"/>
  <c r="BZ1" i="25"/>
  <c r="BY1" i="25"/>
  <c r="BX1" i="25"/>
  <c r="BW1" i="25"/>
  <c r="BV1" i="25"/>
  <c r="BU1" i="25"/>
  <c r="BT1" i="25"/>
  <c r="BS1" i="25"/>
  <c r="BR1" i="25"/>
  <c r="BQ1" i="25"/>
  <c r="BP1" i="25"/>
  <c r="BO1" i="25"/>
  <c r="BN1" i="25"/>
  <c r="BM1" i="25"/>
  <c r="BL1" i="25"/>
  <c r="BK1" i="25"/>
  <c r="BJ1" i="25"/>
  <c r="BI1" i="25"/>
  <c r="BH1" i="25"/>
  <c r="BG1" i="25"/>
  <c r="BF1" i="25"/>
  <c r="BE1" i="25"/>
  <c r="BD1" i="25"/>
  <c r="BC1" i="25"/>
  <c r="BB1" i="25"/>
  <c r="BA1" i="25"/>
  <c r="AZ1" i="25"/>
  <c r="AY1" i="25"/>
  <c r="AX1" i="25"/>
  <c r="AW1" i="25"/>
  <c r="AV1" i="25"/>
  <c r="AU1" i="25"/>
  <c r="AT1" i="25"/>
  <c r="AS1" i="25"/>
  <c r="AR1" i="25"/>
  <c r="AQ1" i="25"/>
  <c r="AP1" i="25"/>
  <c r="AO1" i="25"/>
  <c r="AN1"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A1" i="25"/>
  <c r="C3" i="22"/>
  <c r="D20" i="4"/>
  <c r="A20" i="4"/>
  <c r="A24" i="4"/>
  <c r="B9" i="17"/>
  <c r="B13" i="17"/>
  <c r="B17" i="17"/>
  <c r="B21" i="17"/>
  <c r="B25" i="17"/>
  <c r="B29" i="17"/>
  <c r="B36" i="17"/>
  <c r="B40" i="17"/>
  <c r="B44" i="17"/>
  <c r="D3" i="22"/>
  <c r="D21" i="4"/>
  <c r="A21" i="4"/>
  <c r="A25" i="4"/>
  <c r="B10" i="17"/>
  <c r="B14" i="17"/>
  <c r="B18" i="17"/>
  <c r="B22" i="17"/>
  <c r="B26" i="17"/>
  <c r="B30" i="17"/>
  <c r="B33" i="17"/>
  <c r="B37" i="17"/>
  <c r="B41" i="17"/>
  <c r="B45" i="17"/>
  <c r="D23" i="4"/>
  <c r="A23" i="4"/>
  <c r="B8" i="17"/>
  <c r="B12" i="17"/>
  <c r="B16" i="17"/>
  <c r="B20" i="17"/>
  <c r="B24" i="17"/>
  <c r="B28" i="17"/>
  <c r="B35" i="17"/>
  <c r="B15" i="17"/>
  <c r="B31" i="17"/>
  <c r="B39" i="17"/>
  <c r="B47" i="17"/>
  <c r="B52" i="17"/>
  <c r="B57" i="17"/>
  <c r="B61" i="17"/>
  <c r="B65" i="17"/>
  <c r="C6" i="217"/>
  <c r="C4" i="85"/>
  <c r="C8" i="85"/>
  <c r="C12" i="85"/>
  <c r="C16" i="85"/>
  <c r="C20" i="85"/>
  <c r="C24" i="85"/>
  <c r="C28" i="85"/>
  <c r="C32" i="85"/>
  <c r="C36" i="85"/>
  <c r="C40" i="85"/>
  <c r="C44" i="85"/>
  <c r="C48" i="85"/>
  <c r="C53" i="85"/>
  <c r="C57" i="85"/>
  <c r="C61" i="85"/>
  <c r="C65" i="85"/>
  <c r="C69" i="85"/>
  <c r="C73" i="85"/>
  <c r="C77" i="85"/>
  <c r="C81" i="85"/>
  <c r="C86" i="85"/>
  <c r="C90" i="85"/>
  <c r="C94" i="85"/>
  <c r="C98" i="85"/>
  <c r="C102" i="85"/>
  <c r="C106" i="85"/>
  <c r="C110" i="85"/>
  <c r="C114" i="85"/>
  <c r="C120" i="85"/>
  <c r="D22" i="4"/>
  <c r="B19" i="17"/>
  <c r="B42" i="17"/>
  <c r="B53" i="17"/>
  <c r="B58" i="17"/>
  <c r="B62" i="17"/>
  <c r="B66" i="17"/>
  <c r="C3" i="217"/>
  <c r="C1" i="85"/>
  <c r="C5" i="85"/>
  <c r="C9" i="85"/>
  <c r="C13" i="85"/>
  <c r="C17" i="85"/>
  <c r="C21" i="85"/>
  <c r="C25" i="85"/>
  <c r="C29" i="85"/>
  <c r="C33" i="85"/>
  <c r="C37" i="85"/>
  <c r="C41" i="85"/>
  <c r="C45" i="85"/>
  <c r="C49" i="85"/>
  <c r="C54" i="85"/>
  <c r="C58" i="85"/>
  <c r="C62" i="85"/>
  <c r="C66" i="85"/>
  <c r="C70" i="85"/>
  <c r="C74" i="85"/>
  <c r="C78" i="85"/>
  <c r="C82" i="85"/>
  <c r="C87" i="85"/>
  <c r="C91" i="85"/>
  <c r="C95" i="85"/>
  <c r="C99" i="85"/>
  <c r="C103" i="85"/>
  <c r="C107" i="85"/>
  <c r="C111" i="85"/>
  <c r="C117" i="85"/>
  <c r="C121" i="85"/>
  <c r="A22" i="4"/>
  <c r="B11" i="17"/>
  <c r="B27" i="17"/>
  <c r="B38" i="17"/>
  <c r="B46" i="17"/>
  <c r="B50" i="17"/>
  <c r="B56" i="17"/>
  <c r="B60" i="17"/>
  <c r="B64" i="17"/>
  <c r="C5" i="217"/>
  <c r="C3" i="85"/>
  <c r="C7" i="85"/>
  <c r="C11" i="85"/>
  <c r="C15" i="85"/>
  <c r="C19" i="85"/>
  <c r="C23" i="85"/>
  <c r="C27" i="85"/>
  <c r="C31" i="85"/>
  <c r="C35" i="85"/>
  <c r="C39" i="85"/>
  <c r="C43" i="85"/>
  <c r="C47" i="85"/>
  <c r="C51" i="85"/>
  <c r="C56" i="85"/>
  <c r="C60" i="85"/>
  <c r="C64" i="85"/>
  <c r="C68" i="85"/>
  <c r="C72" i="85"/>
  <c r="C76" i="85"/>
  <c r="C80" i="85"/>
  <c r="C85" i="85"/>
  <c r="C89" i="85"/>
  <c r="C93" i="85"/>
  <c r="C97" i="85"/>
  <c r="C101" i="85"/>
  <c r="C105" i="85"/>
  <c r="C109" i="85"/>
  <c r="C113" i="85"/>
  <c r="C119" i="85"/>
  <c r="B23" i="17"/>
  <c r="B67" i="17"/>
  <c r="C4" i="217"/>
  <c r="C14" i="85"/>
  <c r="C30" i="85"/>
  <c r="C46" i="85"/>
  <c r="C63" i="85"/>
  <c r="C79" i="85"/>
  <c r="C96" i="85"/>
  <c r="C112" i="85"/>
  <c r="A25" i="3"/>
  <c r="A35" i="3"/>
  <c r="A75" i="3"/>
  <c r="A85" i="3"/>
  <c r="B5" i="1"/>
  <c r="A1" i="22"/>
  <c r="B55" i="17"/>
  <c r="C2" i="85"/>
  <c r="C18" i="85"/>
  <c r="C34" i="85"/>
  <c r="C50" i="85"/>
  <c r="C67" i="85"/>
  <c r="C83" i="85"/>
  <c r="C100" i="85"/>
  <c r="C118" i="85"/>
  <c r="B6" i="1"/>
  <c r="B34" i="17"/>
  <c r="B49" i="17"/>
  <c r="B59" i="17"/>
  <c r="C6" i="85"/>
  <c r="C22" i="85"/>
  <c r="C38" i="85"/>
  <c r="C55" i="85"/>
  <c r="C71" i="85"/>
  <c r="C88" i="85"/>
  <c r="C104" i="85"/>
  <c r="C122" i="85"/>
  <c r="B7" i="17"/>
  <c r="B43" i="17"/>
  <c r="B63" i="17"/>
  <c r="C10" i="85"/>
  <c r="C26" i="85"/>
  <c r="C42" i="85"/>
  <c r="C59" i="85"/>
  <c r="C75" i="85"/>
  <c r="C92" i="85"/>
  <c r="C108" i="85"/>
  <c r="B39" i="1"/>
  <c r="B11" i="1"/>
  <c r="B10" i="19" l="1"/>
  <c r="AC26" i="8" l="1"/>
  <c r="AD26" i="8" s="1"/>
  <c r="AB26" i="8"/>
  <c r="Z26" i="8"/>
  <c r="X26" i="8"/>
  <c r="V26" i="8"/>
  <c r="T26" i="8"/>
  <c r="O105" i="28" l="1"/>
  <c r="L7" i="28" l="1"/>
  <c r="L6" i="28"/>
  <c r="L5" i="28"/>
  <c r="O91" i="28"/>
  <c r="B93" i="28" l="1"/>
  <c r="B129" i="28"/>
  <c r="F7" i="28"/>
  <c r="B115" i="28"/>
  <c r="B122" i="28"/>
  <c r="B102" i="28"/>
  <c r="B106" i="28"/>
  <c r="B120" i="28"/>
  <c r="F5" i="28"/>
  <c r="B103" i="28"/>
  <c r="B113" i="28"/>
  <c r="B101" i="28"/>
  <c r="B116" i="28"/>
  <c r="F6" i="28"/>
  <c r="B127" i="28"/>
  <c r="F8" i="28"/>
  <c r="B125" i="28"/>
  <c r="B96" i="28"/>
  <c r="B128" i="28"/>
  <c r="B112" i="28"/>
  <c r="B123" i="28"/>
  <c r="B107" i="28"/>
  <c r="B130" i="28"/>
  <c r="B114" i="28"/>
  <c r="B95" i="28"/>
  <c r="B111" i="28"/>
  <c r="B99" i="28"/>
  <c r="B118" i="28"/>
  <c r="B98" i="28"/>
  <c r="B117" i="28"/>
  <c r="B97" i="28"/>
  <c r="B109" i="28"/>
  <c r="B121" i="28"/>
  <c r="B92" i="28"/>
  <c r="B124" i="28"/>
  <c r="B108" i="28"/>
  <c r="B100" i="28"/>
  <c r="B119" i="28"/>
  <c r="B94" i="28"/>
  <c r="B126" i="28"/>
  <c r="B110" i="28"/>
  <c r="B80" i="28"/>
  <c r="B55" i="28"/>
  <c r="O54" i="28"/>
  <c r="O10" i="28" l="1"/>
  <c r="B38" i="28"/>
  <c r="B37" i="28"/>
  <c r="B35" i="28"/>
  <c r="B34" i="28"/>
  <c r="B33" i="28"/>
  <c r="B32" i="28"/>
  <c r="B31" i="28"/>
  <c r="B30" i="28"/>
  <c r="B29" i="28"/>
  <c r="B28" i="28"/>
  <c r="B27" i="28"/>
  <c r="B12" i="28"/>
  <c r="B11" i="28"/>
  <c r="B1" i="28" l="1"/>
  <c r="B8" i="21" l="1"/>
  <c r="B6" i="21"/>
  <c r="B4" i="21"/>
  <c r="B2" i="21"/>
  <c r="B14" i="1" l="1"/>
  <c r="B13" i="1"/>
  <c r="B12" i="1"/>
  <c r="B10" i="21"/>
  <c r="B12" i="21" s="1"/>
  <c r="B5" i="19" l="1"/>
  <c r="C28" i="8" l="1"/>
  <c r="B79" i="28" s="1"/>
  <c r="C27" i="8"/>
  <c r="B78" i="28" s="1"/>
  <c r="C26" i="8"/>
  <c r="B77" i="28" s="1"/>
  <c r="C25" i="8"/>
  <c r="B76" i="28" s="1"/>
  <c r="C24" i="8"/>
  <c r="B75" i="28" s="1"/>
  <c r="C23" i="8"/>
  <c r="B74" i="28" s="1"/>
  <c r="C22" i="8"/>
  <c r="B73" i="28" s="1"/>
  <c r="C21" i="8"/>
  <c r="B72" i="28" s="1"/>
  <c r="C20" i="8"/>
  <c r="B71" i="28" s="1"/>
  <c r="C19" i="8"/>
  <c r="B70" i="28" s="1"/>
  <c r="C18" i="8"/>
  <c r="B69" i="28" s="1"/>
  <c r="C17" i="8"/>
  <c r="B68" i="28" s="1"/>
  <c r="C16" i="8"/>
  <c r="B67" i="28" s="1"/>
  <c r="C15" i="8"/>
  <c r="B66" i="28" s="1"/>
  <c r="C14" i="8"/>
  <c r="B65" i="28" s="1"/>
  <c r="C13" i="8"/>
  <c r="B64" i="28" s="1"/>
  <c r="C12" i="8"/>
  <c r="B63" i="28" s="1"/>
  <c r="C11" i="8"/>
  <c r="B62" i="28" s="1"/>
  <c r="C10" i="8"/>
  <c r="B61" i="28" s="1"/>
  <c r="C9" i="8"/>
  <c r="B60" i="28" s="1"/>
  <c r="C8" i="8"/>
  <c r="B59" i="28" s="1"/>
  <c r="C7" i="8"/>
  <c r="B58" i="28" s="1"/>
  <c r="C6" i="8"/>
  <c r="B57" i="28" s="1"/>
  <c r="B1" i="3"/>
  <c r="AE28" i="8"/>
  <c r="AE27" i="8"/>
  <c r="AE26" i="8"/>
  <c r="AE25" i="8"/>
  <c r="AE24" i="8"/>
  <c r="AE23" i="8"/>
  <c r="AE22" i="8"/>
  <c r="AE21" i="8"/>
  <c r="AE20" i="8"/>
  <c r="AE19" i="8"/>
  <c r="AE18" i="8"/>
  <c r="AE17" i="8"/>
  <c r="AE16" i="8"/>
  <c r="AE15" i="8"/>
  <c r="AE14" i="8"/>
  <c r="AE13" i="8"/>
  <c r="AE12" i="8"/>
  <c r="AE11" i="8"/>
  <c r="AE10" i="8"/>
  <c r="AE9" i="8"/>
  <c r="AE8" i="8"/>
  <c r="AE7" i="8"/>
  <c r="AE6" i="8"/>
  <c r="AE5" i="8"/>
  <c r="Q28" i="8"/>
  <c r="Q27" i="8"/>
  <c r="Q26" i="8"/>
  <c r="Q25" i="8"/>
  <c r="Q24" i="8"/>
  <c r="Q23" i="8"/>
  <c r="Q22" i="8"/>
  <c r="Q21" i="8"/>
  <c r="Q20" i="8"/>
  <c r="Q19" i="8"/>
  <c r="Q18" i="8"/>
  <c r="Q17" i="8"/>
  <c r="Q16" i="8"/>
  <c r="Q15" i="8"/>
  <c r="Q14" i="8"/>
  <c r="Q13" i="8"/>
  <c r="Q12" i="8"/>
  <c r="Q11" i="8"/>
  <c r="Q10" i="8"/>
  <c r="Q9" i="8"/>
  <c r="Q8" i="8"/>
  <c r="Q7" i="8"/>
  <c r="Q6" i="8"/>
  <c r="Q5" i="8"/>
  <c r="C5" i="8"/>
  <c r="B56" i="28" s="1"/>
  <c r="B4" i="19" l="1"/>
  <c r="B3" i="19" l="1"/>
  <c r="B1" i="17"/>
  <c r="B1" i="8"/>
  <c r="B1" i="4"/>
  <c r="E24" i="4"/>
  <c r="E14" i="4"/>
  <c r="E10" i="4"/>
  <c r="E6" i="4"/>
  <c r="E18" i="4"/>
  <c r="E22" i="4"/>
  <c r="E25" i="4"/>
  <c r="E19" i="4"/>
  <c r="E15" i="4"/>
  <c r="E11" i="4"/>
  <c r="E7" i="4"/>
  <c r="E23" i="4"/>
  <c r="E17" i="4"/>
  <c r="E13" i="4"/>
  <c r="E9" i="4"/>
  <c r="E21" i="4"/>
  <c r="E16" i="4"/>
  <c r="E12" i="4"/>
  <c r="E8" i="4"/>
  <c r="E20" i="4"/>
  <c r="N5" i="28" l="1"/>
  <c r="N7" i="28"/>
  <c r="N6" i="28"/>
  <c r="I5" i="28"/>
  <c r="I6" i="28"/>
  <c r="I7" i="28"/>
  <c r="I8" i="28"/>
  <c r="C5" i="28"/>
  <c r="C6" i="28"/>
  <c r="C7" i="28"/>
  <c r="C8" i="28"/>
  <c r="B7" i="1"/>
  <c r="B8" i="1" l="1"/>
  <c r="E4" i="17" s="1"/>
  <c r="E8" i="17"/>
  <c r="E10" i="17"/>
  <c r="E12" i="17"/>
  <c r="E14" i="17"/>
  <c r="E16" i="17"/>
  <c r="E18" i="17"/>
  <c r="E20" i="17"/>
  <c r="E22" i="17"/>
  <c r="E24" i="17"/>
  <c r="E26" i="17"/>
  <c r="E28" i="17"/>
  <c r="E30" i="17"/>
  <c r="E7" i="17"/>
  <c r="E9" i="17"/>
  <c r="E11" i="17"/>
  <c r="E13" i="17"/>
  <c r="E15" i="17"/>
  <c r="E17" i="17"/>
  <c r="E19" i="17"/>
  <c r="E21" i="17"/>
  <c r="E23" i="17"/>
  <c r="E25" i="17"/>
  <c r="E27" i="17"/>
  <c r="E29" i="17"/>
  <c r="E31" i="17"/>
  <c r="E35" i="17"/>
  <c r="E37" i="17"/>
  <c r="E39" i="17"/>
  <c r="E41" i="17"/>
  <c r="E43" i="17"/>
  <c r="E45" i="17"/>
  <c r="E47" i="17"/>
  <c r="E49" i="17"/>
  <c r="E53" i="17"/>
  <c r="E33" i="17"/>
  <c r="E56" i="17"/>
  <c r="E58" i="17"/>
  <c r="E60" i="17"/>
  <c r="E62" i="17"/>
  <c r="E64" i="17"/>
  <c r="E66" i="17"/>
  <c r="E55" i="17"/>
  <c r="E57" i="17"/>
  <c r="E59" i="17"/>
  <c r="E61" i="17"/>
  <c r="E63" i="17"/>
  <c r="E65" i="17"/>
  <c r="E67" i="17"/>
  <c r="E34" i="17"/>
  <c r="E42" i="17"/>
  <c r="E36" i="17"/>
  <c r="E44" i="17"/>
  <c r="E38" i="17"/>
  <c r="E46" i="17"/>
  <c r="E52" i="17"/>
  <c r="E40" i="17"/>
  <c r="E50" i="17"/>
  <c r="E51" i="17" l="1"/>
  <c r="E54" i="17"/>
  <c r="E5" i="17"/>
  <c r="H4" i="17"/>
  <c r="D4" i="1"/>
  <c r="G4" i="1"/>
  <c r="E4" i="1"/>
  <c r="H4" i="1"/>
  <c r="F4" i="1"/>
  <c r="F4" i="17"/>
  <c r="L4" i="17"/>
  <c r="N4" i="17"/>
  <c r="J4" i="17"/>
  <c r="D5" i="1"/>
  <c r="F5" i="1"/>
  <c r="J9" i="17"/>
  <c r="J13" i="17"/>
  <c r="J17" i="17"/>
  <c r="J21" i="17"/>
  <c r="J25" i="17"/>
  <c r="J29" i="17"/>
  <c r="J10" i="17"/>
  <c r="J14" i="17"/>
  <c r="J18" i="17"/>
  <c r="J22" i="17"/>
  <c r="J26" i="17"/>
  <c r="J30" i="17"/>
  <c r="J8" i="17"/>
  <c r="J12" i="17"/>
  <c r="J16" i="17"/>
  <c r="J20" i="17"/>
  <c r="J24" i="17"/>
  <c r="J28" i="17"/>
  <c r="J11" i="17"/>
  <c r="J27" i="17"/>
  <c r="J36" i="17"/>
  <c r="J40" i="17"/>
  <c r="J44" i="17"/>
  <c r="J52" i="17"/>
  <c r="J57" i="17"/>
  <c r="J61" i="17"/>
  <c r="J65" i="17"/>
  <c r="J15" i="17"/>
  <c r="J31" i="17"/>
  <c r="J33" i="17"/>
  <c r="J37" i="17"/>
  <c r="J41" i="17"/>
  <c r="J45" i="17"/>
  <c r="J53" i="17"/>
  <c r="J58" i="17"/>
  <c r="J62" i="17"/>
  <c r="J66" i="17"/>
  <c r="J7" i="17"/>
  <c r="J23" i="17"/>
  <c r="J35" i="17"/>
  <c r="J39" i="17"/>
  <c r="J43" i="17"/>
  <c r="J47" i="17"/>
  <c r="J50" i="17"/>
  <c r="J56" i="17"/>
  <c r="J60" i="17"/>
  <c r="J64" i="17"/>
  <c r="J38" i="17"/>
  <c r="J49" i="17"/>
  <c r="J63" i="17"/>
  <c r="J42" i="17"/>
  <c r="J67" i="17"/>
  <c r="J19" i="17"/>
  <c r="J46" i="17"/>
  <c r="J55" i="17"/>
  <c r="J34" i="17"/>
  <c r="J59" i="17"/>
  <c r="G5" i="1"/>
  <c r="F7" i="17"/>
  <c r="F9" i="17"/>
  <c r="F11" i="17"/>
  <c r="F13" i="17"/>
  <c r="F15" i="17"/>
  <c r="F17" i="17"/>
  <c r="F19" i="17"/>
  <c r="F21" i="17"/>
  <c r="F23" i="17"/>
  <c r="F25" i="17"/>
  <c r="F27" i="17"/>
  <c r="F29" i="17"/>
  <c r="F31" i="17"/>
  <c r="F33" i="17"/>
  <c r="F14" i="17"/>
  <c r="F22" i="17"/>
  <c r="F30" i="17"/>
  <c r="F55" i="17"/>
  <c r="F57" i="17"/>
  <c r="F59" i="17"/>
  <c r="F61" i="17"/>
  <c r="F63" i="17"/>
  <c r="F65" i="17"/>
  <c r="F67" i="17"/>
  <c r="F8" i="17"/>
  <c r="F16" i="17"/>
  <c r="F24" i="17"/>
  <c r="F35" i="17"/>
  <c r="F37" i="17"/>
  <c r="F39" i="17"/>
  <c r="F41" i="17"/>
  <c r="F43" i="17"/>
  <c r="F45" i="17"/>
  <c r="F47" i="17"/>
  <c r="F49" i="17"/>
  <c r="F53" i="17"/>
  <c r="F12" i="17"/>
  <c r="F20" i="17"/>
  <c r="F28" i="17"/>
  <c r="F34" i="17"/>
  <c r="F36" i="17"/>
  <c r="F38" i="17"/>
  <c r="F40" i="17"/>
  <c r="F42" i="17"/>
  <c r="F44" i="17"/>
  <c r="F46" i="17"/>
  <c r="F50" i="17"/>
  <c r="F52" i="17"/>
  <c r="F62" i="17"/>
  <c r="F10" i="17"/>
  <c r="F56" i="17"/>
  <c r="F64" i="17"/>
  <c r="F18" i="17"/>
  <c r="F58" i="17"/>
  <c r="F66" i="17"/>
  <c r="F26" i="17"/>
  <c r="F60" i="17"/>
  <c r="L8" i="17"/>
  <c r="L12" i="17"/>
  <c r="L16" i="17"/>
  <c r="L20" i="17"/>
  <c r="L24" i="17"/>
  <c r="L28" i="17"/>
  <c r="L9" i="17"/>
  <c r="L13" i="17"/>
  <c r="L17" i="17"/>
  <c r="L21" i="17"/>
  <c r="L25" i="17"/>
  <c r="L29" i="17"/>
  <c r="L7" i="17"/>
  <c r="L11" i="17"/>
  <c r="L15" i="17"/>
  <c r="L19" i="17"/>
  <c r="L23" i="17"/>
  <c r="L27" i="17"/>
  <c r="L31" i="17"/>
  <c r="L18" i="17"/>
  <c r="L33" i="17"/>
  <c r="L37" i="17"/>
  <c r="L41" i="17"/>
  <c r="L45" i="17"/>
  <c r="L49" i="17"/>
  <c r="L56" i="17"/>
  <c r="L60" i="17"/>
  <c r="L64" i="17"/>
  <c r="L22" i="17"/>
  <c r="L34" i="17"/>
  <c r="L38" i="17"/>
  <c r="L42" i="17"/>
  <c r="L46" i="17"/>
  <c r="L50" i="17"/>
  <c r="L57" i="17"/>
  <c r="L61" i="17"/>
  <c r="L65" i="17"/>
  <c r="L14" i="17"/>
  <c r="L30" i="17"/>
  <c r="L36" i="17"/>
  <c r="L40" i="17"/>
  <c r="L44" i="17"/>
  <c r="L53" i="17"/>
  <c r="L55" i="17"/>
  <c r="L59" i="17"/>
  <c r="L63" i="17"/>
  <c r="L67" i="17"/>
  <c r="L26" i="17"/>
  <c r="L39" i="17"/>
  <c r="L52" i="17"/>
  <c r="L66" i="17"/>
  <c r="L43" i="17"/>
  <c r="L47" i="17"/>
  <c r="L58" i="17"/>
  <c r="L10" i="17"/>
  <c r="L35" i="17"/>
  <c r="L62" i="17"/>
  <c r="H10" i="17"/>
  <c r="H14" i="17"/>
  <c r="H18" i="17"/>
  <c r="H22" i="17"/>
  <c r="H26" i="17"/>
  <c r="H30" i="17"/>
  <c r="H7" i="17"/>
  <c r="H11" i="17"/>
  <c r="H15" i="17"/>
  <c r="H19" i="17"/>
  <c r="H23" i="17"/>
  <c r="H27" i="17"/>
  <c r="H31" i="17"/>
  <c r="H9" i="17"/>
  <c r="H13" i="17"/>
  <c r="H17" i="17"/>
  <c r="H21" i="17"/>
  <c r="H25" i="17"/>
  <c r="H29" i="17"/>
  <c r="H20" i="17"/>
  <c r="H35" i="17"/>
  <c r="H39" i="17"/>
  <c r="H43" i="17"/>
  <c r="H47" i="17"/>
  <c r="H49" i="17"/>
  <c r="H58" i="17"/>
  <c r="H62" i="17"/>
  <c r="H66" i="17"/>
  <c r="H8" i="17"/>
  <c r="H24" i="17"/>
  <c r="H36" i="17"/>
  <c r="H40" i="17"/>
  <c r="H44" i="17"/>
  <c r="H50" i="17"/>
  <c r="H55" i="17"/>
  <c r="H59" i="17"/>
  <c r="H63" i="17"/>
  <c r="H67" i="17"/>
  <c r="H16" i="17"/>
  <c r="H34" i="17"/>
  <c r="H38" i="17"/>
  <c r="H42" i="17"/>
  <c r="H46" i="17"/>
  <c r="H53" i="17"/>
  <c r="H57" i="17"/>
  <c r="H61" i="17"/>
  <c r="H65" i="17"/>
  <c r="H12" i="17"/>
  <c r="H37" i="17"/>
  <c r="H60" i="17"/>
  <c r="H28" i="17"/>
  <c r="H41" i="17"/>
  <c r="H64" i="17"/>
  <c r="H45" i="17"/>
  <c r="H33" i="17"/>
  <c r="H52" i="17"/>
  <c r="H56" i="17"/>
  <c r="H5" i="1"/>
  <c r="N7" i="17"/>
  <c r="N11" i="17"/>
  <c r="N15" i="17"/>
  <c r="N19" i="17"/>
  <c r="N23" i="17"/>
  <c r="N27" i="17"/>
  <c r="N31" i="17"/>
  <c r="N8" i="17"/>
  <c r="N12" i="17"/>
  <c r="N16" i="17"/>
  <c r="N20" i="17"/>
  <c r="N24" i="17"/>
  <c r="N28" i="17"/>
  <c r="N10" i="17"/>
  <c r="N14" i="17"/>
  <c r="N18" i="17"/>
  <c r="N22" i="17"/>
  <c r="N26" i="17"/>
  <c r="N30" i="17"/>
  <c r="N9" i="17"/>
  <c r="N25" i="17"/>
  <c r="N34" i="17"/>
  <c r="N38" i="17"/>
  <c r="N42" i="17"/>
  <c r="N46" i="17"/>
  <c r="N52" i="17"/>
  <c r="N55" i="17"/>
  <c r="N59" i="17"/>
  <c r="N63" i="17"/>
  <c r="N67" i="17"/>
  <c r="N13" i="17"/>
  <c r="N29" i="17"/>
  <c r="N35" i="17"/>
  <c r="N39" i="17"/>
  <c r="N43" i="17"/>
  <c r="N47" i="17"/>
  <c r="N53" i="17"/>
  <c r="N56" i="17"/>
  <c r="N60" i="17"/>
  <c r="N64" i="17"/>
  <c r="N21" i="17"/>
  <c r="N33" i="17"/>
  <c r="N37" i="17"/>
  <c r="N41" i="17"/>
  <c r="N45" i="17"/>
  <c r="N50" i="17"/>
  <c r="N58" i="17"/>
  <c r="N62" i="17"/>
  <c r="N66" i="17"/>
  <c r="N40" i="17"/>
  <c r="N17" i="17"/>
  <c r="N44" i="17"/>
  <c r="N49" i="17"/>
  <c r="N57" i="17"/>
  <c r="N61" i="17"/>
  <c r="N36" i="17"/>
  <c r="N65" i="17"/>
  <c r="E5" i="1"/>
  <c r="K105" i="28" l="1"/>
  <c r="M105" i="28"/>
  <c r="G105" i="28"/>
  <c r="E105" i="28"/>
  <c r="I105" i="28"/>
  <c r="K91" i="28"/>
  <c r="E91" i="28"/>
  <c r="I91" i="28"/>
  <c r="M91" i="28"/>
  <c r="G91" i="28"/>
  <c r="I54" i="28"/>
  <c r="M54" i="28"/>
  <c r="G54" i="28"/>
  <c r="K54" i="28"/>
  <c r="E54" i="28"/>
  <c r="E10" i="28"/>
  <c r="I10" i="28"/>
  <c r="M10" i="28"/>
  <c r="G10" i="28"/>
  <c r="K10" i="28"/>
  <c r="G4" i="17"/>
  <c r="K4" i="17"/>
  <c r="O4" i="17"/>
  <c r="I4" i="17"/>
  <c r="M4" i="17"/>
  <c r="H5" i="17"/>
  <c r="F5" i="17"/>
  <c r="N5" i="17"/>
  <c r="L5" i="17"/>
  <c r="J5" i="17"/>
  <c r="N105" i="28" l="1"/>
  <c r="H105" i="28"/>
  <c r="J105" i="28"/>
  <c r="L105" i="28"/>
  <c r="F105" i="28"/>
  <c r="H91" i="28"/>
  <c r="N91" i="28"/>
  <c r="J91" i="28"/>
  <c r="L91" i="28"/>
  <c r="F91" i="28"/>
  <c r="L54" i="28"/>
  <c r="N54" i="28"/>
  <c r="J54" i="28"/>
  <c r="F54" i="28"/>
  <c r="H54" i="28"/>
  <c r="N10" i="28"/>
  <c r="J10" i="28"/>
  <c r="L10" i="28"/>
  <c r="H10" i="28"/>
  <c r="F10" i="28"/>
  <c r="I94" i="28" l="1"/>
  <c r="K35" i="17"/>
  <c r="M109" i="28"/>
  <c r="O10" i="17"/>
  <c r="P10" i="17"/>
  <c r="K16" i="17"/>
  <c r="I115" i="28"/>
  <c r="I122" i="28"/>
  <c r="K23" i="17"/>
  <c r="M106" i="28"/>
  <c r="P7" i="17"/>
  <c r="O7" i="17"/>
  <c r="M34" i="28"/>
  <c r="O58" i="17"/>
  <c r="P58" i="17"/>
  <c r="I100" i="28"/>
  <c r="K44" i="17"/>
  <c r="K22" i="17"/>
  <c r="I121" i="28"/>
  <c r="M93" i="28"/>
  <c r="P34" i="17"/>
  <c r="O34" i="17"/>
  <c r="O66" i="17"/>
  <c r="P66" i="17"/>
  <c r="Q66" i="17" s="1"/>
  <c r="K28" i="17"/>
  <c r="I127" i="28"/>
  <c r="M32" i="28"/>
  <c r="O56" i="17"/>
  <c r="P56" i="17"/>
  <c r="K43" i="17"/>
  <c r="I99" i="28"/>
  <c r="P29" i="17"/>
  <c r="O29" i="17"/>
  <c r="M128" i="28"/>
  <c r="I97" i="28"/>
  <c r="K38" i="17"/>
  <c r="K26" i="17"/>
  <c r="I125" i="28"/>
  <c r="I95" i="28"/>
  <c r="K36" i="17"/>
  <c r="K50" i="17"/>
  <c r="J12" i="28" s="1"/>
  <c r="I12" i="28"/>
  <c r="P27" i="17"/>
  <c r="O27" i="17"/>
  <c r="M126" i="28"/>
  <c r="I28" i="28"/>
  <c r="J51" i="17"/>
  <c r="K52" i="17"/>
  <c r="O42" i="17"/>
  <c r="M98" i="28"/>
  <c r="P42" i="17"/>
  <c r="I23" i="17"/>
  <c r="G122" i="28"/>
  <c r="K67" i="17"/>
  <c r="G126" i="28"/>
  <c r="I27" i="17"/>
  <c r="I107" i="28"/>
  <c r="K8" i="17"/>
  <c r="K31" i="17"/>
  <c r="I130" i="28"/>
  <c r="O14" i="17"/>
  <c r="P14" i="17"/>
  <c r="M113" i="28"/>
  <c r="K40" i="17"/>
  <c r="M114" i="28"/>
  <c r="P15" i="17"/>
  <c r="O15" i="17"/>
  <c r="G93" i="28"/>
  <c r="I34" i="17"/>
  <c r="I106" i="28"/>
  <c r="K7" i="17"/>
  <c r="I98" i="28"/>
  <c r="K42" i="17"/>
  <c r="K57" i="17"/>
  <c r="I33" i="28"/>
  <c r="O41" i="17"/>
  <c r="P41" i="17"/>
  <c r="Q41" i="17" s="1"/>
  <c r="I19" i="17"/>
  <c r="G118" i="28"/>
  <c r="P60" i="17"/>
  <c r="M36" i="28"/>
  <c r="O60" i="17"/>
  <c r="O11" i="17"/>
  <c r="P11" i="17"/>
  <c r="M110" i="28"/>
  <c r="M102" i="28"/>
  <c r="P46" i="17"/>
  <c r="O46" i="17"/>
  <c r="M103" i="28"/>
  <c r="O47" i="17"/>
  <c r="P47" i="17"/>
  <c r="O63" i="17"/>
  <c r="P63" i="17"/>
  <c r="Q63" i="17" s="1"/>
  <c r="M97" i="28"/>
  <c r="P38" i="17"/>
  <c r="O38" i="17"/>
  <c r="P64" i="17"/>
  <c r="Q64" i="17" s="1"/>
  <c r="O64" i="17"/>
  <c r="M129" i="28"/>
  <c r="O30" i="17"/>
  <c r="P30" i="17"/>
  <c r="K39" i="17"/>
  <c r="K27" i="17"/>
  <c r="I126" i="28"/>
  <c r="M125" i="28"/>
  <c r="P26" i="17"/>
  <c r="O26" i="17"/>
  <c r="M101" i="28"/>
  <c r="P45" i="17"/>
  <c r="O45" i="17"/>
  <c r="K12" i="17"/>
  <c r="I111" i="28"/>
  <c r="K63" i="17"/>
  <c r="M116" i="28"/>
  <c r="O17" i="17"/>
  <c r="P17" i="17"/>
  <c r="G97" i="28"/>
  <c r="I38" i="17"/>
  <c r="H6" i="1"/>
  <c r="G98" i="28"/>
  <c r="I42" i="17"/>
  <c r="I113" i="28"/>
  <c r="K14" i="17"/>
  <c r="I114" i="28"/>
  <c r="K15" i="17"/>
  <c r="O19" i="17"/>
  <c r="M118" i="28"/>
  <c r="P19" i="17"/>
  <c r="I36" i="28"/>
  <c r="K60" i="17"/>
  <c r="K11" i="17"/>
  <c r="I110" i="28"/>
  <c r="O39" i="17"/>
  <c r="P39" i="17"/>
  <c r="Q39" i="17" s="1"/>
  <c r="K10" i="17"/>
  <c r="I109" i="28"/>
  <c r="I37" i="28"/>
  <c r="K61" i="17"/>
  <c r="O31" i="17"/>
  <c r="P31" i="17"/>
  <c r="M130" i="28"/>
  <c r="I18" i="17"/>
  <c r="G117" i="28"/>
  <c r="I117" i="28"/>
  <c r="K18" i="17"/>
  <c r="P22" i="17"/>
  <c r="M121" i="28"/>
  <c r="O22" i="17"/>
  <c r="P35" i="17"/>
  <c r="M94" i="28"/>
  <c r="O35" i="17"/>
  <c r="M11" i="28"/>
  <c r="P49" i="17"/>
  <c r="O11" i="28" s="1"/>
  <c r="O49" i="17"/>
  <c r="N11" i="28" s="1"/>
  <c r="G109" i="28"/>
  <c r="I10" i="17"/>
  <c r="I123" i="28"/>
  <c r="K24" i="17"/>
  <c r="F6" i="1"/>
  <c r="M122" i="28"/>
  <c r="O23" i="17"/>
  <c r="P23" i="17"/>
  <c r="M96" i="28"/>
  <c r="P37" i="17"/>
  <c r="O37" i="17"/>
  <c r="P50" i="17"/>
  <c r="O12" i="28" s="1"/>
  <c r="M12" i="28"/>
  <c r="O50" i="17"/>
  <c r="N12" i="28" s="1"/>
  <c r="G110" i="28"/>
  <c r="I11" i="17"/>
  <c r="I129" i="28"/>
  <c r="K30" i="17"/>
  <c r="K65" i="17"/>
  <c r="M29" i="28"/>
  <c r="P53" i="17"/>
  <c r="O53" i="17"/>
  <c r="G114" i="28"/>
  <c r="I15" i="17"/>
  <c r="I119" i="28"/>
  <c r="K20" i="17"/>
  <c r="I108" i="28"/>
  <c r="K9" i="17"/>
  <c r="I124" i="28"/>
  <c r="K25" i="17"/>
  <c r="I92" i="28"/>
  <c r="K33" i="17"/>
  <c r="I29" i="28"/>
  <c r="K53" i="17"/>
  <c r="D6" i="1"/>
  <c r="M107" i="28"/>
  <c r="P8" i="17"/>
  <c r="O8" i="17"/>
  <c r="O24" i="17"/>
  <c r="M123" i="28"/>
  <c r="P24" i="17"/>
  <c r="N51" i="17"/>
  <c r="M28" i="28"/>
  <c r="P52" i="17"/>
  <c r="O52" i="17"/>
  <c r="I7" i="17"/>
  <c r="G106" i="28"/>
  <c r="M25" i="17"/>
  <c r="K124" i="28"/>
  <c r="K96" i="28"/>
  <c r="M37" i="17"/>
  <c r="K29" i="28"/>
  <c r="M53" i="17"/>
  <c r="G10" i="17"/>
  <c r="E109" i="28"/>
  <c r="G30" i="17"/>
  <c r="E129" i="28"/>
  <c r="E102" i="28"/>
  <c r="G46" i="17"/>
  <c r="E11" i="28"/>
  <c r="G49" i="17"/>
  <c r="F11" i="28" s="1"/>
  <c r="I16" i="17"/>
  <c r="G115" i="28"/>
  <c r="I40" i="17"/>
  <c r="M63" i="17"/>
  <c r="M92" i="28"/>
  <c r="P33" i="17"/>
  <c r="O33" i="17"/>
  <c r="M35" i="28"/>
  <c r="P59" i="17"/>
  <c r="O59" i="17"/>
  <c r="G125" i="28"/>
  <c r="I26" i="17"/>
  <c r="I93" i="28"/>
  <c r="K34" i="17"/>
  <c r="M108" i="28"/>
  <c r="P9" i="17"/>
  <c r="O9" i="17"/>
  <c r="I102" i="28"/>
  <c r="K46" i="17"/>
  <c r="N54" i="17"/>
  <c r="M31" i="28"/>
  <c r="O55" i="17"/>
  <c r="P55" i="17"/>
  <c r="I112" i="28"/>
  <c r="K13" i="17"/>
  <c r="I128" i="28"/>
  <c r="K29" i="17"/>
  <c r="I96" i="28"/>
  <c r="K37" i="17"/>
  <c r="I34" i="28"/>
  <c r="K58" i="17"/>
  <c r="M111" i="28"/>
  <c r="P12" i="17"/>
  <c r="O12" i="17"/>
  <c r="P28" i="17"/>
  <c r="O28" i="17"/>
  <c r="M127" i="28"/>
  <c r="M95" i="28"/>
  <c r="P36" i="17"/>
  <c r="O36" i="17"/>
  <c r="M33" i="28"/>
  <c r="O57" i="17"/>
  <c r="P57" i="17"/>
  <c r="I22" i="17"/>
  <c r="G121" i="28"/>
  <c r="G94" i="28"/>
  <c r="I35" i="17"/>
  <c r="G12" i="28"/>
  <c r="I50" i="17"/>
  <c r="H12" i="28" s="1"/>
  <c r="M9" i="17"/>
  <c r="K108" i="28"/>
  <c r="M29" i="17"/>
  <c r="K128" i="28"/>
  <c r="K101" i="28"/>
  <c r="M45" i="17"/>
  <c r="K34" i="28"/>
  <c r="M58" i="17"/>
  <c r="E113" i="28"/>
  <c r="G14" i="17"/>
  <c r="F54" i="17"/>
  <c r="E31" i="28"/>
  <c r="G55" i="17"/>
  <c r="I20" i="17"/>
  <c r="G119" i="28"/>
  <c r="G100" i="28"/>
  <c r="I44" i="17"/>
  <c r="M67" i="17"/>
  <c r="I35" i="28"/>
  <c r="K59" i="17"/>
  <c r="O13" i="17"/>
  <c r="M112" i="28"/>
  <c r="P13" i="17"/>
  <c r="P21" i="17"/>
  <c r="M120" i="28"/>
  <c r="O21" i="17"/>
  <c r="K17" i="17"/>
  <c r="I116" i="28"/>
  <c r="K41" i="17"/>
  <c r="I38" i="28"/>
  <c r="K62" i="17"/>
  <c r="M115" i="28"/>
  <c r="P16" i="17"/>
  <c r="O16" i="17"/>
  <c r="P40" i="17"/>
  <c r="Q40" i="17" s="1"/>
  <c r="O40" i="17"/>
  <c r="M37" i="28"/>
  <c r="P61" i="17"/>
  <c r="O61" i="17"/>
  <c r="G129" i="28"/>
  <c r="I30" i="17"/>
  <c r="G99" i="28"/>
  <c r="I43" i="17"/>
  <c r="G32" i="28"/>
  <c r="I56" i="17"/>
  <c r="K112" i="28"/>
  <c r="M13" i="17"/>
  <c r="M66" i="17"/>
  <c r="E121" i="28"/>
  <c r="G22" i="17"/>
  <c r="E93" i="28"/>
  <c r="G34" i="17"/>
  <c r="G67" i="17"/>
  <c r="G37" i="28"/>
  <c r="I61" i="17"/>
  <c r="M18" i="17"/>
  <c r="K117" i="28"/>
  <c r="K98" i="28"/>
  <c r="M42" i="17"/>
  <c r="M38" i="28"/>
  <c r="P62" i="17"/>
  <c r="O62" i="17"/>
  <c r="G130" i="28"/>
  <c r="I31" i="17"/>
  <c r="I118" i="28"/>
  <c r="K19" i="17"/>
  <c r="J54" i="17"/>
  <c r="I31" i="28"/>
  <c r="K55" i="17"/>
  <c r="M124" i="28"/>
  <c r="O25" i="17"/>
  <c r="P25" i="17"/>
  <c r="I32" i="28"/>
  <c r="K56" i="17"/>
  <c r="I9" i="17"/>
  <c r="G108" i="28"/>
  <c r="I103" i="28"/>
  <c r="K47" i="17"/>
  <c r="P67" i="17"/>
  <c r="Q67" i="17" s="1"/>
  <c r="O67" i="17"/>
  <c r="K64" i="17"/>
  <c r="O18" i="17"/>
  <c r="M117" i="28"/>
  <c r="P18" i="17"/>
  <c r="M99" i="28"/>
  <c r="O43" i="17"/>
  <c r="P43" i="17"/>
  <c r="I11" i="28"/>
  <c r="K49" i="17"/>
  <c r="J11" i="28" s="1"/>
  <c r="K21" i="17"/>
  <c r="I120" i="28"/>
  <c r="I101" i="28"/>
  <c r="K45" i="17"/>
  <c r="K66" i="17"/>
  <c r="O20" i="17"/>
  <c r="P20" i="17"/>
  <c r="M119" i="28"/>
  <c r="M100" i="28"/>
  <c r="O44" i="17"/>
  <c r="P44" i="17"/>
  <c r="O65" i="17"/>
  <c r="P65" i="17"/>
  <c r="Q65" i="17" s="1"/>
  <c r="G103" i="28"/>
  <c r="I47" i="17"/>
  <c r="I64" i="17"/>
  <c r="K120" i="28"/>
  <c r="M21" i="17"/>
  <c r="K92" i="28"/>
  <c r="M33" i="17"/>
  <c r="E125" i="28"/>
  <c r="G26" i="17"/>
  <c r="E97" i="28"/>
  <c r="G38" i="17"/>
  <c r="I65" i="17"/>
  <c r="K121" i="28"/>
  <c r="M22" i="17"/>
  <c r="K102" i="28"/>
  <c r="M46" i="17"/>
  <c r="K11" i="28"/>
  <c r="M49" i="17"/>
  <c r="L11" i="28" s="1"/>
  <c r="G113" i="28"/>
  <c r="I14" i="17"/>
  <c r="G102" i="28"/>
  <c r="I46" i="17"/>
  <c r="I39" i="17"/>
  <c r="G36" i="28"/>
  <c r="I60" i="17"/>
  <c r="M17" i="17"/>
  <c r="K116" i="28"/>
  <c r="M41" i="17"/>
  <c r="K38" i="28"/>
  <c r="M62" i="17"/>
  <c r="G18" i="17"/>
  <c r="E117" i="28"/>
  <c r="E98" i="28"/>
  <c r="G42" i="17"/>
  <c r="G63" i="17"/>
  <c r="G111" i="28"/>
  <c r="I12" i="17"/>
  <c r="G127" i="28"/>
  <c r="I28" i="17"/>
  <c r="G95" i="28"/>
  <c r="I36" i="17"/>
  <c r="G33" i="28"/>
  <c r="I57" i="17"/>
  <c r="M14" i="17"/>
  <c r="K113" i="28"/>
  <c r="M30" i="17"/>
  <c r="K129" i="28"/>
  <c r="K97" i="28"/>
  <c r="M38" i="17"/>
  <c r="K35" i="28"/>
  <c r="M59" i="17"/>
  <c r="E114" i="28"/>
  <c r="G15" i="17"/>
  <c r="E130" i="28"/>
  <c r="G31" i="17"/>
  <c r="G39" i="17"/>
  <c r="E36" i="28"/>
  <c r="G60" i="17"/>
  <c r="G116" i="28"/>
  <c r="I17" i="17"/>
  <c r="I41" i="17"/>
  <c r="G38" i="28"/>
  <c r="I62" i="17"/>
  <c r="K118" i="28"/>
  <c r="M19" i="17"/>
  <c r="K99" i="28"/>
  <c r="M43" i="17"/>
  <c r="M64" i="17"/>
  <c r="E119" i="28"/>
  <c r="G20" i="17"/>
  <c r="E100" i="28"/>
  <c r="G44" i="17"/>
  <c r="G65" i="17"/>
  <c r="G35" i="28"/>
  <c r="I59" i="17"/>
  <c r="K115" i="28"/>
  <c r="M16" i="17"/>
  <c r="M40" i="17"/>
  <c r="K37" i="28"/>
  <c r="M61" i="17"/>
  <c r="G17" i="17"/>
  <c r="E116" i="28"/>
  <c r="G41" i="17"/>
  <c r="E38" i="28"/>
  <c r="G62" i="17"/>
  <c r="G19" i="17"/>
  <c r="E118" i="28"/>
  <c r="E99" i="28"/>
  <c r="G43" i="17"/>
  <c r="G64" i="17"/>
  <c r="I21" i="17"/>
  <c r="G120" i="28"/>
  <c r="G101" i="28"/>
  <c r="I45" i="17"/>
  <c r="I66" i="17"/>
  <c r="K106" i="28"/>
  <c r="M7" i="17"/>
  <c r="M23" i="17"/>
  <c r="K122" i="28"/>
  <c r="K103" i="28"/>
  <c r="M47" i="17"/>
  <c r="K12" i="28"/>
  <c r="M50" i="17"/>
  <c r="L12" i="28" s="1"/>
  <c r="G8" i="17"/>
  <c r="E107" i="28"/>
  <c r="G24" i="17"/>
  <c r="E123" i="28"/>
  <c r="E28" i="28"/>
  <c r="F51" i="17"/>
  <c r="G52" i="17"/>
  <c r="G6" i="1"/>
  <c r="I63" i="17"/>
  <c r="M20" i="17"/>
  <c r="K119" i="28"/>
  <c r="K100" i="28"/>
  <c r="M44" i="17"/>
  <c r="M65" i="17"/>
  <c r="G21" i="17"/>
  <c r="E120" i="28"/>
  <c r="E101" i="28"/>
  <c r="G45" i="17"/>
  <c r="G66" i="17"/>
  <c r="G7" i="17"/>
  <c r="E106" i="28"/>
  <c r="E122" i="28"/>
  <c r="G23" i="17"/>
  <c r="E103" i="28"/>
  <c r="G47" i="17"/>
  <c r="E12" i="28"/>
  <c r="G50" i="17"/>
  <c r="F12" i="28" s="1"/>
  <c r="G124" i="28"/>
  <c r="I25" i="17"/>
  <c r="G92" i="28"/>
  <c r="I33" i="17"/>
  <c r="G29" i="28"/>
  <c r="I53" i="17"/>
  <c r="M11" i="17"/>
  <c r="K110" i="28"/>
  <c r="M27" i="17"/>
  <c r="K126" i="28"/>
  <c r="K94" i="28"/>
  <c r="M35" i="17"/>
  <c r="K32" i="28"/>
  <c r="M56" i="17"/>
  <c r="G12" i="17"/>
  <c r="E111" i="28"/>
  <c r="G28" i="17"/>
  <c r="E127" i="28"/>
  <c r="E95" i="28"/>
  <c r="G36" i="17"/>
  <c r="E33" i="28"/>
  <c r="G57" i="17"/>
  <c r="I49" i="17"/>
  <c r="H11" i="28" s="1"/>
  <c r="G11" i="28"/>
  <c r="I67" i="17"/>
  <c r="K107" i="28"/>
  <c r="M8" i="17"/>
  <c r="M24" i="17"/>
  <c r="K123" i="28"/>
  <c r="L51" i="17"/>
  <c r="K28" i="28"/>
  <c r="M52" i="17"/>
  <c r="E6" i="1"/>
  <c r="E108" i="28"/>
  <c r="G9" i="17"/>
  <c r="E124" i="28"/>
  <c r="G25" i="17"/>
  <c r="E92" i="28"/>
  <c r="G33" i="17"/>
  <c r="E29" i="28"/>
  <c r="G53" i="17"/>
  <c r="E35" i="28"/>
  <c r="G59" i="17"/>
  <c r="G107" i="28"/>
  <c r="I8" i="17"/>
  <c r="I24" i="17"/>
  <c r="G123" i="28"/>
  <c r="G28" i="28"/>
  <c r="H51" i="17"/>
  <c r="I52" i="17"/>
  <c r="K109" i="28"/>
  <c r="M10" i="17"/>
  <c r="K125" i="28"/>
  <c r="M26" i="17"/>
  <c r="K93" i="28"/>
  <c r="M34" i="17"/>
  <c r="K31" i="28"/>
  <c r="L54" i="17"/>
  <c r="M55" i="17"/>
  <c r="G11" i="17"/>
  <c r="E110" i="28"/>
  <c r="E126" i="28"/>
  <c r="G27" i="17"/>
  <c r="G35" i="17"/>
  <c r="E94" i="28"/>
  <c r="E32" i="28"/>
  <c r="G56" i="17"/>
  <c r="I13" i="17"/>
  <c r="G112" i="28"/>
  <c r="I29" i="17"/>
  <c r="G128" i="28"/>
  <c r="G96" i="28"/>
  <c r="I37" i="17"/>
  <c r="G34" i="28"/>
  <c r="I58" i="17"/>
  <c r="K114" i="28"/>
  <c r="M15" i="17"/>
  <c r="K130" i="28"/>
  <c r="M31" i="17"/>
  <c r="M39" i="17"/>
  <c r="K36" i="28"/>
  <c r="M60" i="17"/>
  <c r="E115" i="28"/>
  <c r="G16" i="17"/>
  <c r="G40" i="17"/>
  <c r="E37" i="28"/>
  <c r="G61" i="17"/>
  <c r="H54" i="17"/>
  <c r="G31" i="28"/>
  <c r="I55" i="17"/>
  <c r="K111" i="28"/>
  <c r="M12" i="17"/>
  <c r="K127" i="28"/>
  <c r="M28" i="17"/>
  <c r="K95" i="28"/>
  <c r="M36" i="17"/>
  <c r="K33" i="28"/>
  <c r="M57" i="17"/>
  <c r="G13" i="17"/>
  <c r="E112" i="28"/>
  <c r="G29" i="17"/>
  <c r="E128" i="28"/>
  <c r="E96" i="28"/>
  <c r="G37" i="17"/>
  <c r="E34" i="28"/>
  <c r="G58" i="17"/>
  <c r="O114" i="28" l="1"/>
  <c r="N110" i="28"/>
  <c r="Q15" i="17"/>
  <c r="N32" i="28"/>
  <c r="Q58" i="17"/>
  <c r="J33" i="28"/>
  <c r="N128" i="28"/>
  <c r="N35" i="28"/>
  <c r="N106" i="28"/>
  <c r="J29" i="28"/>
  <c r="H119" i="28"/>
  <c r="Q31" i="17"/>
  <c r="J111" i="28"/>
  <c r="O113" i="28"/>
  <c r="J100" i="28"/>
  <c r="O34" i="28"/>
  <c r="L98" i="28"/>
  <c r="E30" i="28"/>
  <c r="Q30" i="17"/>
  <c r="O115" i="28"/>
  <c r="G54" i="17"/>
  <c r="Q33" i="17"/>
  <c r="L29" i="28"/>
  <c r="J119" i="28"/>
  <c r="N29" i="28"/>
  <c r="J123" i="28"/>
  <c r="J117" i="28"/>
  <c r="Q38" i="17"/>
  <c r="N103" i="28"/>
  <c r="J107" i="28"/>
  <c r="I27" i="28"/>
  <c r="H127" i="28"/>
  <c r="L120" i="28"/>
  <c r="N117" i="28"/>
  <c r="J128" i="28"/>
  <c r="O122" i="28"/>
  <c r="H102" i="28"/>
  <c r="F125" i="28"/>
  <c r="J31" i="28"/>
  <c r="J118" i="28"/>
  <c r="N38" i="28"/>
  <c r="F93" i="28"/>
  <c r="H32" i="28"/>
  <c r="O112" i="28"/>
  <c r="L101" i="28"/>
  <c r="Q36" i="17"/>
  <c r="O127" i="28"/>
  <c r="M30" i="28"/>
  <c r="Q9" i="17"/>
  <c r="J93" i="28"/>
  <c r="F102" i="28"/>
  <c r="N28" i="28"/>
  <c r="N107" i="28"/>
  <c r="J92" i="28"/>
  <c r="J108" i="28"/>
  <c r="H114" i="28"/>
  <c r="O29" i="28"/>
  <c r="N96" i="28"/>
  <c r="Q23" i="17"/>
  <c r="H117" i="28"/>
  <c r="O130" i="28"/>
  <c r="J37" i="28"/>
  <c r="J109" i="28"/>
  <c r="J110" i="28"/>
  <c r="J113" i="28"/>
  <c r="N125" i="28"/>
  <c r="Q14" i="17"/>
  <c r="N126" i="28"/>
  <c r="O109" i="28"/>
  <c r="Q53" i="17"/>
  <c r="O95" i="28"/>
  <c r="Q10" i="17"/>
  <c r="Q28" i="17"/>
  <c r="O108" i="28"/>
  <c r="Q13" i="17"/>
  <c r="Q50" i="17"/>
  <c r="N119" i="28"/>
  <c r="F112" i="28"/>
  <c r="L33" i="28"/>
  <c r="L95" i="28"/>
  <c r="F37" i="28"/>
  <c r="H31" i="28"/>
  <c r="F32" i="28"/>
  <c r="L125" i="28"/>
  <c r="G27" i="28"/>
  <c r="K27" i="28"/>
  <c r="F127" i="28"/>
  <c r="F107" i="28"/>
  <c r="L106" i="28"/>
  <c r="H35" i="28"/>
  <c r="F119" i="28"/>
  <c r="L99" i="28"/>
  <c r="H38" i="28"/>
  <c r="F36" i="28"/>
  <c r="L35" i="28"/>
  <c r="L97" i="28"/>
  <c r="H103" i="28"/>
  <c r="N100" i="28"/>
  <c r="J101" i="28"/>
  <c r="J120" i="28"/>
  <c r="N99" i="28"/>
  <c r="J103" i="28"/>
  <c r="J32" i="28"/>
  <c r="O124" i="28"/>
  <c r="H130" i="28"/>
  <c r="Q62" i="17"/>
  <c r="L112" i="28"/>
  <c r="N120" i="28"/>
  <c r="H100" i="28"/>
  <c r="F31" i="28"/>
  <c r="L34" i="28"/>
  <c r="L108" i="28"/>
  <c r="O33" i="28"/>
  <c r="O31" i="28"/>
  <c r="H125" i="28"/>
  <c r="O35" i="28"/>
  <c r="H115" i="28"/>
  <c r="F109" i="28"/>
  <c r="L124" i="28"/>
  <c r="H106" i="28"/>
  <c r="O28" i="28"/>
  <c r="O123" i="28"/>
  <c r="O96" i="28"/>
  <c r="N122" i="28"/>
  <c r="Q22" i="17"/>
  <c r="N130" i="28"/>
  <c r="J36" i="28"/>
  <c r="O118" i="28"/>
  <c r="J114" i="28"/>
  <c r="H97" i="28"/>
  <c r="Q17" i="17"/>
  <c r="N101" i="28"/>
  <c r="O125" i="28"/>
  <c r="N97" i="28"/>
  <c r="N102" i="28"/>
  <c r="N36" i="28"/>
  <c r="H118" i="28"/>
  <c r="J98" i="28"/>
  <c r="N113" i="28"/>
  <c r="J130" i="28"/>
  <c r="H122" i="28"/>
  <c r="O126" i="28"/>
  <c r="J95" i="28"/>
  <c r="Q29" i="17"/>
  <c r="J99" i="28"/>
  <c r="O93" i="28"/>
  <c r="N34" i="28"/>
  <c r="Q7" i="17"/>
  <c r="N109" i="28"/>
  <c r="F128" i="28"/>
  <c r="L114" i="28"/>
  <c r="H128" i="28"/>
  <c r="F94" i="28"/>
  <c r="F110" i="28"/>
  <c r="L31" i="28"/>
  <c r="F35" i="28"/>
  <c r="F29" i="28"/>
  <c r="F92" i="28"/>
  <c r="F108" i="28"/>
  <c r="L123" i="28"/>
  <c r="F33" i="28"/>
  <c r="F95" i="28"/>
  <c r="L126" i="28"/>
  <c r="H124" i="28"/>
  <c r="F106" i="28"/>
  <c r="L100" i="28"/>
  <c r="L119" i="28"/>
  <c r="F116" i="28"/>
  <c r="L37" i="28"/>
  <c r="F100" i="28"/>
  <c r="F130" i="28"/>
  <c r="L113" i="28"/>
  <c r="H33" i="28"/>
  <c r="H95" i="28"/>
  <c r="H111" i="28"/>
  <c r="L116" i="28"/>
  <c r="H36" i="28"/>
  <c r="H113" i="28"/>
  <c r="L102" i="28"/>
  <c r="F97" i="28"/>
  <c r="L92" i="28"/>
  <c r="O117" i="28"/>
  <c r="N124" i="28"/>
  <c r="I30" i="28"/>
  <c r="L117" i="28"/>
  <c r="H37" i="28"/>
  <c r="F121" i="28"/>
  <c r="H129" i="28"/>
  <c r="N37" i="28"/>
  <c r="N115" i="28"/>
  <c r="J116" i="28"/>
  <c r="N112" i="28"/>
  <c r="F113" i="28"/>
  <c r="H94" i="28"/>
  <c r="H121" i="28"/>
  <c r="N33" i="28"/>
  <c r="N95" i="28"/>
  <c r="N111" i="28"/>
  <c r="J34" i="28"/>
  <c r="J96" i="28"/>
  <c r="J112" i="28"/>
  <c r="N31" i="28"/>
  <c r="J102" i="28"/>
  <c r="N92" i="28"/>
  <c r="L96" i="28"/>
  <c r="O107" i="28"/>
  <c r="J124" i="28"/>
  <c r="H109" i="28"/>
  <c r="Q49" i="17"/>
  <c r="O94" i="28"/>
  <c r="H98" i="28"/>
  <c r="N116" i="28"/>
  <c r="Q45" i="17"/>
  <c r="J126" i="28"/>
  <c r="O129" i="28"/>
  <c r="O103" i="28"/>
  <c r="Q46" i="17"/>
  <c r="H126" i="28"/>
  <c r="N98" i="28"/>
  <c r="J28" i="28"/>
  <c r="J125" i="28"/>
  <c r="J121" i="28"/>
  <c r="J122" i="28"/>
  <c r="L127" i="28"/>
  <c r="F34" i="28"/>
  <c r="F96" i="28"/>
  <c r="G30" i="28"/>
  <c r="L36" i="28"/>
  <c r="H34" i="28"/>
  <c r="H96" i="28"/>
  <c r="F126" i="28"/>
  <c r="O54" i="17"/>
  <c r="L93" i="28"/>
  <c r="L109" i="28"/>
  <c r="H123" i="28"/>
  <c r="L28" i="28"/>
  <c r="L107" i="28"/>
  <c r="F111" i="28"/>
  <c r="L32" i="28"/>
  <c r="L94" i="28"/>
  <c r="F122" i="28"/>
  <c r="F101" i="28"/>
  <c r="F120" i="28"/>
  <c r="F123" i="28"/>
  <c r="F38" i="28"/>
  <c r="H116" i="28"/>
  <c r="F98" i="28"/>
  <c r="F117" i="28"/>
  <c r="L38" i="28"/>
  <c r="Q44" i="17"/>
  <c r="O119" i="28"/>
  <c r="O99" i="28"/>
  <c r="H108" i="28"/>
  <c r="H99" i="28"/>
  <c r="Q61" i="17"/>
  <c r="Q16" i="17"/>
  <c r="J38" i="28"/>
  <c r="Q21" i="17"/>
  <c r="J35" i="28"/>
  <c r="L128" i="28"/>
  <c r="N127" i="28"/>
  <c r="Q12" i="17"/>
  <c r="N108" i="28"/>
  <c r="O92" i="28"/>
  <c r="F129" i="28"/>
  <c r="M27" i="28"/>
  <c r="N123" i="28"/>
  <c r="J129" i="28"/>
  <c r="H110" i="28"/>
  <c r="N94" i="28"/>
  <c r="N121" i="28"/>
  <c r="N118" i="28"/>
  <c r="N129" i="28"/>
  <c r="O97" i="28"/>
  <c r="O110" i="28"/>
  <c r="Q60" i="17"/>
  <c r="J106" i="28"/>
  <c r="H93" i="28"/>
  <c r="N114" i="28"/>
  <c r="O98" i="28"/>
  <c r="J97" i="28"/>
  <c r="O32" i="28"/>
  <c r="J127" i="28"/>
  <c r="N93" i="28"/>
  <c r="J115" i="28"/>
  <c r="J94" i="28"/>
  <c r="F115" i="28"/>
  <c r="L111" i="28"/>
  <c r="L130" i="28"/>
  <c r="H112" i="28"/>
  <c r="H28" i="28"/>
  <c r="H107" i="28"/>
  <c r="F124" i="28"/>
  <c r="L110" i="28"/>
  <c r="H29" i="28"/>
  <c r="H92" i="28"/>
  <c r="F103" i="28"/>
  <c r="F28" i="28"/>
  <c r="L103" i="28"/>
  <c r="L122" i="28"/>
  <c r="H101" i="28"/>
  <c r="H120" i="28"/>
  <c r="F99" i="28"/>
  <c r="F118" i="28"/>
  <c r="L115" i="28"/>
  <c r="L118" i="28"/>
  <c r="F114" i="28"/>
  <c r="L129" i="28"/>
  <c r="L121" i="28"/>
  <c r="Q43" i="17"/>
  <c r="P54" i="17"/>
  <c r="O37" i="28"/>
  <c r="O100" i="28"/>
  <c r="O102" i="28"/>
  <c r="Q42" i="17"/>
  <c r="O111" i="28"/>
  <c r="O120" i="28"/>
  <c r="O36" i="28"/>
  <c r="Q11" i="17"/>
  <c r="O106" i="28"/>
  <c r="Q20" i="17"/>
  <c r="Q56" i="17"/>
  <c r="P51" i="17"/>
  <c r="O101" i="28"/>
  <c r="O38" i="28"/>
  <c r="Q35" i="17"/>
  <c r="Q34" i="17"/>
  <c r="Q8" i="17"/>
  <c r="D7" i="1"/>
  <c r="B9" i="1" s="1"/>
  <c r="B10" i="1" s="1"/>
  <c r="Q25" i="17"/>
  <c r="Q55" i="17"/>
  <c r="Q18" i="17"/>
  <c r="Q57" i="17"/>
  <c r="O116" i="28"/>
  <c r="Q27" i="17"/>
  <c r="Q19" i="17"/>
  <c r="Q37" i="17"/>
  <c r="Q47" i="17"/>
  <c r="Q59" i="17"/>
  <c r="O128" i="28"/>
  <c r="Q26" i="17"/>
  <c r="Q24" i="17"/>
  <c r="K54" i="17"/>
  <c r="Q52" i="17"/>
  <c r="O121" i="28"/>
  <c r="O51" i="17"/>
  <c r="M51" i="17"/>
  <c r="G51" i="17"/>
  <c r="E27" i="28"/>
  <c r="I54" i="17"/>
  <c r="K30" i="28"/>
  <c r="K51" i="17"/>
  <c r="I51" i="17"/>
  <c r="M54" i="17"/>
  <c r="F30" i="28" l="1"/>
  <c r="N30" i="28"/>
  <c r="J27" i="28"/>
  <c r="F27" i="28"/>
  <c r="L27" i="28"/>
  <c r="L30" i="28"/>
  <c r="H30" i="28"/>
  <c r="N27" i="28"/>
  <c r="Q51" i="17"/>
  <c r="Q54" i="17"/>
  <c r="H27" i="28"/>
  <c r="J30" i="28"/>
  <c r="O30" i="28"/>
  <c r="O27" i="28"/>
  <c r="M4" i="8"/>
  <c r="E4" i="3"/>
  <c r="AK4" i="8"/>
  <c r="AL4" i="8" s="1"/>
  <c r="W4" i="8"/>
  <c r="R4" i="8"/>
  <c r="AG4" i="8"/>
  <c r="AH4" i="8" s="1"/>
  <c r="I4" i="3"/>
  <c r="AM4" i="8"/>
  <c r="AN4" i="8" s="1"/>
  <c r="AO4" i="8"/>
  <c r="AP4" i="8" s="1"/>
  <c r="U4" i="8"/>
  <c r="K4" i="8"/>
  <c r="K4" i="3"/>
  <c r="AF4" i="8"/>
  <c r="G4" i="3"/>
  <c r="AI4" i="8"/>
  <c r="AJ4" i="8" s="1"/>
  <c r="D4" i="8"/>
  <c r="S4" i="8"/>
  <c r="D4" i="3"/>
  <c r="M4" i="3"/>
  <c r="I4" i="8"/>
  <c r="E4" i="8"/>
  <c r="AA4" i="8"/>
  <c r="G4" i="8"/>
  <c r="Y4" i="8"/>
  <c r="I79" i="3"/>
  <c r="I75" i="3"/>
  <c r="I69" i="3"/>
  <c r="I64" i="3"/>
  <c r="I61" i="3"/>
  <c r="I57" i="3"/>
  <c r="I50" i="3"/>
  <c r="I46" i="3"/>
  <c r="I39" i="3"/>
  <c r="I35" i="3"/>
  <c r="I29" i="3"/>
  <c r="I25" i="3"/>
  <c r="I19" i="3"/>
  <c r="I15" i="3"/>
  <c r="I8" i="3"/>
  <c r="I87" i="3"/>
  <c r="I78" i="3"/>
  <c r="I74" i="3"/>
  <c r="I68" i="3"/>
  <c r="I60" i="3"/>
  <c r="I56" i="3"/>
  <c r="I49" i="3"/>
  <c r="I45" i="3"/>
  <c r="I38" i="3"/>
  <c r="I34" i="3"/>
  <c r="I28" i="3"/>
  <c r="I24" i="3"/>
  <c r="I18" i="3"/>
  <c r="I14" i="3"/>
  <c r="I11" i="3"/>
  <c r="I7" i="3"/>
  <c r="I94" i="3"/>
  <c r="I91" i="3"/>
  <c r="I85" i="3"/>
  <c r="I81" i="3"/>
  <c r="I77" i="3"/>
  <c r="I71" i="3"/>
  <c r="I67" i="3"/>
  <c r="I59" i="3"/>
  <c r="I55" i="3"/>
  <c r="I48" i="3"/>
  <c r="I44" i="3"/>
  <c r="I41" i="3"/>
  <c r="I37" i="3"/>
  <c r="I31" i="3"/>
  <c r="I27" i="3"/>
  <c r="I21" i="3"/>
  <c r="I17" i="3"/>
  <c r="I10" i="3"/>
  <c r="I6" i="3"/>
  <c r="I89" i="3"/>
  <c r="I84" i="3"/>
  <c r="I80" i="3"/>
  <c r="I76" i="3"/>
  <c r="I70" i="3"/>
  <c r="I66" i="3"/>
  <c r="I58" i="3"/>
  <c r="I54" i="3"/>
  <c r="I51" i="3"/>
  <c r="I47" i="3"/>
  <c r="I40" i="3"/>
  <c r="I36" i="3"/>
  <c r="I30" i="3"/>
  <c r="I26" i="3"/>
  <c r="I20" i="3"/>
  <c r="I16" i="3"/>
  <c r="I9" i="3"/>
  <c r="I88" i="3"/>
  <c r="I90" i="3"/>
  <c r="I86" i="3"/>
  <c r="K7" i="8"/>
  <c r="K11" i="8"/>
  <c r="K15" i="8"/>
  <c r="K19" i="8"/>
  <c r="K23" i="8"/>
  <c r="K27" i="8"/>
  <c r="K8" i="8"/>
  <c r="K12" i="8"/>
  <c r="K16" i="8"/>
  <c r="K20" i="8"/>
  <c r="K24" i="8"/>
  <c r="K28" i="8"/>
  <c r="K6" i="8"/>
  <c r="K10" i="8"/>
  <c r="K14" i="8"/>
  <c r="K18" i="8"/>
  <c r="K22" i="8"/>
  <c r="K26" i="8"/>
  <c r="K9" i="8"/>
  <c r="K25" i="8"/>
  <c r="K13" i="8"/>
  <c r="K5" i="8"/>
  <c r="K21" i="8"/>
  <c r="K17" i="8"/>
  <c r="M78" i="3"/>
  <c r="M74" i="3"/>
  <c r="M79" i="3"/>
  <c r="M75" i="3"/>
  <c r="M69" i="3"/>
  <c r="M61" i="3"/>
  <c r="M57" i="3"/>
  <c r="M50" i="3"/>
  <c r="M46" i="3"/>
  <c r="M39" i="3"/>
  <c r="M35" i="3"/>
  <c r="M29" i="3"/>
  <c r="M25" i="3"/>
  <c r="M19" i="3"/>
  <c r="M15" i="3"/>
  <c r="M8" i="3"/>
  <c r="M91" i="3"/>
  <c r="M68" i="3"/>
  <c r="M60" i="3"/>
  <c r="M56" i="3"/>
  <c r="M49" i="3"/>
  <c r="M45" i="3"/>
  <c r="M38" i="3"/>
  <c r="M34" i="3"/>
  <c r="M28" i="3"/>
  <c r="M24" i="3"/>
  <c r="M18" i="3"/>
  <c r="M14" i="3"/>
  <c r="M11" i="3"/>
  <c r="M7" i="3"/>
  <c r="M89" i="3"/>
  <c r="M85" i="3"/>
  <c r="M81" i="3"/>
  <c r="M77" i="3"/>
  <c r="M71" i="3"/>
  <c r="M67" i="3"/>
  <c r="M64" i="3"/>
  <c r="M59" i="3"/>
  <c r="M55" i="3"/>
  <c r="M48" i="3"/>
  <c r="M44" i="3"/>
  <c r="M41" i="3"/>
  <c r="M37" i="3"/>
  <c r="M31" i="3"/>
  <c r="M27" i="3"/>
  <c r="M21" i="3"/>
  <c r="M17" i="3"/>
  <c r="M10" i="3"/>
  <c r="M6" i="3"/>
  <c r="M88" i="3"/>
  <c r="M84" i="3"/>
  <c r="M80" i="3"/>
  <c r="M76" i="3"/>
  <c r="M70" i="3"/>
  <c r="M66" i="3"/>
  <c r="M58" i="3"/>
  <c r="M54" i="3"/>
  <c r="M51" i="3"/>
  <c r="M47" i="3"/>
  <c r="M40" i="3"/>
  <c r="M36" i="3"/>
  <c r="M30" i="3"/>
  <c r="M26" i="3"/>
  <c r="M20" i="3"/>
  <c r="M16" i="3"/>
  <c r="M9" i="3"/>
  <c r="M94" i="3"/>
  <c r="M87" i="3"/>
  <c r="M90" i="3"/>
  <c r="M86" i="3"/>
  <c r="G7" i="8"/>
  <c r="G11" i="8"/>
  <c r="G15" i="8"/>
  <c r="G19" i="8"/>
  <c r="G23" i="8"/>
  <c r="G27" i="8"/>
  <c r="G8" i="8"/>
  <c r="G12" i="8"/>
  <c r="G16" i="8"/>
  <c r="G20" i="8"/>
  <c r="G24" i="8"/>
  <c r="G28" i="8"/>
  <c r="G6" i="8"/>
  <c r="G10" i="8"/>
  <c r="G14" i="8"/>
  <c r="G18" i="8"/>
  <c r="G22" i="8"/>
  <c r="G26" i="8"/>
  <c r="G9" i="8"/>
  <c r="G25" i="8"/>
  <c r="G13" i="8"/>
  <c r="G17" i="8"/>
  <c r="G5" i="8"/>
  <c r="G21" i="8"/>
  <c r="M7" i="8"/>
  <c r="M11" i="8"/>
  <c r="M15" i="8"/>
  <c r="M19" i="8"/>
  <c r="M23" i="8"/>
  <c r="M27" i="8"/>
  <c r="M8" i="8"/>
  <c r="M12" i="8"/>
  <c r="M16" i="8"/>
  <c r="M20" i="8"/>
  <c r="M24" i="8"/>
  <c r="M28" i="8"/>
  <c r="M6" i="8"/>
  <c r="M10" i="8"/>
  <c r="M14" i="8"/>
  <c r="M18" i="8"/>
  <c r="M22" i="8"/>
  <c r="M26" i="8"/>
  <c r="M17" i="8"/>
  <c r="M5" i="8"/>
  <c r="M21" i="8"/>
  <c r="M13" i="8"/>
  <c r="M9" i="8"/>
  <c r="M25" i="8"/>
  <c r="E6" i="8"/>
  <c r="E8" i="8"/>
  <c r="E10" i="8"/>
  <c r="E12" i="8"/>
  <c r="E14" i="8"/>
  <c r="E16" i="8"/>
  <c r="E18" i="8"/>
  <c r="E20" i="8"/>
  <c r="E22" i="8"/>
  <c r="E24" i="8"/>
  <c r="E26" i="8"/>
  <c r="E28" i="8"/>
  <c r="E5" i="8"/>
  <c r="E7" i="8"/>
  <c r="E9" i="8"/>
  <c r="E11" i="8"/>
  <c r="E13" i="8"/>
  <c r="E15" i="8"/>
  <c r="E17" i="8"/>
  <c r="E19" i="8"/>
  <c r="E21" i="8"/>
  <c r="E23" i="8"/>
  <c r="E25" i="8"/>
  <c r="E27" i="8"/>
  <c r="G84" i="3"/>
  <c r="G85" i="3"/>
  <c r="G79" i="3"/>
  <c r="G75" i="3"/>
  <c r="G71" i="3"/>
  <c r="G67" i="3"/>
  <c r="G61" i="3"/>
  <c r="G57" i="3"/>
  <c r="G50" i="3"/>
  <c r="G46" i="3"/>
  <c r="G39" i="3"/>
  <c r="G35" i="3"/>
  <c r="G29" i="3"/>
  <c r="G25" i="3"/>
  <c r="G19" i="3"/>
  <c r="G15" i="3"/>
  <c r="G10" i="3"/>
  <c r="G6" i="3"/>
  <c r="G87" i="3"/>
  <c r="G78" i="3"/>
  <c r="G74" i="3"/>
  <c r="G70" i="3"/>
  <c r="G66" i="3"/>
  <c r="G64" i="3"/>
  <c r="G60" i="3"/>
  <c r="G56" i="3"/>
  <c r="G49" i="3"/>
  <c r="G45" i="3"/>
  <c r="G38" i="3"/>
  <c r="G34" i="3"/>
  <c r="G28" i="3"/>
  <c r="G24" i="3"/>
  <c r="G18" i="3"/>
  <c r="G14" i="3"/>
  <c r="G9" i="3"/>
  <c r="G91" i="3"/>
  <c r="G86" i="3"/>
  <c r="G81" i="3"/>
  <c r="G77" i="3"/>
  <c r="G69" i="3"/>
  <c r="G59" i="3"/>
  <c r="G55" i="3"/>
  <c r="G48" i="3"/>
  <c r="G44" i="3"/>
  <c r="G41" i="3"/>
  <c r="G37" i="3"/>
  <c r="G31" i="3"/>
  <c r="G27" i="3"/>
  <c r="G21" i="3"/>
  <c r="G17" i="3"/>
  <c r="G8" i="3"/>
  <c r="G90" i="3"/>
  <c r="G80" i="3"/>
  <c r="G76" i="3"/>
  <c r="G68" i="3"/>
  <c r="G58" i="3"/>
  <c r="G54" i="3"/>
  <c r="G51" i="3"/>
  <c r="G47" i="3"/>
  <c r="G40" i="3"/>
  <c r="G36" i="3"/>
  <c r="G30" i="3"/>
  <c r="G26" i="3"/>
  <c r="G20" i="3"/>
  <c r="G16" i="3"/>
  <c r="G11" i="3"/>
  <c r="G7" i="3"/>
  <c r="G89" i="3"/>
  <c r="G94" i="3"/>
  <c r="G88" i="3"/>
  <c r="AA8" i="8"/>
  <c r="AA12" i="8"/>
  <c r="AA16" i="8"/>
  <c r="AA20" i="8"/>
  <c r="AA24" i="8"/>
  <c r="AA27" i="8"/>
  <c r="AA5" i="8"/>
  <c r="AA9" i="8"/>
  <c r="AA13" i="8"/>
  <c r="AA17" i="8"/>
  <c r="AA21" i="8"/>
  <c r="AA25" i="8"/>
  <c r="AA28" i="8"/>
  <c r="AA7" i="8"/>
  <c r="AA11" i="8"/>
  <c r="AA15" i="8"/>
  <c r="AA19" i="8"/>
  <c r="AA23" i="8"/>
  <c r="AA14" i="8"/>
  <c r="AA18" i="8"/>
  <c r="AA6" i="8"/>
  <c r="AA22" i="8"/>
  <c r="AA10" i="8"/>
  <c r="W6" i="8"/>
  <c r="W10" i="8"/>
  <c r="W14" i="8"/>
  <c r="W18" i="8"/>
  <c r="W22" i="8"/>
  <c r="W27" i="8"/>
  <c r="W7" i="8"/>
  <c r="W11" i="8"/>
  <c r="W15" i="8"/>
  <c r="W19" i="8"/>
  <c r="W23" i="8"/>
  <c r="W28" i="8"/>
  <c r="W5" i="8"/>
  <c r="W9" i="8"/>
  <c r="W13" i="8"/>
  <c r="W17" i="8"/>
  <c r="W21" i="8"/>
  <c r="W25" i="8"/>
  <c r="W8" i="8"/>
  <c r="W24" i="8"/>
  <c r="W12" i="8"/>
  <c r="W16" i="8"/>
  <c r="W20" i="8"/>
  <c r="K84" i="3"/>
  <c r="K78" i="3"/>
  <c r="K74" i="3"/>
  <c r="K85" i="3"/>
  <c r="K79" i="3"/>
  <c r="K75" i="3"/>
  <c r="K71" i="3"/>
  <c r="K67" i="3"/>
  <c r="K61" i="3"/>
  <c r="K57" i="3"/>
  <c r="K50" i="3"/>
  <c r="K46" i="3"/>
  <c r="K39" i="3"/>
  <c r="K35" i="3"/>
  <c r="K29" i="3"/>
  <c r="K25" i="3"/>
  <c r="K19" i="3"/>
  <c r="K15" i="3"/>
  <c r="K10" i="3"/>
  <c r="K6" i="3"/>
  <c r="K94" i="3"/>
  <c r="K91" i="3"/>
  <c r="K86" i="3"/>
  <c r="K70" i="3"/>
  <c r="K66" i="3"/>
  <c r="K60" i="3"/>
  <c r="K56" i="3"/>
  <c r="K49" i="3"/>
  <c r="K45" i="3"/>
  <c r="K38" i="3"/>
  <c r="K34" i="3"/>
  <c r="K28" i="3"/>
  <c r="K24" i="3"/>
  <c r="K18" i="3"/>
  <c r="K14" i="3"/>
  <c r="K9" i="3"/>
  <c r="K90" i="3"/>
  <c r="K81" i="3"/>
  <c r="K77" i="3"/>
  <c r="K69" i="3"/>
  <c r="K59" i="3"/>
  <c r="K55" i="3"/>
  <c r="K48" i="3"/>
  <c r="K44" i="3"/>
  <c r="K41" i="3"/>
  <c r="K37" i="3"/>
  <c r="K31" i="3"/>
  <c r="K27" i="3"/>
  <c r="K21" i="3"/>
  <c r="K17" i="3"/>
  <c r="K8" i="3"/>
  <c r="K89" i="3"/>
  <c r="K80" i="3"/>
  <c r="K76" i="3"/>
  <c r="K68" i="3"/>
  <c r="K64" i="3"/>
  <c r="K58" i="3"/>
  <c r="K54" i="3"/>
  <c r="K51" i="3"/>
  <c r="K47" i="3"/>
  <c r="K40" i="3"/>
  <c r="K36" i="3"/>
  <c r="K30" i="3"/>
  <c r="K26" i="3"/>
  <c r="K20" i="3"/>
  <c r="K16" i="3"/>
  <c r="K11" i="3"/>
  <c r="K7" i="3"/>
  <c r="K87" i="3"/>
  <c r="K88" i="3"/>
  <c r="D6" i="8"/>
  <c r="D8" i="8"/>
  <c r="D10" i="8"/>
  <c r="D12" i="8"/>
  <c r="D14" i="8"/>
  <c r="D16" i="8"/>
  <c r="D18" i="8"/>
  <c r="D20" i="8"/>
  <c r="D22" i="8"/>
  <c r="D24" i="8"/>
  <c r="D26" i="8"/>
  <c r="D28" i="8"/>
  <c r="D7" i="8"/>
  <c r="D15" i="8"/>
  <c r="D23" i="8"/>
  <c r="D9" i="8"/>
  <c r="D17" i="8"/>
  <c r="D25" i="8"/>
  <c r="D11" i="8"/>
  <c r="D19" i="8"/>
  <c r="D27" i="8"/>
  <c r="D5" i="8"/>
  <c r="D13" i="8"/>
  <c r="D21" i="8"/>
  <c r="I7" i="8"/>
  <c r="I11" i="8"/>
  <c r="I15" i="8"/>
  <c r="I19" i="8"/>
  <c r="I23" i="8"/>
  <c r="I27" i="8"/>
  <c r="I8" i="8"/>
  <c r="I12" i="8"/>
  <c r="I16" i="8"/>
  <c r="I20" i="8"/>
  <c r="I24" i="8"/>
  <c r="I28" i="8"/>
  <c r="I6" i="8"/>
  <c r="I10" i="8"/>
  <c r="I14" i="8"/>
  <c r="I18" i="8"/>
  <c r="I22" i="8"/>
  <c r="I26" i="8"/>
  <c r="I17" i="8"/>
  <c r="I5" i="8"/>
  <c r="I21" i="8"/>
  <c r="I9" i="8"/>
  <c r="I25" i="8"/>
  <c r="I13" i="8"/>
  <c r="Y5" i="8"/>
  <c r="Y9" i="8"/>
  <c r="Y13" i="8"/>
  <c r="Y17" i="8"/>
  <c r="Y21" i="8"/>
  <c r="Y25" i="8"/>
  <c r="Y6" i="8"/>
  <c r="Y10" i="8"/>
  <c r="Y14" i="8"/>
  <c r="Y18" i="8"/>
  <c r="Y22" i="8"/>
  <c r="Y8" i="8"/>
  <c r="Y12" i="8"/>
  <c r="Y16" i="8"/>
  <c r="Y20" i="8"/>
  <c r="Y24" i="8"/>
  <c r="Y28" i="8"/>
  <c r="Y19" i="8"/>
  <c r="Y7" i="8"/>
  <c r="Y23" i="8"/>
  <c r="Y27" i="8"/>
  <c r="Y11" i="8"/>
  <c r="Y15" i="8"/>
  <c r="R5" i="8"/>
  <c r="R7" i="8"/>
  <c r="R9" i="8"/>
  <c r="R11" i="8"/>
  <c r="R13" i="8"/>
  <c r="R15" i="8"/>
  <c r="R17" i="8"/>
  <c r="R19" i="8"/>
  <c r="R21" i="8"/>
  <c r="R23" i="8"/>
  <c r="R25" i="8"/>
  <c r="R28" i="8"/>
  <c r="R6" i="8"/>
  <c r="R14" i="8"/>
  <c r="R22" i="8"/>
  <c r="R8" i="8"/>
  <c r="R16" i="8"/>
  <c r="R24" i="8"/>
  <c r="R10" i="8"/>
  <c r="R18" i="8"/>
  <c r="R12" i="8"/>
  <c r="R20" i="8"/>
  <c r="R27" i="8"/>
  <c r="S5" i="8"/>
  <c r="S7" i="8"/>
  <c r="S9" i="8"/>
  <c r="S11" i="8"/>
  <c r="S13" i="8"/>
  <c r="S15" i="8"/>
  <c r="S17" i="8"/>
  <c r="S19" i="8"/>
  <c r="S21" i="8"/>
  <c r="S23" i="8"/>
  <c r="S25" i="8"/>
  <c r="S28" i="8"/>
  <c r="S6" i="8"/>
  <c r="S8" i="8"/>
  <c r="S10" i="8"/>
  <c r="S12" i="8"/>
  <c r="S14" i="8"/>
  <c r="S16" i="8"/>
  <c r="S18" i="8"/>
  <c r="S20" i="8"/>
  <c r="S22" i="8"/>
  <c r="S24" i="8"/>
  <c r="S27" i="8"/>
  <c r="E84" i="3"/>
  <c r="E80" i="3"/>
  <c r="E78" i="3"/>
  <c r="E76" i="3"/>
  <c r="E74" i="3"/>
  <c r="E70" i="3"/>
  <c r="E68" i="3"/>
  <c r="E66" i="3"/>
  <c r="E61" i="3"/>
  <c r="E59" i="3"/>
  <c r="E57" i="3"/>
  <c r="E55" i="3"/>
  <c r="E44" i="3"/>
  <c r="E40" i="3"/>
  <c r="E38" i="3"/>
  <c r="E36" i="3"/>
  <c r="E34" i="3"/>
  <c r="E30" i="3"/>
  <c r="E28" i="3"/>
  <c r="E26" i="3"/>
  <c r="E24" i="3"/>
  <c r="E20" i="3"/>
  <c r="E18" i="3"/>
  <c r="E16" i="3"/>
  <c r="E7" i="3"/>
  <c r="E54" i="3"/>
  <c r="E50" i="3"/>
  <c r="E48" i="3"/>
  <c r="E46" i="3"/>
  <c r="E11" i="3"/>
  <c r="E9" i="3"/>
  <c r="E85" i="3"/>
  <c r="E81" i="3"/>
  <c r="E79" i="3"/>
  <c r="E77" i="3"/>
  <c r="E75" i="3"/>
  <c r="E71" i="3"/>
  <c r="E69" i="3"/>
  <c r="E67" i="3"/>
  <c r="E64" i="3"/>
  <c r="E60" i="3"/>
  <c r="E58" i="3"/>
  <c r="E56" i="3"/>
  <c r="E41" i="3"/>
  <c r="E39" i="3"/>
  <c r="E37" i="3"/>
  <c r="E35" i="3"/>
  <c r="E31" i="3"/>
  <c r="E29" i="3"/>
  <c r="E27" i="3"/>
  <c r="E25" i="3"/>
  <c r="E21" i="3"/>
  <c r="E19" i="3"/>
  <c r="E17" i="3"/>
  <c r="E15" i="3"/>
  <c r="E6" i="3"/>
  <c r="E94" i="3"/>
  <c r="E90" i="3"/>
  <c r="E51" i="3"/>
  <c r="E49" i="3"/>
  <c r="E47" i="3"/>
  <c r="E45" i="3"/>
  <c r="E14" i="3"/>
  <c r="E10" i="3"/>
  <c r="E8" i="3"/>
  <c r="E88" i="3"/>
  <c r="E86" i="3"/>
  <c r="E91" i="3"/>
  <c r="E89" i="3"/>
  <c r="E87" i="3"/>
  <c r="U7" i="8"/>
  <c r="U11" i="8"/>
  <c r="U15" i="8"/>
  <c r="U19" i="8"/>
  <c r="U23" i="8"/>
  <c r="U8" i="8"/>
  <c r="U12" i="8"/>
  <c r="U16" i="8"/>
  <c r="U20" i="8"/>
  <c r="U24" i="8"/>
  <c r="U6" i="8"/>
  <c r="U10" i="8"/>
  <c r="U14" i="8"/>
  <c r="U18" i="8"/>
  <c r="U22" i="8"/>
  <c r="U28" i="8"/>
  <c r="U13" i="8"/>
  <c r="U27" i="8"/>
  <c r="U17" i="8"/>
  <c r="U5" i="8"/>
  <c r="U21" i="8"/>
  <c r="U9" i="8"/>
  <c r="U25" i="8"/>
  <c r="D86" i="3"/>
  <c r="D84" i="3"/>
  <c r="D51" i="3"/>
  <c r="D49" i="3"/>
  <c r="D47" i="3"/>
  <c r="D14" i="3"/>
  <c r="D10" i="3"/>
  <c r="D88" i="3"/>
  <c r="D80" i="3"/>
  <c r="D78" i="3"/>
  <c r="D76" i="3"/>
  <c r="D74" i="3"/>
  <c r="D70" i="3"/>
  <c r="D68" i="3"/>
  <c r="D66" i="3"/>
  <c r="D61" i="3"/>
  <c r="D59" i="3"/>
  <c r="D57" i="3"/>
  <c r="D44" i="3"/>
  <c r="D40" i="3"/>
  <c r="D38" i="3"/>
  <c r="D36" i="3"/>
  <c r="D34" i="3"/>
  <c r="D30" i="3"/>
  <c r="D28" i="3"/>
  <c r="D26" i="3"/>
  <c r="D24" i="3"/>
  <c r="D20" i="3"/>
  <c r="D18" i="3"/>
  <c r="D16" i="3"/>
  <c r="D7" i="3"/>
  <c r="D54" i="3"/>
  <c r="D50" i="3"/>
  <c r="D48" i="3"/>
  <c r="D46" i="3"/>
  <c r="D11" i="3"/>
  <c r="D9" i="3"/>
  <c r="D81" i="3"/>
  <c r="D79" i="3"/>
  <c r="D77" i="3"/>
  <c r="D71" i="3"/>
  <c r="D69" i="3"/>
  <c r="D67" i="3"/>
  <c r="D64" i="3"/>
  <c r="D60" i="3"/>
  <c r="D58" i="3"/>
  <c r="D56" i="3"/>
  <c r="D41" i="3"/>
  <c r="D39" i="3"/>
  <c r="D37" i="3"/>
  <c r="D31" i="3"/>
  <c r="D29" i="3"/>
  <c r="D27" i="3"/>
  <c r="D21" i="3"/>
  <c r="D19" i="3"/>
  <c r="D17" i="3"/>
  <c r="D94" i="3"/>
  <c r="D90" i="3"/>
  <c r="D8" i="3"/>
  <c r="D6" i="3"/>
  <c r="D91" i="3"/>
  <c r="D89" i="3"/>
  <c r="D87" i="3"/>
  <c r="N4" i="8" l="1"/>
  <c r="F4" i="8"/>
  <c r="X4" i="8"/>
  <c r="N4" i="3"/>
  <c r="F4" i="3"/>
  <c r="L4" i="3"/>
  <c r="J4" i="3"/>
  <c r="AB4" i="8"/>
  <c r="V4" i="8"/>
  <c r="Z4" i="8"/>
  <c r="T4" i="8"/>
  <c r="H4" i="8"/>
  <c r="H4" i="3"/>
  <c r="L4" i="8"/>
  <c r="J4" i="8"/>
  <c r="V8" i="8" l="1"/>
  <c r="V24" i="8"/>
  <c r="V19" i="8"/>
  <c r="V17" i="8"/>
  <c r="V14" i="8"/>
  <c r="V23" i="8"/>
  <c r="T7" i="8"/>
  <c r="T15" i="8"/>
  <c r="T23" i="8"/>
  <c r="T12" i="8"/>
  <c r="T24" i="8"/>
  <c r="T27" i="8"/>
  <c r="Z18" i="8"/>
  <c r="Z9" i="8"/>
  <c r="Z11" i="8"/>
  <c r="Z8" i="8"/>
  <c r="Z13" i="8"/>
  <c r="X7" i="8"/>
  <c r="X23" i="8"/>
  <c r="X6" i="8"/>
  <c r="X12" i="8"/>
  <c r="X9" i="8"/>
  <c r="X22" i="8"/>
  <c r="AB9" i="8"/>
  <c r="AC9" i="8"/>
  <c r="AD9" i="8" s="1"/>
  <c r="AB25" i="8"/>
  <c r="AC25" i="8"/>
  <c r="AD25" i="8" s="1"/>
  <c r="AC15" i="8"/>
  <c r="AD15" i="8" s="1"/>
  <c r="AB15" i="8"/>
  <c r="AB6" i="8"/>
  <c r="AC6" i="8"/>
  <c r="AD6" i="8" s="1"/>
  <c r="AC19" i="8"/>
  <c r="AD19" i="8" s="1"/>
  <c r="AB19" i="8"/>
  <c r="AC28" i="8"/>
  <c r="AD28" i="8" s="1"/>
  <c r="AB28" i="8"/>
  <c r="V12" i="8"/>
  <c r="V10" i="8"/>
  <c r="V5" i="8"/>
  <c r="V21" i="8"/>
  <c r="V22" i="8"/>
  <c r="V27" i="8"/>
  <c r="T9" i="8"/>
  <c r="T17" i="8"/>
  <c r="T25" i="8"/>
  <c r="T16" i="8"/>
  <c r="T8" i="8"/>
  <c r="T28" i="8"/>
  <c r="Z6" i="8"/>
  <c r="Z22" i="8"/>
  <c r="Z17" i="8"/>
  <c r="Z15" i="8"/>
  <c r="Z16" i="8"/>
  <c r="Z21" i="8"/>
  <c r="X11" i="8"/>
  <c r="X5" i="8"/>
  <c r="X14" i="8"/>
  <c r="X16" i="8"/>
  <c r="X17" i="8"/>
  <c r="X27" i="8"/>
  <c r="AB13" i="8"/>
  <c r="AC13" i="8"/>
  <c r="AD13" i="8" s="1"/>
  <c r="AC14" i="8"/>
  <c r="AD14" i="8" s="1"/>
  <c r="AB14" i="8"/>
  <c r="AB23" i="8"/>
  <c r="AC23" i="8"/>
  <c r="AD23" i="8" s="1"/>
  <c r="AC10" i="8"/>
  <c r="AD10" i="8" s="1"/>
  <c r="AB10" i="8"/>
  <c r="AB8" i="8"/>
  <c r="AC8" i="8"/>
  <c r="AD8" i="8" s="1"/>
  <c r="AB27" i="8"/>
  <c r="AC27" i="8"/>
  <c r="AD27" i="8" s="1"/>
  <c r="V16" i="8"/>
  <c r="V18" i="8"/>
  <c r="V9" i="8"/>
  <c r="V25" i="8"/>
  <c r="V7" i="8"/>
  <c r="V28" i="8"/>
  <c r="T11" i="8"/>
  <c r="T19" i="8"/>
  <c r="T6" i="8"/>
  <c r="T18" i="8"/>
  <c r="T14" i="8"/>
  <c r="Z10" i="8"/>
  <c r="Z12" i="8"/>
  <c r="Z25" i="8"/>
  <c r="Z19" i="8"/>
  <c r="Z24" i="8"/>
  <c r="Z27" i="8"/>
  <c r="X15" i="8"/>
  <c r="X13" i="8"/>
  <c r="X18" i="8"/>
  <c r="X20" i="8"/>
  <c r="X25" i="8"/>
  <c r="X28" i="8"/>
  <c r="AC17" i="8"/>
  <c r="AD17" i="8" s="1"/>
  <c r="AB17" i="8"/>
  <c r="AB22" i="8"/>
  <c r="AC22" i="8"/>
  <c r="AD22" i="8" s="1"/>
  <c r="AC12" i="8"/>
  <c r="AD12" i="8" s="1"/>
  <c r="AB12" i="8"/>
  <c r="AB18" i="8"/>
  <c r="AC18" i="8"/>
  <c r="AD18" i="8" s="1"/>
  <c r="AC16" i="8"/>
  <c r="AD16" i="8" s="1"/>
  <c r="AB16" i="8"/>
  <c r="V20" i="8"/>
  <c r="V11" i="8"/>
  <c r="V13" i="8"/>
  <c r="V6" i="8"/>
  <c r="V15" i="8"/>
  <c r="T5" i="8"/>
  <c r="T13" i="8"/>
  <c r="T21" i="8"/>
  <c r="T10" i="8"/>
  <c r="T22" i="8"/>
  <c r="T20" i="8"/>
  <c r="Z14" i="8"/>
  <c r="Z20" i="8"/>
  <c r="Z7" i="8"/>
  <c r="Z23" i="8"/>
  <c r="Z5" i="8"/>
  <c r="Z28" i="8"/>
  <c r="X19" i="8"/>
  <c r="X21" i="8"/>
  <c r="X8" i="8"/>
  <c r="X24" i="8"/>
  <c r="X10" i="8"/>
  <c r="AC5" i="8"/>
  <c r="AD5" i="8" s="1"/>
  <c r="AB5" i="8"/>
  <c r="AC21" i="8"/>
  <c r="AD21" i="8" s="1"/>
  <c r="AB21" i="8"/>
  <c r="AB7" i="8"/>
  <c r="AC7" i="8"/>
  <c r="AD7" i="8" s="1"/>
  <c r="AB24" i="8"/>
  <c r="AC24" i="8"/>
  <c r="AD24" i="8" s="1"/>
  <c r="AB11" i="8"/>
  <c r="AC11" i="8"/>
  <c r="AD11" i="8" s="1"/>
  <c r="AB20" i="8"/>
  <c r="AC20" i="8"/>
  <c r="AD20" i="8" s="1"/>
  <c r="G64" i="28"/>
  <c r="H13" i="8"/>
  <c r="AI13" i="8"/>
  <c r="N86" i="3"/>
  <c r="O86" i="3"/>
  <c r="P86" i="3" s="1"/>
  <c r="M92" i="3"/>
  <c r="O7" i="3"/>
  <c r="P7" i="3" s="1"/>
  <c r="N7" i="3"/>
  <c r="M97" i="3"/>
  <c r="N27" i="3"/>
  <c r="O27" i="3"/>
  <c r="P27" i="3" s="1"/>
  <c r="O47" i="3"/>
  <c r="P47" i="3" s="1"/>
  <c r="N47" i="3"/>
  <c r="O68" i="3"/>
  <c r="P68" i="3" s="1"/>
  <c r="N68" i="3"/>
  <c r="D93" i="3"/>
  <c r="D100" i="3"/>
  <c r="D52" i="3"/>
  <c r="H6" i="8"/>
  <c r="AI6" i="8"/>
  <c r="G57" i="28"/>
  <c r="G65" i="28"/>
  <c r="AI14" i="8"/>
  <c r="H14" i="8"/>
  <c r="G73" i="28"/>
  <c r="AI22" i="8"/>
  <c r="H22" i="8"/>
  <c r="N91" i="3"/>
  <c r="O91" i="3"/>
  <c r="P91" i="3" s="1"/>
  <c r="N18" i="3"/>
  <c r="O18" i="3"/>
  <c r="P18" i="3" s="1"/>
  <c r="M33" i="3"/>
  <c r="N29" i="3"/>
  <c r="M99" i="3"/>
  <c r="O29" i="3"/>
  <c r="P29" i="3" s="1"/>
  <c r="O49" i="3"/>
  <c r="P49" i="3" s="1"/>
  <c r="M53" i="3"/>
  <c r="N49" i="3"/>
  <c r="N70" i="3"/>
  <c r="O70" i="3"/>
  <c r="P70" i="3" s="1"/>
  <c r="M23" i="28"/>
  <c r="O84" i="3"/>
  <c r="N84" i="3"/>
  <c r="D32" i="3"/>
  <c r="D96" i="3"/>
  <c r="D43" i="3"/>
  <c r="D62" i="3"/>
  <c r="L91" i="3"/>
  <c r="L16" i="3"/>
  <c r="K22" i="3"/>
  <c r="K42" i="3"/>
  <c r="L36" i="3"/>
  <c r="K62" i="3"/>
  <c r="L56" i="3"/>
  <c r="L70" i="3"/>
  <c r="I22" i="3"/>
  <c r="J16" i="3"/>
  <c r="J28" i="3"/>
  <c r="I98" i="3"/>
  <c r="J48" i="3"/>
  <c r="J61" i="3"/>
  <c r="E22" i="3"/>
  <c r="F16" i="3"/>
  <c r="AI11" i="8"/>
  <c r="H11" i="8"/>
  <c r="G62" i="28"/>
  <c r="AI15" i="8"/>
  <c r="G66" i="28"/>
  <c r="H15" i="8"/>
  <c r="G70" i="28"/>
  <c r="AI19" i="8"/>
  <c r="H19" i="8"/>
  <c r="G78" i="28"/>
  <c r="H27" i="8"/>
  <c r="AI27" i="8"/>
  <c r="M24" i="28"/>
  <c r="N94" i="3"/>
  <c r="O94" i="3"/>
  <c r="M13" i="3"/>
  <c r="N9" i="3"/>
  <c r="O9" i="3"/>
  <c r="P9" i="3" s="1"/>
  <c r="N19" i="3"/>
  <c r="M23" i="3"/>
  <c r="O19" i="3"/>
  <c r="P19" i="3" s="1"/>
  <c r="O37" i="3"/>
  <c r="P37" i="3" s="1"/>
  <c r="N37" i="3"/>
  <c r="N57" i="3"/>
  <c r="O57" i="3"/>
  <c r="P57" i="3" s="1"/>
  <c r="O66" i="3"/>
  <c r="P66" i="3" s="1"/>
  <c r="N66" i="3"/>
  <c r="M72" i="3"/>
  <c r="N78" i="3"/>
  <c r="O78" i="3"/>
  <c r="P78" i="3" s="1"/>
  <c r="D97" i="3"/>
  <c r="D53" i="3"/>
  <c r="D72" i="3"/>
  <c r="L87" i="3"/>
  <c r="K24" i="28"/>
  <c r="L94" i="3"/>
  <c r="L18" i="3"/>
  <c r="L38" i="3"/>
  <c r="L50" i="3"/>
  <c r="L58" i="3"/>
  <c r="K72" i="3"/>
  <c r="L66" i="3"/>
  <c r="L79" i="3"/>
  <c r="K83" i="3"/>
  <c r="I92" i="3"/>
  <c r="J86" i="3"/>
  <c r="J91" i="3"/>
  <c r="J10" i="3"/>
  <c r="J17" i="3"/>
  <c r="I14" i="28"/>
  <c r="J24" i="3"/>
  <c r="J14" i="28" s="1"/>
  <c r="J30" i="3"/>
  <c r="I100" i="3"/>
  <c r="J37" i="3"/>
  <c r="J44" i="3"/>
  <c r="J50" i="3"/>
  <c r="J57" i="3"/>
  <c r="J71" i="3"/>
  <c r="J78" i="3"/>
  <c r="E24" i="28"/>
  <c r="F94" i="3"/>
  <c r="F10" i="3"/>
  <c r="F17" i="3"/>
  <c r="E100" i="3"/>
  <c r="F30" i="3"/>
  <c r="F37" i="3"/>
  <c r="F51" i="3"/>
  <c r="F61" i="3"/>
  <c r="E22" i="28"/>
  <c r="F74" i="3"/>
  <c r="E23" i="28"/>
  <c r="F84" i="3"/>
  <c r="M61" i="28"/>
  <c r="AO10" i="8"/>
  <c r="N10" i="8"/>
  <c r="O10" i="8"/>
  <c r="M69" i="28"/>
  <c r="N18" i="8"/>
  <c r="O18" i="8"/>
  <c r="AO18" i="8"/>
  <c r="K67" i="28"/>
  <c r="AM16" i="8"/>
  <c r="L16" i="8"/>
  <c r="G59" i="28"/>
  <c r="H8" i="8"/>
  <c r="AI8" i="8"/>
  <c r="G63" i="28"/>
  <c r="H12" i="8"/>
  <c r="AI12" i="8"/>
  <c r="AI16" i="8"/>
  <c r="H16" i="8"/>
  <c r="G67" i="28"/>
  <c r="G71" i="28"/>
  <c r="AI20" i="8"/>
  <c r="H20" i="8"/>
  <c r="G75" i="28"/>
  <c r="AI24" i="8"/>
  <c r="H24" i="8"/>
  <c r="G79" i="28"/>
  <c r="AI28" i="8"/>
  <c r="H28" i="8"/>
  <c r="H79" i="28" s="1"/>
  <c r="N89" i="3"/>
  <c r="M93" i="3"/>
  <c r="O89" i="3"/>
  <c r="P89" i="3" s="1"/>
  <c r="O6" i="3"/>
  <c r="P6" i="3" s="1"/>
  <c r="M12" i="3"/>
  <c r="N6" i="3"/>
  <c r="N10" i="3"/>
  <c r="O10" i="3"/>
  <c r="P10" i="3" s="1"/>
  <c r="N16" i="3"/>
  <c r="O16" i="3"/>
  <c r="P16" i="3" s="1"/>
  <c r="M22" i="3"/>
  <c r="O20" i="3"/>
  <c r="P20" i="3" s="1"/>
  <c r="N20" i="3"/>
  <c r="N26" i="3"/>
  <c r="M32" i="3"/>
  <c r="O26" i="3"/>
  <c r="P26" i="3" s="1"/>
  <c r="M96" i="3"/>
  <c r="N31" i="3"/>
  <c r="M101" i="3"/>
  <c r="O31" i="3"/>
  <c r="P31" i="3" s="1"/>
  <c r="N39" i="3"/>
  <c r="O39" i="3"/>
  <c r="P39" i="3" s="1"/>
  <c r="M43" i="3"/>
  <c r="M52" i="3"/>
  <c r="O46" i="3"/>
  <c r="P46" i="3" s="1"/>
  <c r="N46" i="3"/>
  <c r="O51" i="3"/>
  <c r="P51" i="3" s="1"/>
  <c r="N51" i="3"/>
  <c r="O59" i="3"/>
  <c r="P59" i="3" s="1"/>
  <c r="M63" i="3"/>
  <c r="N59" i="3"/>
  <c r="O67" i="3"/>
  <c r="P67" i="3" s="1"/>
  <c r="N67" i="3"/>
  <c r="M22" i="28"/>
  <c r="O74" i="3"/>
  <c r="O22" i="28" s="1"/>
  <c r="N74" i="3"/>
  <c r="N80" i="3"/>
  <c r="O80" i="3"/>
  <c r="P80" i="3" s="1"/>
  <c r="D12" i="3"/>
  <c r="D108" i="3"/>
  <c r="D98" i="3"/>
  <c r="D63" i="3"/>
  <c r="L88" i="3"/>
  <c r="K12" i="3"/>
  <c r="L6" i="3"/>
  <c r="K13" i="28"/>
  <c r="K108" i="3"/>
  <c r="L14" i="3"/>
  <c r="K23" i="3"/>
  <c r="L19" i="3"/>
  <c r="L26" i="3"/>
  <c r="K96" i="3"/>
  <c r="K32" i="3"/>
  <c r="K104" i="3"/>
  <c r="K19" i="28" s="1"/>
  <c r="L34" i="3"/>
  <c r="K43" i="3"/>
  <c r="L39" i="3"/>
  <c r="L46" i="3"/>
  <c r="K52" i="3"/>
  <c r="K15" i="28"/>
  <c r="L54" i="3"/>
  <c r="L59" i="3"/>
  <c r="K63" i="3"/>
  <c r="L67" i="3"/>
  <c r="L80" i="3"/>
  <c r="J87" i="3"/>
  <c r="I12" i="3"/>
  <c r="J6" i="3"/>
  <c r="J11" i="3"/>
  <c r="J18" i="3"/>
  <c r="I32" i="3"/>
  <c r="J26" i="3"/>
  <c r="I96" i="3"/>
  <c r="J31" i="3"/>
  <c r="I101" i="3"/>
  <c r="J38" i="3"/>
  <c r="J46" i="3"/>
  <c r="I52" i="3"/>
  <c r="J51" i="3"/>
  <c r="J58" i="3"/>
  <c r="J67" i="3"/>
  <c r="J74" i="3"/>
  <c r="I22" i="28"/>
  <c r="J79" i="3"/>
  <c r="I83" i="3"/>
  <c r="F88" i="3"/>
  <c r="F6" i="3"/>
  <c r="E12" i="3"/>
  <c r="F11" i="3"/>
  <c r="F19" i="3"/>
  <c r="E23" i="3"/>
  <c r="E32" i="3"/>
  <c r="E96" i="3"/>
  <c r="F26" i="3"/>
  <c r="F31" i="3"/>
  <c r="E101" i="3"/>
  <c r="E43" i="3"/>
  <c r="F39" i="3"/>
  <c r="F46" i="3"/>
  <c r="E52" i="3"/>
  <c r="E72" i="3"/>
  <c r="F66" i="3"/>
  <c r="E82" i="3"/>
  <c r="F76" i="3"/>
  <c r="F86" i="3"/>
  <c r="E92" i="3"/>
  <c r="O92" i="3" s="1"/>
  <c r="P92" i="3" s="1"/>
  <c r="M63" i="28"/>
  <c r="N12" i="8"/>
  <c r="O12" i="8"/>
  <c r="AO12" i="8"/>
  <c r="M71" i="28"/>
  <c r="AO20" i="8"/>
  <c r="O20" i="8"/>
  <c r="N20" i="8"/>
  <c r="M79" i="28"/>
  <c r="O28" i="8"/>
  <c r="AO28" i="8"/>
  <c r="N28" i="8"/>
  <c r="N79" i="28" s="1"/>
  <c r="G76" i="28"/>
  <c r="AI25" i="8"/>
  <c r="H25" i="8"/>
  <c r="O21" i="3"/>
  <c r="P21" i="3" s="1"/>
  <c r="N21" i="3"/>
  <c r="N60" i="3"/>
  <c r="O60" i="3"/>
  <c r="P60" i="3" s="1"/>
  <c r="L89" i="3"/>
  <c r="K93" i="3"/>
  <c r="L8" i="3"/>
  <c r="L20" i="3"/>
  <c r="L28" i="3"/>
  <c r="K98" i="3"/>
  <c r="L40" i="3"/>
  <c r="L48" i="3"/>
  <c r="L60" i="3"/>
  <c r="L69" i="3"/>
  <c r="K73" i="3"/>
  <c r="L76" i="3"/>
  <c r="K82" i="3"/>
  <c r="L81" i="3"/>
  <c r="I93" i="3"/>
  <c r="J89" i="3"/>
  <c r="J7" i="3"/>
  <c r="I13" i="28"/>
  <c r="J14" i="3"/>
  <c r="I108" i="3"/>
  <c r="J20" i="3"/>
  <c r="I97" i="3"/>
  <c r="J27" i="3"/>
  <c r="J34" i="3"/>
  <c r="I104" i="3"/>
  <c r="I19" i="28" s="1"/>
  <c r="J40" i="3"/>
  <c r="J47" i="3"/>
  <c r="I15" i="28"/>
  <c r="J54" i="3"/>
  <c r="J60" i="3"/>
  <c r="J68" i="3"/>
  <c r="J81" i="3"/>
  <c r="E93" i="3"/>
  <c r="F89" i="3"/>
  <c r="F7" i="3"/>
  <c r="F20" i="3"/>
  <c r="E97" i="3"/>
  <c r="F27" i="3"/>
  <c r="F40" i="3"/>
  <c r="F47" i="3"/>
  <c r="F57" i="3"/>
  <c r="F68" i="3"/>
  <c r="F78" i="3"/>
  <c r="M57" i="28"/>
  <c r="N6" i="8"/>
  <c r="O6" i="8"/>
  <c r="AO6" i="8"/>
  <c r="M65" i="28"/>
  <c r="N14" i="8"/>
  <c r="O14" i="8"/>
  <c r="AO14" i="8"/>
  <c r="M73" i="28"/>
  <c r="O22" i="8"/>
  <c r="AO22" i="8"/>
  <c r="N22" i="8"/>
  <c r="K59" i="28"/>
  <c r="L8" i="8"/>
  <c r="L59" i="28" s="1"/>
  <c r="AM8" i="8"/>
  <c r="H9" i="8"/>
  <c r="G60" i="28"/>
  <c r="AI9" i="8"/>
  <c r="G68" i="28"/>
  <c r="AI17" i="8"/>
  <c r="H17" i="8"/>
  <c r="O90" i="3"/>
  <c r="P90" i="3" s="1"/>
  <c r="N90" i="3"/>
  <c r="N17" i="3"/>
  <c r="O17" i="3"/>
  <c r="P17" i="3" s="1"/>
  <c r="O81" i="3"/>
  <c r="P81" i="3" s="1"/>
  <c r="N81" i="3"/>
  <c r="G61" i="28"/>
  <c r="AI10" i="8"/>
  <c r="H10" i="8"/>
  <c r="H26" i="8"/>
  <c r="H77" i="28" s="1"/>
  <c r="G77" i="28"/>
  <c r="AI26" i="8"/>
  <c r="O8" i="3"/>
  <c r="P8" i="3" s="1"/>
  <c r="N8" i="3"/>
  <c r="M14" i="28"/>
  <c r="N24" i="3"/>
  <c r="O24" i="3"/>
  <c r="P24" i="3" s="1"/>
  <c r="O36" i="3"/>
  <c r="P36" i="3" s="1"/>
  <c r="N36" i="3"/>
  <c r="M42" i="3"/>
  <c r="O56" i="3"/>
  <c r="P56" i="3" s="1"/>
  <c r="N56" i="3"/>
  <c r="M62" i="3"/>
  <c r="O77" i="3"/>
  <c r="P77" i="3" s="1"/>
  <c r="N77" i="3"/>
  <c r="D92" i="3"/>
  <c r="L9" i="3"/>
  <c r="K13" i="3"/>
  <c r="K33" i="3"/>
  <c r="L29" i="3"/>
  <c r="K99" i="3"/>
  <c r="L44" i="3"/>
  <c r="K16" i="28"/>
  <c r="L64" i="3"/>
  <c r="J90" i="3"/>
  <c r="J21" i="3"/>
  <c r="I42" i="3"/>
  <c r="J36" i="3"/>
  <c r="J56" i="3"/>
  <c r="I62" i="3"/>
  <c r="J69" i="3"/>
  <c r="I73" i="3"/>
  <c r="J77" i="3"/>
  <c r="I23" i="28"/>
  <c r="J84" i="3"/>
  <c r="E13" i="3"/>
  <c r="F9" i="3"/>
  <c r="F21" i="3"/>
  <c r="F29" i="3"/>
  <c r="E99" i="3"/>
  <c r="E33" i="3"/>
  <c r="O33" i="3" s="1"/>
  <c r="P33" i="3" s="1"/>
  <c r="E42" i="3"/>
  <c r="F36" i="3"/>
  <c r="F41" i="3"/>
  <c r="E53" i="3"/>
  <c r="F49" i="3"/>
  <c r="E63" i="3"/>
  <c r="F59" i="3"/>
  <c r="F70" i="3"/>
  <c r="F80" i="3"/>
  <c r="M59" i="28"/>
  <c r="O8" i="8"/>
  <c r="N8" i="8"/>
  <c r="AO8" i="8"/>
  <c r="O16" i="8"/>
  <c r="AO16" i="8"/>
  <c r="M67" i="28"/>
  <c r="N16" i="8"/>
  <c r="M75" i="28"/>
  <c r="O24" i="8"/>
  <c r="N24" i="8"/>
  <c r="AO24" i="8"/>
  <c r="AM12" i="8"/>
  <c r="K63" i="28"/>
  <c r="L12" i="8"/>
  <c r="G29" i="8"/>
  <c r="AI5" i="8"/>
  <c r="G56" i="28"/>
  <c r="H5" i="8"/>
  <c r="G72" i="28"/>
  <c r="AI21" i="8"/>
  <c r="H21" i="8"/>
  <c r="O11" i="3"/>
  <c r="P11" i="3" s="1"/>
  <c r="N11" i="3"/>
  <c r="N40" i="3"/>
  <c r="O40" i="3"/>
  <c r="P40" i="3" s="1"/>
  <c r="M82" i="3"/>
  <c r="N76" i="3"/>
  <c r="O76" i="3"/>
  <c r="P76" i="3" s="1"/>
  <c r="D22" i="3"/>
  <c r="G69" i="28"/>
  <c r="H18" i="8"/>
  <c r="AI18" i="8"/>
  <c r="N87" i="3"/>
  <c r="O87" i="3"/>
  <c r="P87" i="3" s="1"/>
  <c r="M13" i="28"/>
  <c r="O14" i="3"/>
  <c r="N14" i="3"/>
  <c r="M108" i="3"/>
  <c r="N41" i="3"/>
  <c r="O41" i="3"/>
  <c r="P41" i="3" s="1"/>
  <c r="N61" i="3"/>
  <c r="O61" i="3"/>
  <c r="P61" i="3" s="1"/>
  <c r="D13" i="3"/>
  <c r="D101" i="3"/>
  <c r="K14" i="28"/>
  <c r="L24" i="3"/>
  <c r="K53" i="3"/>
  <c r="L49" i="3"/>
  <c r="L77" i="3"/>
  <c r="J8" i="3"/>
  <c r="J41" i="3"/>
  <c r="F90" i="3"/>
  <c r="G58" i="28"/>
  <c r="AI7" i="8"/>
  <c r="H7" i="8"/>
  <c r="AI23" i="8"/>
  <c r="G74" i="28"/>
  <c r="H23" i="8"/>
  <c r="H74" i="28" s="1"/>
  <c r="O88" i="3"/>
  <c r="P88" i="3" s="1"/>
  <c r="N88" i="3"/>
  <c r="N30" i="3"/>
  <c r="O30" i="3"/>
  <c r="P30" i="3" s="1"/>
  <c r="M100" i="3"/>
  <c r="O50" i="3"/>
  <c r="P50" i="3" s="1"/>
  <c r="N50" i="3"/>
  <c r="O71" i="3"/>
  <c r="P71" i="3" s="1"/>
  <c r="N71" i="3"/>
  <c r="D23" i="3"/>
  <c r="D104" i="3"/>
  <c r="D83" i="3"/>
  <c r="L10" i="3"/>
  <c r="K100" i="3"/>
  <c r="L30" i="3"/>
  <c r="L71" i="3"/>
  <c r="I16" i="28"/>
  <c r="J64" i="3"/>
  <c r="M77" i="28"/>
  <c r="AO26" i="8"/>
  <c r="N26" i="8"/>
  <c r="O26" i="8"/>
  <c r="N28" i="3"/>
  <c r="M98" i="3"/>
  <c r="O28" i="3"/>
  <c r="P28" i="3" s="1"/>
  <c r="N34" i="3"/>
  <c r="M104" i="3"/>
  <c r="O34" i="3"/>
  <c r="P34" i="3" s="1"/>
  <c r="O38" i="3"/>
  <c r="P38" i="3" s="1"/>
  <c r="N38" i="3"/>
  <c r="N44" i="3"/>
  <c r="O44" i="3"/>
  <c r="P44" i="3" s="1"/>
  <c r="O48" i="3"/>
  <c r="P48" i="3" s="1"/>
  <c r="N48" i="3"/>
  <c r="M15" i="28"/>
  <c r="O54" i="3"/>
  <c r="N54" i="3"/>
  <c r="O58" i="3"/>
  <c r="P58" i="3" s="1"/>
  <c r="N58" i="3"/>
  <c r="M16" i="28"/>
  <c r="O64" i="3"/>
  <c r="N64" i="3"/>
  <c r="O69" i="3"/>
  <c r="P69" i="3" s="1"/>
  <c r="N69" i="3"/>
  <c r="M73" i="3"/>
  <c r="O79" i="3"/>
  <c r="P79" i="3" s="1"/>
  <c r="N79" i="3"/>
  <c r="M83" i="3"/>
  <c r="D99" i="3"/>
  <c r="D33" i="3"/>
  <c r="D42" i="3"/>
  <c r="D73" i="3"/>
  <c r="D82" i="3"/>
  <c r="L86" i="3"/>
  <c r="K92" i="3"/>
  <c r="L90" i="3"/>
  <c r="L7" i="3"/>
  <c r="L11" i="3"/>
  <c r="L17" i="3"/>
  <c r="L21" i="3"/>
  <c r="L27" i="3"/>
  <c r="K97" i="3"/>
  <c r="L31" i="3"/>
  <c r="K101" i="3"/>
  <c r="L37" i="3"/>
  <c r="L41" i="3"/>
  <c r="L47" i="3"/>
  <c r="L51" i="3"/>
  <c r="L57" i="3"/>
  <c r="L61" i="3"/>
  <c r="L68" i="3"/>
  <c r="K22" i="28"/>
  <c r="L74" i="3"/>
  <c r="L78" i="3"/>
  <c r="K23" i="28"/>
  <c r="L84" i="3"/>
  <c r="J88" i="3"/>
  <c r="I24" i="28"/>
  <c r="J94" i="3"/>
  <c r="I13" i="3"/>
  <c r="J9" i="3"/>
  <c r="J19" i="3"/>
  <c r="I23" i="3"/>
  <c r="I99" i="3"/>
  <c r="I33" i="3"/>
  <c r="J29" i="3"/>
  <c r="J39" i="3"/>
  <c r="I43" i="3"/>
  <c r="I53" i="3"/>
  <c r="J49" i="3"/>
  <c r="J59" i="3"/>
  <c r="I63" i="3"/>
  <c r="I72" i="3"/>
  <c r="J66" i="3"/>
  <c r="J70" i="3"/>
  <c r="J76" i="3"/>
  <c r="I82" i="3"/>
  <c r="J80" i="3"/>
  <c r="F87" i="3"/>
  <c r="F91" i="3"/>
  <c r="F8" i="3"/>
  <c r="E13" i="28"/>
  <c r="F14" i="3"/>
  <c r="E108" i="3"/>
  <c r="F108" i="3" s="1"/>
  <c r="F18" i="3"/>
  <c r="E14" i="28"/>
  <c r="F24" i="3"/>
  <c r="F28" i="3"/>
  <c r="E98" i="3"/>
  <c r="F34" i="3"/>
  <c r="E104" i="3"/>
  <c r="F38" i="3"/>
  <c r="F44" i="3"/>
  <c r="F48" i="3"/>
  <c r="E15" i="28"/>
  <c r="F54" i="3"/>
  <c r="F58" i="3"/>
  <c r="E16" i="28"/>
  <c r="F64" i="3"/>
  <c r="F69" i="3"/>
  <c r="E73" i="3"/>
  <c r="F79" i="3"/>
  <c r="E83" i="3"/>
  <c r="M58" i="28"/>
  <c r="AO7" i="8"/>
  <c r="N7" i="8"/>
  <c r="O7" i="8"/>
  <c r="N11" i="8"/>
  <c r="O11" i="8"/>
  <c r="M62" i="28"/>
  <c r="AO11" i="8"/>
  <c r="M66" i="28"/>
  <c r="O15" i="8"/>
  <c r="AO15" i="8"/>
  <c r="N15" i="8"/>
  <c r="M70" i="28"/>
  <c r="N19" i="8"/>
  <c r="O19" i="8"/>
  <c r="AO19" i="8"/>
  <c r="M74" i="28"/>
  <c r="N23" i="8"/>
  <c r="O23" i="8"/>
  <c r="AO23" i="8"/>
  <c r="N27" i="8"/>
  <c r="M78" i="28"/>
  <c r="AO27" i="8"/>
  <c r="O27" i="8"/>
  <c r="K58" i="28"/>
  <c r="L7" i="8"/>
  <c r="AM7" i="8"/>
  <c r="K62" i="28"/>
  <c r="AM11" i="8"/>
  <c r="L11" i="8"/>
  <c r="L15" i="8"/>
  <c r="AM15" i="8"/>
  <c r="K66" i="28"/>
  <c r="K70" i="28"/>
  <c r="L19" i="8"/>
  <c r="AM19" i="8"/>
  <c r="K74" i="28"/>
  <c r="AM23" i="8"/>
  <c r="L23" i="8"/>
  <c r="K78" i="28"/>
  <c r="L27" i="8"/>
  <c r="AM27" i="8"/>
  <c r="F7" i="8"/>
  <c r="E58" i="28"/>
  <c r="AG7" i="8"/>
  <c r="E62" i="28"/>
  <c r="F11" i="8"/>
  <c r="AG11" i="8"/>
  <c r="E66" i="28"/>
  <c r="AG15" i="8"/>
  <c r="F15" i="8"/>
  <c r="E70" i="28"/>
  <c r="AG19" i="8"/>
  <c r="F19" i="8"/>
  <c r="E74" i="28"/>
  <c r="AG23" i="8"/>
  <c r="F23" i="8"/>
  <c r="E78" i="28"/>
  <c r="F27" i="8"/>
  <c r="AG27" i="8"/>
  <c r="AF7" i="8"/>
  <c r="AF11" i="8"/>
  <c r="AF15" i="8"/>
  <c r="AF19" i="8"/>
  <c r="AF23" i="8"/>
  <c r="AF27" i="8"/>
  <c r="G93" i="3"/>
  <c r="H89" i="3"/>
  <c r="G12" i="3"/>
  <c r="H12" i="3" s="1"/>
  <c r="H6" i="3"/>
  <c r="H10" i="3"/>
  <c r="G22" i="3"/>
  <c r="H16" i="3"/>
  <c r="H20" i="3"/>
  <c r="G96" i="3"/>
  <c r="H26" i="3"/>
  <c r="G32" i="3"/>
  <c r="H32" i="3" s="1"/>
  <c r="G100" i="3"/>
  <c r="H30" i="3"/>
  <c r="G42" i="3"/>
  <c r="H36" i="3"/>
  <c r="H40" i="3"/>
  <c r="G52" i="3"/>
  <c r="J52" i="3" s="1"/>
  <c r="H46" i="3"/>
  <c r="H50" i="3"/>
  <c r="G62" i="3"/>
  <c r="H56" i="3"/>
  <c r="H60" i="3"/>
  <c r="H67" i="3"/>
  <c r="H71" i="3"/>
  <c r="H77" i="3"/>
  <c r="H81" i="3"/>
  <c r="I56" i="28"/>
  <c r="J5" i="8"/>
  <c r="I29" i="8"/>
  <c r="AK5" i="8"/>
  <c r="I60" i="28"/>
  <c r="J9" i="8"/>
  <c r="AK9" i="8"/>
  <c r="I64" i="28"/>
  <c r="J13" i="8"/>
  <c r="AK13" i="8"/>
  <c r="I68" i="28"/>
  <c r="AK17" i="8"/>
  <c r="J17" i="8"/>
  <c r="AK21" i="8"/>
  <c r="I72" i="28"/>
  <c r="J21" i="8"/>
  <c r="J25" i="8"/>
  <c r="AK25" i="8"/>
  <c r="I76" i="28"/>
  <c r="AM20" i="8"/>
  <c r="L20" i="8"/>
  <c r="K71" i="28"/>
  <c r="K75" i="28"/>
  <c r="AM24" i="8"/>
  <c r="L24" i="8"/>
  <c r="AM28" i="8"/>
  <c r="K79" i="28"/>
  <c r="L28" i="8"/>
  <c r="E59" i="28"/>
  <c r="F8" i="8"/>
  <c r="AG8" i="8"/>
  <c r="E63" i="28"/>
  <c r="F12" i="8"/>
  <c r="AG12" i="8"/>
  <c r="E67" i="28"/>
  <c r="F16" i="8"/>
  <c r="AG16" i="8"/>
  <c r="E71" i="28"/>
  <c r="AG20" i="8"/>
  <c r="F20" i="8"/>
  <c r="F24" i="8"/>
  <c r="AG24" i="8"/>
  <c r="E75" i="28"/>
  <c r="AG28" i="8"/>
  <c r="E79" i="28"/>
  <c r="F28" i="8"/>
  <c r="AF8" i="8"/>
  <c r="AF12" i="8"/>
  <c r="AF16" i="8"/>
  <c r="AF20" i="8"/>
  <c r="AF24" i="8"/>
  <c r="AF28" i="8"/>
  <c r="H90" i="3"/>
  <c r="H7" i="3"/>
  <c r="H11" i="3"/>
  <c r="H17" i="3"/>
  <c r="H21" i="3"/>
  <c r="H27" i="3"/>
  <c r="G97" i="3"/>
  <c r="G101" i="3"/>
  <c r="H31" i="3"/>
  <c r="H37" i="3"/>
  <c r="H41" i="3"/>
  <c r="H47" i="3"/>
  <c r="H51" i="3"/>
  <c r="H57" i="3"/>
  <c r="H61" i="3"/>
  <c r="H68" i="3"/>
  <c r="G22" i="28"/>
  <c r="H74" i="3"/>
  <c r="H78" i="3"/>
  <c r="G23" i="28"/>
  <c r="H84" i="3"/>
  <c r="I57" i="28"/>
  <c r="AK6" i="8"/>
  <c r="J6" i="8"/>
  <c r="I61" i="28"/>
  <c r="AK10" i="8"/>
  <c r="J10" i="8"/>
  <c r="J14" i="8"/>
  <c r="I65" i="28"/>
  <c r="AK14" i="8"/>
  <c r="I69" i="28"/>
  <c r="AK18" i="8"/>
  <c r="J18" i="8"/>
  <c r="I73" i="28"/>
  <c r="AK22" i="8"/>
  <c r="AL22" i="8" s="1"/>
  <c r="J22" i="8"/>
  <c r="I77" i="28"/>
  <c r="AK26" i="8"/>
  <c r="J26" i="8"/>
  <c r="F50" i="3"/>
  <c r="E62" i="3"/>
  <c r="F56" i="3"/>
  <c r="F60" i="3"/>
  <c r="F67" i="3"/>
  <c r="F71" i="3"/>
  <c r="F77" i="3"/>
  <c r="F81" i="3"/>
  <c r="M56" i="28"/>
  <c r="O5" i="8"/>
  <c r="M29" i="8"/>
  <c r="AO5" i="8"/>
  <c r="N5" i="8"/>
  <c r="O9" i="8"/>
  <c r="N9" i="8"/>
  <c r="M60" i="28"/>
  <c r="AO9" i="8"/>
  <c r="M64" i="28"/>
  <c r="O13" i="8"/>
  <c r="AO13" i="8"/>
  <c r="N13" i="8"/>
  <c r="M68" i="28"/>
  <c r="N17" i="8"/>
  <c r="O17" i="8"/>
  <c r="AO17" i="8"/>
  <c r="M72" i="28"/>
  <c r="O21" i="8"/>
  <c r="AO21" i="8"/>
  <c r="N21" i="8"/>
  <c r="N25" i="8"/>
  <c r="M76" i="28"/>
  <c r="O25" i="8"/>
  <c r="AO25" i="8"/>
  <c r="K56" i="28"/>
  <c r="L5" i="8"/>
  <c r="AM5" i="8"/>
  <c r="K29" i="8"/>
  <c r="K60" i="28"/>
  <c r="L9" i="8"/>
  <c r="AM9" i="8"/>
  <c r="L13" i="8"/>
  <c r="AM13" i="8"/>
  <c r="K64" i="28"/>
  <c r="K68" i="28"/>
  <c r="L17" i="8"/>
  <c r="AM17" i="8"/>
  <c r="K72" i="28"/>
  <c r="L21" i="8"/>
  <c r="AM21" i="8"/>
  <c r="K76" i="28"/>
  <c r="L25" i="8"/>
  <c r="AM25" i="8"/>
  <c r="E29" i="8"/>
  <c r="AG5" i="8"/>
  <c r="E56" i="28"/>
  <c r="F5" i="8"/>
  <c r="E60" i="28"/>
  <c r="F9" i="8"/>
  <c r="AG9" i="8"/>
  <c r="E64" i="28"/>
  <c r="F13" i="8"/>
  <c r="AG13" i="8"/>
  <c r="E68" i="28"/>
  <c r="AG17" i="8"/>
  <c r="F17" i="8"/>
  <c r="AG21" i="8"/>
  <c r="E72" i="28"/>
  <c r="F21" i="8"/>
  <c r="E76" i="28"/>
  <c r="AG25" i="8"/>
  <c r="F25" i="8"/>
  <c r="D29" i="8"/>
  <c r="AF5" i="8"/>
  <c r="AF9" i="8"/>
  <c r="AF13" i="8"/>
  <c r="AF17" i="8"/>
  <c r="AF21" i="8"/>
  <c r="AF25" i="8"/>
  <c r="H87" i="3"/>
  <c r="H91" i="3"/>
  <c r="H8" i="3"/>
  <c r="G13" i="28"/>
  <c r="H14" i="3"/>
  <c r="G108" i="3"/>
  <c r="H18" i="3"/>
  <c r="G14" i="28"/>
  <c r="H24" i="3"/>
  <c r="H28" i="3"/>
  <c r="G98" i="3"/>
  <c r="G104" i="3"/>
  <c r="H34" i="3"/>
  <c r="H38" i="3"/>
  <c r="H44" i="3"/>
  <c r="H48" i="3"/>
  <c r="H54" i="3"/>
  <c r="G15" i="28"/>
  <c r="H58" i="3"/>
  <c r="G16" i="28"/>
  <c r="H64" i="3"/>
  <c r="H69" i="3"/>
  <c r="G73" i="3"/>
  <c r="G83" i="3"/>
  <c r="H79" i="3"/>
  <c r="I58" i="28"/>
  <c r="J7" i="8"/>
  <c r="AK7" i="8"/>
  <c r="I62" i="28"/>
  <c r="AK11" i="8"/>
  <c r="J11" i="8"/>
  <c r="J15" i="8"/>
  <c r="AK15" i="8"/>
  <c r="I66" i="28"/>
  <c r="I70" i="28"/>
  <c r="J19" i="8"/>
  <c r="AK19" i="8"/>
  <c r="AK23" i="8"/>
  <c r="I74" i="28"/>
  <c r="J23" i="8"/>
  <c r="I78" i="28"/>
  <c r="J27" i="8"/>
  <c r="AK27" i="8"/>
  <c r="K57" i="28"/>
  <c r="L6" i="8"/>
  <c r="AM6" i="8"/>
  <c r="K61" i="28"/>
  <c r="L10" i="8"/>
  <c r="AM10" i="8"/>
  <c r="K65" i="28"/>
  <c r="L14" i="8"/>
  <c r="AM14" i="8"/>
  <c r="K69" i="28"/>
  <c r="L18" i="8"/>
  <c r="AM18" i="8"/>
  <c r="K73" i="28"/>
  <c r="L22" i="8"/>
  <c r="AM22" i="8"/>
  <c r="K77" i="28"/>
  <c r="AM26" i="8"/>
  <c r="AP26" i="8" s="1"/>
  <c r="L26" i="8"/>
  <c r="E57" i="28"/>
  <c r="AG6" i="8"/>
  <c r="F6" i="8"/>
  <c r="F10" i="8"/>
  <c r="E61" i="28"/>
  <c r="AG10" i="8"/>
  <c r="E65" i="28"/>
  <c r="F14" i="8"/>
  <c r="AG14" i="8"/>
  <c r="AG18" i="8"/>
  <c r="E69" i="28"/>
  <c r="F18" i="8"/>
  <c r="AG22" i="8"/>
  <c r="F22" i="8"/>
  <c r="E73" i="28"/>
  <c r="F26" i="8"/>
  <c r="E77" i="28"/>
  <c r="AG26" i="8"/>
  <c r="AF6" i="8"/>
  <c r="AF10" i="8"/>
  <c r="AF14" i="8"/>
  <c r="AF18" i="8"/>
  <c r="AF22" i="8"/>
  <c r="AF26" i="8"/>
  <c r="H88" i="3"/>
  <c r="G24" i="28"/>
  <c r="H94" i="3"/>
  <c r="H9" i="3"/>
  <c r="G13" i="3"/>
  <c r="G23" i="3"/>
  <c r="J23" i="3" s="1"/>
  <c r="H19" i="3"/>
  <c r="H29" i="3"/>
  <c r="G99" i="3"/>
  <c r="G33" i="3"/>
  <c r="H39" i="3"/>
  <c r="G43" i="3"/>
  <c r="H43" i="3" s="1"/>
  <c r="H49" i="3"/>
  <c r="G53" i="3"/>
  <c r="H59" i="3"/>
  <c r="G63" i="3"/>
  <c r="G72" i="3"/>
  <c r="H66" i="3"/>
  <c r="H70" i="3"/>
  <c r="H76" i="3"/>
  <c r="G82" i="3"/>
  <c r="H80" i="3"/>
  <c r="G92" i="3"/>
  <c r="H86" i="3"/>
  <c r="I59" i="28"/>
  <c r="J8" i="8"/>
  <c r="AK8" i="8"/>
  <c r="I63" i="28"/>
  <c r="J12" i="8"/>
  <c r="AK12" i="8"/>
  <c r="I67" i="28"/>
  <c r="J16" i="8"/>
  <c r="AK16" i="8"/>
  <c r="I71" i="28"/>
  <c r="J20" i="8"/>
  <c r="AK20" i="8"/>
  <c r="I75" i="28"/>
  <c r="J24" i="8"/>
  <c r="AK24" i="8"/>
  <c r="I79" i="28"/>
  <c r="AK28" i="8"/>
  <c r="J28" i="8"/>
  <c r="L14" i="28"/>
  <c r="T29" i="8"/>
  <c r="AC29" i="8"/>
  <c r="X29" i="8"/>
  <c r="AB29" i="8"/>
  <c r="V29" i="8"/>
  <c r="Z29" i="8"/>
  <c r="AL8" i="8" l="1"/>
  <c r="J108" i="3"/>
  <c r="AJ20" i="8"/>
  <c r="O97" i="3"/>
  <c r="P97" i="3" s="1"/>
  <c r="AQ8" i="8"/>
  <c r="AR8" i="8" s="1"/>
  <c r="M102" i="3"/>
  <c r="M20" i="28" s="1"/>
  <c r="O72" i="3"/>
  <c r="P72" i="3" s="1"/>
  <c r="AJ19" i="8"/>
  <c r="L104" i="3"/>
  <c r="L19" i="28" s="1"/>
  <c r="AN21" i="8"/>
  <c r="AL28" i="8"/>
  <c r="J97" i="3"/>
  <c r="L97" i="3"/>
  <c r="AN19" i="8"/>
  <c r="AN15" i="8"/>
  <c r="O100" i="3"/>
  <c r="P100" i="3" s="1"/>
  <c r="N42" i="3"/>
  <c r="AL21" i="8"/>
  <c r="F92" i="3"/>
  <c r="AL12" i="8"/>
  <c r="F83" i="3"/>
  <c r="L100" i="3"/>
  <c r="AJ12" i="8"/>
  <c r="AH7" i="8"/>
  <c r="H66" i="28"/>
  <c r="N61" i="28"/>
  <c r="N12" i="3"/>
  <c r="L62" i="3"/>
  <c r="L22" i="28"/>
  <c r="O43" i="3"/>
  <c r="P43" i="3" s="1"/>
  <c r="O101" i="3"/>
  <c r="P101" i="3" s="1"/>
  <c r="O12" i="3"/>
  <c r="P12" i="3" s="1"/>
  <c r="F72" i="3"/>
  <c r="F96" i="3"/>
  <c r="L52" i="3"/>
  <c r="N98" i="3"/>
  <c r="L83" i="3"/>
  <c r="N22" i="28"/>
  <c r="J23" i="28"/>
  <c r="O23" i="28"/>
  <c r="O71" i="28"/>
  <c r="H64" i="28"/>
  <c r="AL16" i="8"/>
  <c r="AJ22" i="8"/>
  <c r="P6" i="8"/>
  <c r="F63" i="3"/>
  <c r="P20" i="8"/>
  <c r="P84" i="3"/>
  <c r="F23" i="28"/>
  <c r="L24" i="28"/>
  <c r="K17" i="28"/>
  <c r="J22" i="28"/>
  <c r="AL20" i="8"/>
  <c r="O99" i="3"/>
  <c r="P99" i="3" s="1"/>
  <c r="N52" i="3"/>
  <c r="H75" i="28"/>
  <c r="N69" i="28"/>
  <c r="H62" i="28"/>
  <c r="H100" i="3"/>
  <c r="N13" i="28"/>
  <c r="N62" i="3"/>
  <c r="N17" i="28" s="1"/>
  <c r="L13" i="28"/>
  <c r="H71" i="28"/>
  <c r="L67" i="28"/>
  <c r="P18" i="8"/>
  <c r="O61" i="28"/>
  <c r="H57" i="28"/>
  <c r="O93" i="3"/>
  <c r="P93" i="3" s="1"/>
  <c r="AL13" i="8"/>
  <c r="AP8" i="8"/>
  <c r="N75" i="28"/>
  <c r="P12" i="8"/>
  <c r="O57" i="28"/>
  <c r="O63" i="28"/>
  <c r="P14" i="3"/>
  <c r="O13" i="28"/>
  <c r="L78" i="28"/>
  <c r="N62" i="28"/>
  <c r="H69" i="28"/>
  <c r="G55" i="28"/>
  <c r="H61" i="28"/>
  <c r="L15" i="28"/>
  <c r="H63" i="28"/>
  <c r="H65" i="28"/>
  <c r="AP16" i="8"/>
  <c r="L108" i="3"/>
  <c r="F52" i="3"/>
  <c r="M103" i="3"/>
  <c r="N32" i="3"/>
  <c r="N83" i="3"/>
  <c r="P14" i="8"/>
  <c r="F62" i="3"/>
  <c r="N23" i="3"/>
  <c r="AQ24" i="8"/>
  <c r="AR24" i="8" s="1"/>
  <c r="AJ15" i="8"/>
  <c r="L23" i="3"/>
  <c r="N33" i="3"/>
  <c r="F93" i="3"/>
  <c r="N92" i="3"/>
  <c r="L61" i="28"/>
  <c r="J66" i="28"/>
  <c r="G19" i="28"/>
  <c r="J63" i="28"/>
  <c r="L69" i="28"/>
  <c r="J78" i="28"/>
  <c r="F72" i="28"/>
  <c r="F56" i="28"/>
  <c r="L72" i="28"/>
  <c r="N56" i="28"/>
  <c r="P5" i="8"/>
  <c r="E17" i="28"/>
  <c r="J69" i="28"/>
  <c r="H23" i="28"/>
  <c r="F75" i="28"/>
  <c r="F63" i="28"/>
  <c r="L75" i="28"/>
  <c r="L71" i="28"/>
  <c r="J76" i="28"/>
  <c r="J68" i="28"/>
  <c r="J64" i="28"/>
  <c r="F74" i="28"/>
  <c r="N78" i="28"/>
  <c r="N74" i="28"/>
  <c r="N66" i="28"/>
  <c r="N15" i="28"/>
  <c r="O77" i="28"/>
  <c r="O65" i="28"/>
  <c r="H76" i="28"/>
  <c r="N71" i="28"/>
  <c r="F22" i="28"/>
  <c r="O24" i="28"/>
  <c r="N23" i="28"/>
  <c r="J71" i="28"/>
  <c r="H24" i="28"/>
  <c r="J67" i="28"/>
  <c r="G18" i="28"/>
  <c r="F77" i="28"/>
  <c r="F69" i="28"/>
  <c r="F65" i="28"/>
  <c r="F61" i="28"/>
  <c r="L77" i="28"/>
  <c r="L73" i="28"/>
  <c r="L57" i="28"/>
  <c r="H16" i="28"/>
  <c r="H15" i="28"/>
  <c r="H14" i="28"/>
  <c r="H13" i="28"/>
  <c r="F76" i="28"/>
  <c r="L76" i="28"/>
  <c r="L60" i="28"/>
  <c r="L56" i="28"/>
  <c r="P25" i="8"/>
  <c r="N72" i="28"/>
  <c r="P13" i="8"/>
  <c r="J73" i="28"/>
  <c r="J65" i="28"/>
  <c r="J57" i="28"/>
  <c r="F71" i="28"/>
  <c r="F67" i="28"/>
  <c r="L79" i="28"/>
  <c r="J72" i="28"/>
  <c r="O78" i="28"/>
  <c r="O70" i="28"/>
  <c r="O15" i="28"/>
  <c r="N77" i="28"/>
  <c r="J16" i="28"/>
  <c r="H56" i="28"/>
  <c r="L63" i="28"/>
  <c r="O67" i="28"/>
  <c r="O59" i="28"/>
  <c r="L16" i="28"/>
  <c r="M17" i="28"/>
  <c r="N14" i="28"/>
  <c r="H68" i="28"/>
  <c r="O73" i="28"/>
  <c r="N65" i="28"/>
  <c r="J13" i="28"/>
  <c r="O79" i="28"/>
  <c r="K18" i="28"/>
  <c r="H67" i="28"/>
  <c r="O69" i="28"/>
  <c r="P10" i="8"/>
  <c r="F24" i="28"/>
  <c r="N24" i="28"/>
  <c r="H78" i="28"/>
  <c r="H73" i="28"/>
  <c r="F57" i="28"/>
  <c r="F60" i="28"/>
  <c r="O68" i="28"/>
  <c r="N64" i="28"/>
  <c r="N60" i="28"/>
  <c r="J77" i="28"/>
  <c r="J61" i="28"/>
  <c r="I55" i="28"/>
  <c r="F78" i="28"/>
  <c r="F66" i="28"/>
  <c r="F62" i="28"/>
  <c r="F58" i="28"/>
  <c r="L74" i="28"/>
  <c r="L70" i="28"/>
  <c r="L66" i="28"/>
  <c r="N70" i="28"/>
  <c r="O66" i="28"/>
  <c r="O58" i="28"/>
  <c r="F15" i="28"/>
  <c r="I18" i="28"/>
  <c r="N16" i="28"/>
  <c r="H58" i="28"/>
  <c r="H72" i="28"/>
  <c r="N67" i="28"/>
  <c r="E18" i="28"/>
  <c r="H60" i="28"/>
  <c r="N73" i="28"/>
  <c r="J74" i="28"/>
  <c r="J70" i="28"/>
  <c r="J79" i="28"/>
  <c r="J75" i="28"/>
  <c r="J59" i="28"/>
  <c r="F73" i="28"/>
  <c r="L65" i="28"/>
  <c r="J62" i="28"/>
  <c r="J58" i="28"/>
  <c r="F68" i="28"/>
  <c r="F64" i="28"/>
  <c r="E55" i="28"/>
  <c r="L68" i="28"/>
  <c r="L64" i="28"/>
  <c r="K55" i="28"/>
  <c r="N76" i="28"/>
  <c r="O72" i="28"/>
  <c r="N68" i="28"/>
  <c r="P9" i="8"/>
  <c r="M55" i="28"/>
  <c r="H22" i="28"/>
  <c r="F79" i="28"/>
  <c r="F59" i="28"/>
  <c r="J60" i="28"/>
  <c r="J56" i="28"/>
  <c r="G17" i="28"/>
  <c r="F70" i="28"/>
  <c r="L62" i="28"/>
  <c r="L58" i="28"/>
  <c r="O74" i="28"/>
  <c r="O62" i="28"/>
  <c r="N58" i="28"/>
  <c r="F16" i="28"/>
  <c r="E19" i="28"/>
  <c r="F14" i="28"/>
  <c r="F13" i="28"/>
  <c r="J24" i="28"/>
  <c r="L23" i="28"/>
  <c r="O16" i="28"/>
  <c r="P24" i="8"/>
  <c r="N59" i="28"/>
  <c r="I17" i="28"/>
  <c r="O14" i="28"/>
  <c r="N57" i="28"/>
  <c r="J15" i="28"/>
  <c r="N63" i="28"/>
  <c r="P74" i="3"/>
  <c r="H59" i="28"/>
  <c r="H70" i="28"/>
  <c r="F33" i="3"/>
  <c r="AP7" i="8"/>
  <c r="N53" i="3"/>
  <c r="P7" i="8"/>
  <c r="O108" i="3"/>
  <c r="P108" i="3" s="1"/>
  <c r="J99" i="3"/>
  <c r="AJ16" i="8"/>
  <c r="AJ24" i="8"/>
  <c r="D103" i="3"/>
  <c r="O104" i="3"/>
  <c r="O96" i="3"/>
  <c r="P96" i="3" s="1"/>
  <c r="J83" i="3"/>
  <c r="L96" i="3"/>
  <c r="F100" i="3"/>
  <c r="J62" i="3"/>
  <c r="N13" i="3"/>
  <c r="H93" i="3"/>
  <c r="O53" i="3"/>
  <c r="P53" i="3" s="1"/>
  <c r="O23" i="3"/>
  <c r="P23" i="3" s="1"/>
  <c r="O52" i="3"/>
  <c r="P52" i="3" s="1"/>
  <c r="P64" i="3"/>
  <c r="M19" i="28"/>
  <c r="O75" i="28"/>
  <c r="H72" i="3"/>
  <c r="AL11" i="8"/>
  <c r="F53" i="3"/>
  <c r="F32" i="3"/>
  <c r="AL18" i="8"/>
  <c r="AP20" i="8"/>
  <c r="AL5" i="8"/>
  <c r="H42" i="3"/>
  <c r="J22" i="3"/>
  <c r="AJ11" i="8"/>
  <c r="E102" i="3"/>
  <c r="L82" i="3"/>
  <c r="L33" i="3"/>
  <c r="F42" i="3"/>
  <c r="N104" i="3"/>
  <c r="AL24" i="8"/>
  <c r="AP14" i="8"/>
  <c r="AL7" i="8"/>
  <c r="H83" i="3"/>
  <c r="AJ5" i="8"/>
  <c r="H96" i="3"/>
  <c r="N97" i="3"/>
  <c r="F73" i="3"/>
  <c r="AP19" i="8"/>
  <c r="I107" i="3"/>
  <c r="J29" i="8"/>
  <c r="H13" i="3"/>
  <c r="AH24" i="8"/>
  <c r="AH15" i="8"/>
  <c r="AP27" i="8"/>
  <c r="AP9" i="8"/>
  <c r="AJ7" i="8"/>
  <c r="AQ7" i="8"/>
  <c r="AR7" i="8" s="1"/>
  <c r="F104" i="3"/>
  <c r="O42" i="3"/>
  <c r="P42" i="3" s="1"/>
  <c r="AP22" i="8"/>
  <c r="AP28" i="8"/>
  <c r="F101" i="3"/>
  <c r="F12" i="3"/>
  <c r="D107" i="3"/>
  <c r="M107" i="3"/>
  <c r="N101" i="3"/>
  <c r="O32" i="3"/>
  <c r="P32" i="3" s="1"/>
  <c r="F97" i="3"/>
  <c r="L98" i="3"/>
  <c r="L42" i="3"/>
  <c r="N108" i="3"/>
  <c r="P15" i="8"/>
  <c r="I102" i="3"/>
  <c r="O83" i="3"/>
  <c r="P83" i="3" s="1"/>
  <c r="P94" i="3"/>
  <c r="O56" i="28"/>
  <c r="AJ9" i="8"/>
  <c r="H101" i="3"/>
  <c r="AJ28" i="8"/>
  <c r="AL17" i="8"/>
  <c r="AJ27" i="8"/>
  <c r="L53" i="3"/>
  <c r="AP5" i="8"/>
  <c r="J12" i="3"/>
  <c r="N22" i="3"/>
  <c r="L13" i="3"/>
  <c r="H53" i="3"/>
  <c r="AQ18" i="8"/>
  <c r="AR18" i="8" s="1"/>
  <c r="AJ6" i="8"/>
  <c r="AP18" i="8"/>
  <c r="AL27" i="8"/>
  <c r="J98" i="3"/>
  <c r="AN23" i="8"/>
  <c r="H62" i="3"/>
  <c r="AH14" i="8"/>
  <c r="AN6" i="8"/>
  <c r="AH17" i="8"/>
  <c r="J13" i="3"/>
  <c r="H108" i="3"/>
  <c r="AP24" i="8"/>
  <c r="E103" i="3"/>
  <c r="D102" i="3"/>
  <c r="AN11" i="8"/>
  <c r="AJ17" i="8"/>
  <c r="AL9" i="8"/>
  <c r="H52" i="3"/>
  <c r="AQ14" i="8"/>
  <c r="AR14" i="8" s="1"/>
  <c r="AN16" i="8"/>
  <c r="AH16" i="8"/>
  <c r="AQ16" i="8"/>
  <c r="AR16" i="8" s="1"/>
  <c r="N72" i="3"/>
  <c r="J42" i="3"/>
  <c r="AH19" i="8"/>
  <c r="AP13" i="8"/>
  <c r="F29" i="8"/>
  <c r="AN13" i="8"/>
  <c r="P21" i="8"/>
  <c r="O60" i="28"/>
  <c r="AP23" i="8"/>
  <c r="H22" i="3"/>
  <c r="AN9" i="8"/>
  <c r="AN22" i="8"/>
  <c r="AJ8" i="8"/>
  <c r="AH8" i="8"/>
  <c r="J96" i="3"/>
  <c r="AH20" i="8"/>
  <c r="AQ20" i="8"/>
  <c r="AR20" i="8" s="1"/>
  <c r="L12" i="3"/>
  <c r="N96" i="3"/>
  <c r="AN25" i="8"/>
  <c r="N100" i="3"/>
  <c r="L29" i="8"/>
  <c r="H97" i="3"/>
  <c r="F13" i="3"/>
  <c r="AP15" i="8"/>
  <c r="H98" i="3"/>
  <c r="K103" i="3"/>
  <c r="AI29" i="8"/>
  <c r="AP6" i="8"/>
  <c r="J93" i="3"/>
  <c r="AL25" i="8"/>
  <c r="AP12" i="8"/>
  <c r="F82" i="3"/>
  <c r="F23" i="3"/>
  <c r="L101" i="3"/>
  <c r="J32" i="3"/>
  <c r="K107" i="3"/>
  <c r="J100" i="3"/>
  <c r="F22" i="3"/>
  <c r="F43" i="3"/>
  <c r="AJ14" i="8"/>
  <c r="J101" i="3"/>
  <c r="AQ27" i="8"/>
  <c r="AR27" i="8" s="1"/>
  <c r="P28" i="8"/>
  <c r="N43" i="3"/>
  <c r="I106" i="3"/>
  <c r="O22" i="3"/>
  <c r="P22" i="3" s="1"/>
  <c r="O13" i="3"/>
  <c r="P13" i="3" s="1"/>
  <c r="O62" i="3"/>
  <c r="L32" i="3"/>
  <c r="O63" i="3"/>
  <c r="L99" i="3"/>
  <c r="L73" i="3"/>
  <c r="L63" i="3"/>
  <c r="H82" i="3"/>
  <c r="AL23" i="8"/>
  <c r="P8" i="8"/>
  <c r="AQ12" i="8"/>
  <c r="AR12" i="8" s="1"/>
  <c r="D106" i="3"/>
  <c r="H23" i="3"/>
  <c r="L43" i="3"/>
  <c r="M18" i="28"/>
  <c r="J92" i="3"/>
  <c r="AJ25" i="8"/>
  <c r="AJ13" i="8"/>
  <c r="F98" i="3"/>
  <c r="N99" i="3"/>
  <c r="L93" i="3"/>
  <c r="G103" i="3"/>
  <c r="F99" i="3"/>
  <c r="N73" i="3"/>
  <c r="AH27" i="8"/>
  <c r="N82" i="3"/>
  <c r="N93" i="3"/>
  <c r="K102" i="3"/>
  <c r="L92" i="3"/>
  <c r="O98" i="3"/>
  <c r="P98" i="3" s="1"/>
  <c r="P16" i="8"/>
  <c r="L72" i="3"/>
  <c r="P54" i="3"/>
  <c r="I103" i="3"/>
  <c r="H99" i="3"/>
  <c r="N63" i="3"/>
  <c r="E106" i="3"/>
  <c r="O82" i="3"/>
  <c r="P82" i="3" s="1"/>
  <c r="K106" i="3"/>
  <c r="M106" i="3"/>
  <c r="L22" i="3"/>
  <c r="J33" i="3"/>
  <c r="AJ26" i="8"/>
  <c r="AJ10" i="8"/>
  <c r="AL26" i="8"/>
  <c r="AL14" i="8"/>
  <c r="AL10" i="8"/>
  <c r="J53" i="3"/>
  <c r="AQ5" i="8"/>
  <c r="AR5" i="8" s="1"/>
  <c r="AN27" i="8"/>
  <c r="AP21" i="8"/>
  <c r="AQ13" i="8"/>
  <c r="AR13" i="8" s="1"/>
  <c r="G102" i="3"/>
  <c r="AQ28" i="8"/>
  <c r="AR28" i="8" s="1"/>
  <c r="H73" i="3"/>
  <c r="AP25" i="8"/>
  <c r="AQ10" i="8"/>
  <c r="AR10" i="8" s="1"/>
  <c r="AJ18" i="8"/>
  <c r="N29" i="8"/>
  <c r="O29" i="8"/>
  <c r="AN10" i="8"/>
  <c r="AN28" i="8"/>
  <c r="J73" i="3"/>
  <c r="AH18" i="8"/>
  <c r="AQ6" i="8"/>
  <c r="AR6" i="8" s="1"/>
  <c r="AN12" i="8"/>
  <c r="H29" i="8"/>
  <c r="J82" i="3"/>
  <c r="J72" i="3"/>
  <c r="H33" i="3"/>
  <c r="AH22" i="8"/>
  <c r="AP10" i="8"/>
  <c r="AH26" i="8"/>
  <c r="AH10" i="8"/>
  <c r="AH13" i="8"/>
  <c r="AH12" i="8"/>
  <c r="AH28" i="8"/>
  <c r="AH23" i="8"/>
  <c r="AH11" i="8"/>
  <c r="AQ15" i="8"/>
  <c r="AR15" i="8" s="1"/>
  <c r="AP11" i="8"/>
  <c r="E107" i="3"/>
  <c r="AJ23" i="8"/>
  <c r="AN18" i="8"/>
  <c r="O73" i="3"/>
  <c r="P73" i="3" s="1"/>
  <c r="P27" i="8"/>
  <c r="O64" i="28"/>
  <c r="AQ9" i="8"/>
  <c r="AR9" i="8" s="1"/>
  <c r="AL19" i="8"/>
  <c r="AH9" i="8"/>
  <c r="AP17" i="8"/>
  <c r="AN20" i="8"/>
  <c r="AN5" i="8"/>
  <c r="J43" i="3"/>
  <c r="J63" i="3"/>
  <c r="AL15" i="8"/>
  <c r="O76" i="28"/>
  <c r="H63" i="3"/>
  <c r="AN7" i="8"/>
  <c r="AH21" i="8"/>
  <c r="AQ21" i="8"/>
  <c r="AR21" i="8" s="1"/>
  <c r="AH25" i="8"/>
  <c r="G107" i="3"/>
  <c r="AN8" i="8"/>
  <c r="AQ25" i="8"/>
  <c r="AR25" i="8" s="1"/>
  <c r="AN26" i="8"/>
  <c r="AF29" i="8"/>
  <c r="R29" i="8" s="1"/>
  <c r="AG29" i="8"/>
  <c r="AO29" i="8"/>
  <c r="AK29" i="8"/>
  <c r="AM29" i="8"/>
  <c r="AN24" i="8"/>
  <c r="H104" i="3"/>
  <c r="AN17" i="8"/>
  <c r="AL6" i="8"/>
  <c r="G106" i="3"/>
  <c r="AH6" i="8"/>
  <c r="AJ21" i="8"/>
  <c r="AN14" i="8"/>
  <c r="AH5" i="8"/>
  <c r="J104" i="3"/>
  <c r="H92" i="3"/>
  <c r="N80" i="28"/>
  <c r="H80" i="28"/>
  <c r="L80" i="28"/>
  <c r="J80" i="28"/>
  <c r="O80" i="28"/>
  <c r="F80" i="28"/>
  <c r="AD29" i="8"/>
  <c r="AQ22" i="8"/>
  <c r="AR22" i="8" s="1"/>
  <c r="P22" i="8"/>
  <c r="AQ11" i="8"/>
  <c r="AR11" i="8" s="1"/>
  <c r="P11" i="8"/>
  <c r="AQ17" i="8"/>
  <c r="AR17" i="8" s="1"/>
  <c r="P17" i="8"/>
  <c r="AQ23" i="8"/>
  <c r="AR23" i="8" s="1"/>
  <c r="P23" i="8"/>
  <c r="AQ26" i="8"/>
  <c r="AR26" i="8" s="1"/>
  <c r="P26" i="8"/>
  <c r="AQ19" i="8"/>
  <c r="AR19" i="8" s="1"/>
  <c r="P19" i="8"/>
  <c r="L17" i="28" l="1"/>
  <c r="F18" i="28"/>
  <c r="E20" i="28"/>
  <c r="F17" i="28"/>
  <c r="M21" i="28"/>
  <c r="P29" i="8"/>
  <c r="G20" i="28"/>
  <c r="I21" i="28"/>
  <c r="N102" i="3"/>
  <c r="G26" i="28"/>
  <c r="E25" i="28"/>
  <c r="I20" i="28"/>
  <c r="M26" i="28"/>
  <c r="I26" i="28"/>
  <c r="W29" i="8"/>
  <c r="I80" i="28" s="1"/>
  <c r="F107" i="3"/>
  <c r="N55" i="28"/>
  <c r="M25" i="28"/>
  <c r="G21" i="28"/>
  <c r="L18" i="28"/>
  <c r="I25" i="28"/>
  <c r="L55" i="28"/>
  <c r="J19" i="28"/>
  <c r="H19" i="28"/>
  <c r="AA29" i="8"/>
  <c r="M80" i="28" s="1"/>
  <c r="K25" i="28"/>
  <c r="P62" i="3"/>
  <c r="K26" i="28"/>
  <c r="F55" i="28"/>
  <c r="N19" i="28"/>
  <c r="O102" i="3"/>
  <c r="P104" i="3"/>
  <c r="S29" i="8"/>
  <c r="E80" i="28" s="1"/>
  <c r="F19" i="28"/>
  <c r="U29" i="8"/>
  <c r="G80" i="28" s="1"/>
  <c r="J55" i="28"/>
  <c r="Y29" i="8"/>
  <c r="K80" i="28" s="1"/>
  <c r="H17" i="28"/>
  <c r="J18" i="28"/>
  <c r="H55" i="28"/>
  <c r="P63" i="3"/>
  <c r="N103" i="3"/>
  <c r="E21" i="28"/>
  <c r="H18" i="28"/>
  <c r="J17" i="28"/>
  <c r="O19" i="28"/>
  <c r="F102" i="3"/>
  <c r="O103" i="3"/>
  <c r="F103" i="3"/>
  <c r="O18" i="28"/>
  <c r="K21" i="28"/>
  <c r="H103" i="3"/>
  <c r="N18" i="28"/>
  <c r="F106" i="3"/>
  <c r="O106" i="3"/>
  <c r="G81" i="28"/>
  <c r="L106" i="3"/>
  <c r="O17" i="28"/>
  <c r="J103" i="3"/>
  <c r="N107" i="3"/>
  <c r="N106" i="3"/>
  <c r="L107" i="3"/>
  <c r="H106" i="3"/>
  <c r="L102" i="3"/>
  <c r="L103" i="3"/>
  <c r="K20" i="28"/>
  <c r="H102" i="3"/>
  <c r="O55" i="28"/>
  <c r="J102" i="3"/>
  <c r="O107" i="3"/>
  <c r="E26" i="28"/>
  <c r="AQ29" i="8"/>
  <c r="M81" i="28"/>
  <c r="G25" i="28"/>
  <c r="AJ29" i="8"/>
  <c r="J106" i="3"/>
  <c r="H107" i="3"/>
  <c r="AN29" i="8"/>
  <c r="K81" i="28"/>
  <c r="AP29" i="8"/>
  <c r="J107" i="3"/>
  <c r="AL29" i="8"/>
  <c r="I81" i="28"/>
  <c r="AH29" i="8"/>
  <c r="E81" i="28"/>
  <c r="F26" i="28" l="1"/>
  <c r="F20" i="28"/>
  <c r="N21" i="28"/>
  <c r="P102" i="3"/>
  <c r="O20" i="28"/>
  <c r="F81" i="28"/>
  <c r="N81" i="28"/>
  <c r="J25" i="28"/>
  <c r="AR29" i="8"/>
  <c r="L20" i="28"/>
  <c r="N25" i="28"/>
  <c r="J21" i="28"/>
  <c r="O25" i="28"/>
  <c r="H21" i="28"/>
  <c r="F21" i="28"/>
  <c r="H81" i="28"/>
  <c r="H20" i="28"/>
  <c r="H25" i="28"/>
  <c r="F25" i="28"/>
  <c r="N20" i="28"/>
  <c r="J81" i="28"/>
  <c r="L81" i="28"/>
  <c r="O26" i="28"/>
  <c r="L25" i="28"/>
  <c r="P103" i="3"/>
  <c r="J26" i="28"/>
  <c r="H26" i="28"/>
  <c r="J20" i="28"/>
  <c r="L21" i="28"/>
  <c r="L26" i="28"/>
  <c r="O21" i="28"/>
  <c r="N26" i="28"/>
  <c r="P106" i="3"/>
  <c r="P107" i="3"/>
  <c r="O81" i="28"/>
</calcChain>
</file>

<file path=xl/sharedStrings.xml><?xml version="1.0" encoding="utf-8"?>
<sst xmlns="http://schemas.openxmlformats.org/spreadsheetml/2006/main" count="418" uniqueCount="329">
  <si>
    <t>CO NAME (SHORT)</t>
  </si>
  <si>
    <t>CO NAME (LONG)</t>
  </si>
  <si>
    <t>TODAY</t>
  </si>
  <si>
    <t>TODAY YEAR</t>
  </si>
  <si>
    <t>Total</t>
  </si>
  <si>
    <t>221524</t>
  </si>
  <si>
    <t>ENTITY ID</t>
  </si>
  <si>
    <t>LATEST QUARTER PERIOD</t>
  </si>
  <si>
    <t>LATEST YEAR PERIOD</t>
  </si>
  <si>
    <t xml:space="preserve">Total </t>
  </si>
  <si>
    <t>Field Name</t>
  </si>
  <si>
    <t>Field Id</t>
  </si>
  <si>
    <t>Data Set</t>
  </si>
  <si>
    <t>Field Modifier</t>
  </si>
  <si>
    <t>Field Value</t>
  </si>
  <si>
    <t>Meta Info</t>
  </si>
  <si>
    <t xml:space="preserve">Entity Name  </t>
  </si>
  <si>
    <t xml:space="preserve">SNL Statutory Entity Key  </t>
  </si>
  <si>
    <t xml:space="preserve">NAIC Company Code  </t>
  </si>
  <si>
    <t xml:space="preserve">Business Focus </t>
  </si>
  <si>
    <t>Geographic Focus</t>
  </si>
  <si>
    <t>NAIC Ownership Structure</t>
  </si>
  <si>
    <t xml:space="preserve">Address 1  </t>
  </si>
  <si>
    <t xml:space="preserve">Address 2  </t>
  </si>
  <si>
    <t xml:space="preserve">City  </t>
  </si>
  <si>
    <t xml:space="preserve">State  </t>
  </si>
  <si>
    <t xml:space="preserve">Zip Code Extended  </t>
  </si>
  <si>
    <t xml:space="preserve">Region  </t>
  </si>
  <si>
    <t xml:space="preserve">Country Name  </t>
  </si>
  <si>
    <t xml:space="preserve">Phone Number  </t>
  </si>
  <si>
    <t>IRIS Ratios</t>
  </si>
  <si>
    <t>Subcategory</t>
  </si>
  <si>
    <t>Field ID</t>
  </si>
  <si>
    <t>Life</t>
  </si>
  <si>
    <t>American International Group (SNL Life Group)</t>
  </si>
  <si>
    <t>GK103330</t>
  </si>
  <si>
    <t>Massachusetts Mutl Life Ins Co (SNL Life Group)</t>
  </si>
  <si>
    <t>GK110235</t>
  </si>
  <si>
    <t>MetLife Inc. (SNL Life Group)</t>
  </si>
  <si>
    <t>GK4051708</t>
  </si>
  <si>
    <t>New York Life Insurance Group (SNL Life Group)</t>
  </si>
  <si>
    <t>Northwestern Mutl Life Ins Co. (SNL Life Group)</t>
  </si>
  <si>
    <t>GK15866</t>
  </si>
  <si>
    <t>Prudential Financial Inc. (SNL Life Group)</t>
  </si>
  <si>
    <t>GK4072932</t>
  </si>
  <si>
    <t>GP13959</t>
  </si>
  <si>
    <t>TIAA (SNL Life Group)</t>
  </si>
  <si>
    <t>GK4270330</t>
  </si>
  <si>
    <t>C:\Users\FuckMicrosoft\Desktop\</t>
  </si>
  <si>
    <t>A</t>
  </si>
  <si>
    <t>MRY</t>
  </si>
  <si>
    <t>IG</t>
  </si>
  <si>
    <t>HY</t>
  </si>
  <si>
    <t>Category</t>
  </si>
  <si>
    <t>Liquidity Analysis</t>
  </si>
  <si>
    <t>Balance Sheet (Assets)</t>
  </si>
  <si>
    <t>AllCompanyQuery</t>
  </si>
  <si>
    <t>{"conversionInformation":null,"clientContext":null,"functionRequests":[{"functionId":0,"perspective":"287","keys":null,"fields":null,"query":{"name":"AllCompanyQuery","queryLineGroups":[{"groupName":"QueryLines","queryLines":[{"supressSelect":false,"displayText":null,"queryItemId":"00000000-0000-0000-0000-000000000000","field":{"fieldKey":"121431","secondaryKeys":[],"displayName":null,"displayUnits":null,"displayType":null,"originalRequestField":null},"connector":0,"operator":12,"beginGroup":false,"endGroup":false,"value":"1","invariantValue":null,"valueField":null,"mathOperator":0,"mathValue":null,"sortStyle":null,"sortOrder":null,"functionName":null},{"supressSelect":false,"displayText":null,"queryItemId":"00000000-0000-0000-0000-000000000000","field":{"fieldKey":"242524","secondaryKeys":[{"keyJointHint":"sk_332","value":"MRY"}],"displayName":null,"displayUnits":null,"displayType":null,"originalRequestField":null},"connector":0,"operator":6,"beginGroup":false,"endGroup":false,"value":"1000000","invariantValue":null,"valueField":null,"mathOperator":0,"mathValue":null,"sortStyle":null,"sortOrder":null,"functionName":null}]}],"keyPerspective":"287","dateCreated":"2016-11-07T11:32:47.447-05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fals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tru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t>
  </si>
  <si>
    <t>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t>
  </si>
  <si>
    <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e,"timeoutOverride":0,"ignoreCache":false}],"saveQueryType":0,"extensionPropertiesJson":null}</t>
  </si>
  <si>
    <t>--END QUERY--</t>
  </si>
  <si>
    <t>Test</t>
  </si>
  <si>
    <t>{"conversionInformation":null,"clientContext":null,"functionRequests":[{"functionId":0,"perspective":"113882","keys":null,"fields":null,"query":{"name":"Test","queryLineGroups":[{"groupName":"QueryLines","queryLines":[{"supressSelect":false,"displayText":null,"queryItemId":"00000000-0000-0000-0000-000000000000","field":{"fieldKey":"126289","secondaryKeys":[],"displayName":null,"displayUnits":null,"displayType":null,"originalRequestField":null},"connector":0,"operator":0,"beginGroup":false,"endGroup":false,"value":"gp4051708","invariantValue":null,"valueField":null,"mathOperator":0,"mathValue":null,"sortStyle":null,"sortOrder":null,"functionName":null}]}],"keyPerspective":"113882","dateCreated":"2016-11-11T10:39:43.273-05:00","version":null,"queryFilters":[{"filterGroupId":"5329","filterGroupIdReplace":"","caption":"Entity Types","groupType":1,"optionType":0,"formOrder":100,"minimumVersion":"","maximumVersion":"","onlineServicesEnabled":false,"column":0,"columnFormOrder":10,"criteriaIdName":"","required":false,"dateDefaultType":"","criteriaItemList":[{"keyOptionId":"5330","caption":"P&amp;C","isDefault":true,"maskCriteriaOnly":false,"definition":"","keyProductQueryItem":"122273","comparisonOperation":0,"comparisonValue":"1","minimumVersion":"","maximumVersion":"","formOrder":0,"lowerBound":null,"enabled":true,"mask":"1","maskKey":"122273","keyItemMaskOfField":null,"keyOptionIdReplace":"","relatedOptionIds":[],"onlineServices":[],"childCriteriaItemList":[],"clientContextJson":""},{"keyOptionId":"5331","caption":"Life","isDefault":false,"maskCriteriaOnly":false,"definition":"","keyProductQueryItem":"122273","comparisonOperation":0,"comparisonValue":"2","minimumVersion":"","maximumVersion":"","formOrder":0,"lowerBound":null,"enabled":true,"mask":"2","maskKey":"122273","keyItemMaskOfField":null,"keyOptionIdReplace":"","relatedOptionIds":[],"onlineServices":[],"childCriteriaItemList":[],"clientContextJson":""},{"keyOptionId":"5332","caption":"Health","isDefault":false,"maskCriteriaOnly":false,"definition":"","keyProductQueryItem":"122273","comparisonOperation":0,"comparisonValue":"4","minimumVersion":"","maximumVersion":"","formOrder":0,"lowerBound":null,"enabled":true,"mask":"4","maskKey":"122273","keyItemMaskOfField":null,"keyOptionIdReplace":"","relatedOptionIds":[],"onlineServices":[],"childCriteriaItemList":[],"clientContextJson":""}]},{"filterGroupId":"5333","filterGroupIdReplace":"","caption":"Investment Type","groupType":2,"optionType":1,"formOrder":200,"minimumVersion":"","maximumVersion":"","onlineServicesEnabled":false,"column":0,"columnFormOrder":20,"criteriaIdName":"","required":false,"dateDefaultType":"","criteriaItemList":[{"keyOptionId":"5334","caption":"Bonds","isDefault":true,"maskCriteriaOnly":false,"definition":"","keyProductQueryItem":"124165","comparisonOperation":0,"comparisonValue":"195","minimumVersion":"","maximumVersion":"","formOrder":0,"lowerBound":null,"enabled":true,"mask":"","maskKey":"","keyItemMaskOfField":null,"keyOptionIdReplace":"","relatedOptionIds":[],"onlineServices":[],"childCriteriaItemList":[],"clientContextJson":""},{"keyOptionId":"5335","caption":"Preferred Stock","isDefault":true,"maskCriteriaOnly":false,"definition":"","keyProductQueryItem":"124165","comparisonOperation":0,"comparisonValue":"200","minimumVersion":"","maximumVersion":"","formOrder":0,"lowerBound":null,"enabled":true,"mask":"","maskKey":"","keyItemMaskOfField":null,"keyOptionIdReplace":"","relatedOptionIds":[],"onlineServices":[],"childCriteriaItemList":[],"clientContextJson":""},{"keyOptionId":"5336","caption":"Common Stock","isDefault":true,"maskCriteriaOnly":false,"definition":"","keyProductQueryItem":"124165","comparisonOperation":0,"comparisonValue":"201","minimumVersion":"","maximumVersion":"","formOrder":0,"lowerBound":null,"enabled":true,"mask":"","maskKey":"","keyItemMaskOfField":null,"keyOptionIdReplace":"","relatedOptionIds":[],"onlineServices":[],"childCriteriaItemList":[],"clientContextJson":""},{"keyOptionId":"5337","caption":"Other Invested Assets","isDefault":false,"maskCriteriaOnly":false,"definition":"","keyProductQueryItem":"124165","comparisonOperation":0,"comparisonValue":"191","minimumVersion":"","maximumVersion":"","formOrder":0,"lowerBound":null,"enabled":true,"mask":"","maskKey":"","keyItemMaskOfField":null,"keyOptionIdReplace":"","relatedOptionIds":[],"onlineServices":[],"childCriteriaItemList":[],"clientContextJson":""},{"keyOptionId":"5338","caption":"Mortgage Loans","isDefault":false,"maskCriteriaOnly":false,"definition":"","keyProductQueryItem":"124165","comparisonOperation":0,"comparisonValue":"187","minimumVersion":"","maximumVersion":"","formOrder":0,"lowerBound":null,"enabled":true,"mask":"","maskKey":"","keyItemMaskOfField":null,"keyOptionIdReplace":"","relatedOptionIds":[],"onlineServices":[],"childCriteriaItemList":[],"clientContextJson":""}]},{"filterGroupId":"5347","filterGroupIdReplace":"","caption":"Operating Status","groupType":2,"optionType":1,"formOrder":700,"minimumVersion":"","maximumVersion":"","onlineServicesEnabled":false,"column":1,"columnFormOrder":10,"criteriaIdName":"","required":false,"dateDefaultType":"","criteriaItemList":[{"keyOptionId":"5348","caption":"Operating","isDefault":true,"maskCriteriaOnly":false,"definition":"","keyProductQueryItem":"122466","comparisonOperation":0,"comparisonValue":"1","minimumVersion":"","maximumVersion":"","formOrder":0,"lowerBound":null,"enabled":true,"mask":"","maskKey":"","keyItemMaskOfField":null,"keyOptionIdReplace":"","relatedOptionIds":[],"onlineServices":[],"childCriteriaItemList":[],"clientContextJson":""},{"keyOptionId":"5349","caption":"Acquired/Defunct","isDefault":false,"maskCriteriaOnly":false,"definition":"","keyProductQueryItem":"122466","comparisonOperation":0,"comparisonValue":"0","minimumVersion":"","maximumVersion":"","formOrder":0,"lowerBound":null,"enabled":true,"mask":"","maskKey":"","keyItemMaskOfField":null,"keyOptionIdReplace":"","relatedOptionIds":[],"onlineServices":[],"childCriteriaItemList":[],"clientContextJson":""}]},{"filterGroupId":"5350","filterGroupIdReplace":"","caption":"Reporting Level","groupType":2,"optionType":0,"formOrder":800,"minimumVersion":"","maximumVersion":"","onlineServicesEnabled":false,"column":1,"columnFormOrder":20,"criteriaIdName":"","required":false,"dateDefaultType":"","criteriaItemList":[{"keyOptionId":"5351","caption":"SNL Groups/Unaffiliated Cos","isDefault":true,"maskCriteriaOnly":false,"definition":"","keyProductQueryItem":"123807","comparisonOperation":0,"comparisonValue":"1","minimumVersion":"","maximumVersion":"","formOrder":0,"lowerBound":null,"enabled":true,"mask":"","maskKey":"","keyItemMaskOfField":null,"keyOptionIdReplace":"","relatedOptionIds":[],"onlineServices":[],"childCriteriaItemList":[],"clientContextJson":""},{"keyOptionId":"5352","caption":"SNL Groups/Subgrps/Other Cos","isDefault":false,"maskCriteriaOnly":false,"definition":"","keyProductQueryItem":"221254","comparisonOperation":0,"comparisonValue":"1","minimumVersion":"","maximumVersion":"","formOrder":0,"lowerBound":null,"enabled":true,"mask":"","maskKey":"","keyItemMaskOfField":null,"keyOptionIdReplace":"","relatedOptionIds":[],"onlineServices":[],"childCriteriaItemList":[],"clientContextJson":""},{"keyOptionId":"5353","caption":"Individual Cos (Affil/Unaffil)","isDefault":false,"maskCriteriaOnly":false,"definition":"","keyProductQueryItem":"123805","comparisonOperation":7,"comparisonValue":"0,2,4","minimumVersion":"","maximumVersion":"","formOrder":0,"lowerBound":null,"enabled":true,"mask":"","maskKey":"","keyItemMaskOfField":null,"keyOptionIdReplace":"","relatedOptionIds":[],"onlineServices":[],"childCriteriaItemList</t>
  </si>
  <si>
    <t>":[],"clientContextJson":""},{"keyOptionId":"5354","caption":"All (Groups/Subgrps/All Cos)","isDefault":false,"maskCriteriaOnly":false,"definition":"","keyProductQueryItem":"123805","comparisonOperation":7,"comparisonValue":"0,2,4,5,6","minimumVersion":"","maximumVersion":"","formOrder":0,"lowerBound":null,"enabled":true,"mask":"","maskKey":"","keyItemMaskOfField":null,"keyOptionIdReplace":"","relatedOptionIds":[],"onlineServices":[],"childCriteriaItemList":[],"clientContextJson":""}]},{"filterGroupId":"5355","filterGroupIdReplace":"","caption":"Investment Status","groupType":2,"optionType":1,"formOrder":900,"minimumVersion":"","maximumVersion":"","onlineServicesEnabled":false,"column":1,"columnFormOrder":30,"criteriaIdName":"","required":false,"dateDefaultType":"","criteriaItemList":[{"keyOptionId":"5356","caption":"Current","isDefault":true,"maskCriteriaOnly":false,"definition":"","keyProductQueryItem":"124312","comparisonOperation":0,"comparisonValue":"1","minimumVersion":"","maximumVersion":"","formOrder":0,"lowerBound":null,"enabled":true,"mask":"","maskKey":"","keyItemMaskOfField":null,"keyOptionIdReplace":"","relatedOptionIds":[],"onlineServices":[],"childCriteriaItemList":[],"clientContextJson":""},{"keyOptionId":"5357","caption":"Historical","isDefault":false,"maskCriteriaOnly":false,"definition":"","keyProductQueryItem":"124312","comparisonOperation":0,"comparisonValue":"0","minimumVersion":"","maximumVersion":"","formOrder":0,"lowerBound":null,"enabled":true,"mask":"","maskKey":"","keyItemMaskOfField":null,"keyOptionIdReplace":"","relatedOptionIds":[],"onlineServices":[],"childCriteriaItemList":[],"clientContextJson":""}]},{"filterGroupId":"5339","filterGroupIdReplace":"","caption":"Owner Company","groupType":2,"optionType":2,"formOrder":300,"minimumVersion":"","maximumVersion":"","onlineServicesEnabled":false,"column":0,"columnFormOrder":30,"criteriaIdName":"","required":false,"dateDefaultType":"","criteriaItemList":[{"keyOptionId":"5340","caption":"","isDefault":false,"maskCriteriaOnly":true,"definition":"","keyProductQueryItem":"124458","comparisonOperation":4,"comparisonValue":"","minimumVersion":"","maximumVersion":"","formOrder":0,"lowerBound":null,"enabled":true,"mask":"","maskKey":"","keyItemMaskOfField":null,"keyOptionIdReplace":"","relatedOptionIds":[],"onlineServices":[],"childCriteriaItemList":[],"clientContextJson":""}]},{"filterGroupId":"5341","filterGroupIdReplace":"","caption":"Owner NAIC Code","groupType":2,"optionType":2,"formOrder":400,"minimumVersion":"","maximumVersion":"","onlineServicesEnabled":false,"column":0,"columnFormOrder":40,"criteriaIdName":"","required":false,"dateDefaultType":"","criteriaItemList":[{"keyOptionId":"5342","caption":"","isDefault":false,"maskCriteriaOnly":true,"definition":"","keyProductQueryItem":"113909","comparisonOperation":0,"comparisonValue":"","minimumVersion":"","maximumVersion":"","formOrder":0,"lowerBound":null,"enabled":true,"mask":"","maskKey":"","keyItemMaskOfField":null,"keyOptionIdReplace":"","relatedOptionIds":[],"onlineServices":[],"childCriteriaItemList":[],"clientContextJson":""}]},{"filterGroupId":"5343","filterGroupIdReplace":"","caption":"Owner State of Domicile","groupType":2,"optionType":2,"formOrder":500,"minimumVersion":"","maximumVersion":"","onlineServicesEnabled":false,"column":0,"columnFormOrder":50,"criteriaIdName":"","required":false,"dateDefaultType":"","criteriaItemList":[{"keyOptionId":"5344","caption":"","isDefault":false,"maskCriteriaOnly":true,"definition":"","keyProductQueryItem":"124264","comparisonOperation":4,"comparisonValue":"","minimumVersion":"","maximumVersion":"","formOrder":0,"lowerBound":null,"enabled":true,"mask":"","maskKey":"","keyItemMaskOfField":null,"keyOptionIdReplace":"","relatedOptionIds":[],"onlineServices":[],"childCriteriaItemList":[],"clientContextJson":""}]},{"filterGroupId":"5345","filterGroupIdReplace":"","caption":"Owner Group Name","groupType":2,"optionType":2,"formOrder":600,"minimumVersion":"","maximumVersion":"","onlineServicesEnabled":false,"column":0,"columnFormOrder":60,"criteriaIdName":"","required":false,"dateDefaultType":"","criteriaItemList":[{"keyOptionId":"5346","caption":"","isDefault":false,"maskCriteriaOnly":true,"definition":"","keyProductQueryItem":"122494","comparisonOperation":4,"comparisonValue":"","minimumVersion":"","maximumVersion":"","formOrder":0,"lowerBound":null,"enabled":true,"mask":"","maskKey":"","keyItemMaskOfField":null,"keyOptionIdReplace":"","relatedOptionIds":[],"onlineServices":[],"childCriteriaItemList":[],"clientContextJson":""}]},{"filterGroupId":"5358","filterGroupIdReplace":"","caption":"Investment Description","groupType":2,"optionType":2,"formOrder":1000,"minimumVersion":"","maximumVersion":"","onlineServicesEnabled":false,"column":1,"columnFormOrder":40,"criteriaIdName":"","required":false,"dateDefaultType":"","criteriaItemList":[{"keyOptionId":"5359","caption":"","isDefault":false,"maskCriteriaOnly":true,"definition":"","keyProductQueryItem":"120470","comparisonOperation":9,"comparisonValue":"","minimumVersion":"","maximumVersion":"","formOrder":0,"lowerBound":null,"enabled":true,"mask":"","maskKey":"","keyItemMaskOfField":null,"keyOptionIdReplace":"","relatedOptionIds":[],"onlineServices":[],"childCriteriaItemList":[],"clientContextJson":""}]},{"filterGroupId":"5360","filterGroupIdReplace":"","caption":"Investment CUSIP","groupType":2,"optionType":2,"formOrder":1100,"minimumVersion":"","maximumVersion":"","onlineServicesEnabled":false,"column":1,"columnFormOrder":50,"criteriaIdName":"","required":false,"dateDefaultType":"","criteriaItemList":[{"keyOptionId":"5361","caption":"","isDefault":false,"maskCriteriaOnly":true,"definition":"","keyProductQueryItem":"123474","comparisonOperation":4,"comparisonValue":"","minimumVersion":"","maximumVersion":"","formOrder":0,"lowerBound":null,"enabled":true,"mask":"","maskKey":"","keyItemMaskOfField":null,"keyOptionIdReplace":"","relatedOptionIds":[],"onlineServices":[],"childCriteriaItemList":[],"clientContextJson":""}]},{"filterGroupId":"5362","filterGroupIdReplace":"","caption":"Investment Trading Symbol","groupType":2,"optionType":2,"formOrder":1200,"minimumVersion":"","maximumVersion":"","onlineServicesEnabled":false,"column":1,"columnFormOrder":60,"criteriaIdName":"","required":false,"dateDefaultType":"","criteriaItemList":[{"keyOptionId":"5363","caption":"","isDefault":false,"maskCriteriaOnly":true,"definition":"","keyProductQueryItem":"120471","comparisonOperation":0,"comparisonValue":"","minimumVersion":"","maximumVersion":"","formOrder":0,"lowerBound":null,"enabled":true,"mask":"","maskKey":"","keyItemMaskOfField":null,"keyOptionIdReplace":"","relatedOptionIds":[],"onlineServices":[],"childCriteriaItemList":[],"clientContextJson":""}]},{"filterGroupId":"5364","filterGroupIdReplace":"","caption":"Investment Issuer Name","groupType":2,"optionType":2,"formOrder":1300,"minimumVersion":"","maximumVersion":"","onlineServicesEnabled":false,"column":1,"columnFormOrder":70,"criteriaIdName":"","required":false,"dateDefaultType":"","criteriaItemList":[{"keyOptionId":"5365","caption":"","isDefault":false,"maskCriteriaOnly":true,"definition":"","keyProductQueryItem":"122869","comparisonOperation":4,"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t>
  </si>
  <si>
    <t>ull,"dataLanguage":"en-US","culture":null,"requestCulture":null,"nullValue":"NA","headerCurrency":null},"countsQuery":false,"saveQueryType":0},"conversionInfo":null,"operationType":22,"showProductMagnitude":false,"enableSourceTagging":false,"timeoutOverride":0,"ignoreCache":false}],"saveQueryType":0,"extensionPropertiesJson":null}</t>
  </si>
  <si>
    <t>GK110248</t>
  </si>
  <si>
    <t>BondsGeneral</t>
  </si>
  <si>
    <t>iaItemList":[],"clientContextJson":""},{"keyOptionId":"5354","caption":"All (Groups/Subgrps/All Cos)","isDefault":true,"maskCriteriaOnly":false,"definition":"","keyProductQueryItem":"123805","comparisonOperation":7,"comparisonValue":"0,2,4,5,6","minimumVersion":"","maximumVersion":"","formOrder":0,"lowerBound":null,"enabled":true,"mask":"","maskKey":"","keyItemMaskOfField":null,"keyOptionIdReplace":"","relatedOptionIds":[],"onlineServices":[],"childCriteriaItemList":[],"clientContextJson":""}]},{"filterGroupId":"5355","filterGroupIdReplace":"","caption":"Investment Status","groupType":2,"optionType":1,"formOrder":900,"minimumVersion":"","maximumVersion":"","onlineServicesEnabled":false,"column":1,"columnFormOrder":30,"criteriaIdName":"","required":false,"dateDefaultType":"","criteriaItemList":[{"keyOptionId":"5356","caption":"Current","isDefault":true,"maskCriteriaOnly":false,"definition":"","keyProductQueryItem":"124312","comparisonOperation":0,"comparisonValue":"1","minimumVersion":"","maximumVersion":"","formOrder":0,"lowerBound":null,"enabled":true,"mask":"","maskKey":"","keyItemMaskOfField":null,"keyOptionIdReplace":"","relatedOptionIds":[],"onlineServices":[],"childCriteriaItemList":[],"clientContextJson":""},{"keyOptionId":"5357","caption":"Historical","isDefault":true,"maskCriteriaOnly":false,"definition":"","keyProductQueryItem":"124312","comparisonOperation":0,"comparisonValue":"0","minimumVersion":"","maximumVersion":"","formOrder":0,"lowerBound":null,"enabled":true,"mask":"","maskKey":"","keyItemMaskOfField":null,"keyOptionIdReplace":"","relatedOptionIds":[],"onlineServices":[],"childCriteriaItemList":[],"clientContextJson":""}]},{"filterGroupId":"5339","filterGroupIdReplace":"","caption":"Owner Company","groupType":2,"optionType":2,"formOrder":300,"minimumVersion":"","maximumVersion":"","onlineServicesEnabled":false,"column":0,"columnFormOrder":30,"criteriaIdName":"","required":false,"dateDefaultType":"","criteriaItemList":[{"keyOptionId":"5340","caption":"","isDefault":false,"maskCriteriaOnly":true,"definition":"","keyProductQueryItem":"124458","comparisonOperation":4,"comparisonValue":"","minimumVersion":"","maximumVersion":"","formOrder":0,"lowerBound":null,"enabled":true,"mask":"","maskKey":"","keyItemMaskOfField":null,"keyOptionIdReplace":"","relatedOptionIds":[],"onlineServices":[],"childCriteriaItemList":[],"clientContextJson":""}]},{"filterGroupId":"5341","filterGroupIdReplace":"","caption":"Owner NAIC Code","groupType":2,"optionType":2,"formOrder":400,"minimumVersion":"","maximumVersion":"","onlineServicesEnabled":false,"column":0,"columnFormOrder":40,"criteriaIdName":"","required":false,"dateDefaultType":"","criteriaItemList":[{"keyOptionId":"5342","caption":"","isDefault":false,"maskCriteriaOnly":true,"definition":"","keyProductQueryItem":"113909","comparisonOperation":0,"comparisonValue":"","minimumVersion":"","maximumVersion":"","formOrder":0,"lowerBound":null,"enabled":true,"mask":"","maskKey":"","keyItemMaskOfField":null,"keyOptionIdReplace":"","relatedOptionIds":[],"onlineServices":[],"childCriteriaItemList":[],"clientContextJson":""}]},{"filterGroupId":"5343","filterGroupIdReplace":"","caption":"Owner State of Domicile","groupType":2,"optionType":2,"formOrder":500,"minimumVersion":"","maximumVersion":"","onlineServicesEnabled":false,"column":0,"columnFormOrder":50,"criteriaIdName":"","required":false,"dateDefaultType":"","criteriaItemList":[{"keyOptionId":"5344","caption":"","isDefault":false,"maskCriteriaOnly":true,"definition":"","keyProductQueryItem":"124264","comparisonOperation":4,"comparisonValue":"","minimumVersion":"","maximumVersion":"","formOrder":0,"lowerBound":null,"enabled":true,"mask":"","maskKey":"","keyItemMaskOfField":null,"keyOptionIdReplace":"","relatedOptionIds":[],"onlineServices":[],"childCriteriaItemList":[],"clientContextJson":""}]},{"filterGroupId":"5345","filterGroupIdReplace":"","caption":"Owner Group Name","groupType":2,"optionType":2,"formOrder":600,"minimumVersion":"","maximumVersion":"","onlineServicesEnabled":false,"column":0,"columnFormOrder":60,"criteriaIdName":"","required":false,"dateDefaultType":"","criteriaItemList":[{"keyOptionId":"5346","caption":"","isDefault":false,"maskCriteriaOnly":true,"definition":"","keyProductQueryItem":"122494","comparisonOperation":4,"comparisonValue":"","minimumVersion":"","maximumVersion":"","formOrder":0,"lowerBound":null,"enabled":true,"mask":"","maskKey":"","keyItemMaskOfField":null,"keyOptionIdReplace":"","relatedOptionIds":[],"onlineServices":[],"childCriteriaItemList":[],"clientContextJson":""}]},{"filterGroupId":"5358","filterGroupIdReplace":"","caption":"Investment Description","groupType":2,"optionType":2,"formOrder":1000,"minimumVersion":"","maximumVersion":"","onlineServicesEnabled":false,"column":1,"columnFormOrder":40,"criteriaIdName":"","required":false,"dateDefaultType":"","criteriaItemList":[{"keyOptionId":"5359","caption":"","isDefault":false,"maskCriteriaOnly":true,"definition":"","keyProductQueryItem":"120470","comparisonOperation":9,"comparisonValue":"","minimumVersion":"","maximumVersion":"","formOrder":0,"lowerBound":null,"enabled":true,"mask":"","maskKey":"","keyItemMaskOfField":null,"keyOptionIdReplace":"","relatedOptionIds":[],"onlineServices":[],"childCriteriaItemList":[],"clientContextJson":""}]},{"filterGroupId":"5360","filterGroupIdReplace":"","caption":"Investment CUSIP","groupType":2,"optionType":2,"formOrder":1100,"minimumVersion":"","maximumVersion":"","onlineServicesEnabled":false,"column":1,"columnFormOrder":50,"criteriaIdName":"","required":false,"dateDefaultType":"","criteriaItemList":[{"keyOptionId":"5361","caption":"","isDefault":false,"maskCriteriaOnly":true,"definition":"","keyProductQueryItem":"123474","comparisonOperation":4,"comparisonValue":"","minimumVersion":"","maximumVersion":"","formOrder":0,"lowerBound":null,"enabled":true,"mask":"","maskKey":"","keyItemMaskOfField":null,"keyOptionIdReplace":"","relatedOptionIds":[],"onlineServices":[],"childCriteriaItemList":[],"clientContextJson":""}]},{"filterGroupId":"5362","filterGroupIdReplace":"","caption":"Investment Trading Symbol","groupType":2,"optionType":2,"formOrder":1200,"minimumVersion":"","maximumVersion":"","onlineServicesEnabled":false,"column":1,"columnFormOrder":60,"criteriaIdName":"","required":false,"dateDefaultType":"","criteriaItemList":[{"keyOptionId":"5363","caption":"","isDefault":false,"maskCriteriaOnly":true,"definition":"","keyProductQueryItem":"120471","comparisonOperation":0,"comparisonValue":"","minimumVersion":"","maximumVersion":"","formOrder":0,"lowerBound":null,"enabled":true,"mask":"","maskKey":"","keyItemMaskOfField":null,"keyOptionIdReplace":"","relatedOptionIds":[],"onlineServices":[],"childCriteriaItemList":[],"clientContextJson":""}]},{"filterGroupId":"5364","filterGroupIdReplace":"","caption":"Investment Issuer Name","groupType":2,"optionType":2,"formOrder":1300,"minimumVersion":"","maximumVersion":"","onlineServicesEnabled":false,"column":1,"columnFormOrder":70,"criteriaIdName":"","required":false,"dateDefaultType":"","criteriaItemList":[{"keyOptionId":"5365","caption":"","isDefault":false,"maskCriteriaOnly":true,"definition":"","keyProductQueryItem":"122869","comparisonOperation":4,"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t>
  </si>
  <si>
    <t>ndary":null,"dataLanguage":"en-US","culture":null,"requestCulture":null,"nullValue":"NA","headerCurrency":null},"countsQuery":false,"saveQueryType":0},"conversionInfo":null,"operationType":22,"showProductMagnitude":false,"enableSourceTagging":false,"timeoutOverride":0,"ignoreCache":false}],"saveQueryType":0,"extensionPropertiesJson":null}</t>
  </si>
  <si>
    <t>FILER TYPE</t>
  </si>
  <si>
    <t>HEALTH_BOOL</t>
  </si>
  <si>
    <t>LIFE_BOOL</t>
  </si>
  <si>
    <t>PC_BOOL</t>
  </si>
  <si>
    <t>STAT KEY</t>
  </si>
  <si>
    <t>Name</t>
  </si>
  <si>
    <t>Stat Key</t>
  </si>
  <si>
    <t>GeneralCompanyQuery</t>
  </si>
  <si>
    <t>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t>
  </si>
  <si>
    <t>":false,"timeoutOverride":0,"ignoreCache":false}],"saveQueryType":0,"extensionPropertiesJson":null}</t>
  </si>
  <si>
    <t>AUM_THRESHOLD</t>
  </si>
  <si>
    <t>LINE TYPE (PC, HEALTH, LIFE, ALL)</t>
  </si>
  <si>
    <t>Unaffiliated</t>
  </si>
  <si>
    <t>Affiliated</t>
  </si>
  <si>
    <t>Oil &amp; Gas Production</t>
  </si>
  <si>
    <t>Transport Equip</t>
  </si>
  <si>
    <t>Mineral Rights</t>
  </si>
  <si>
    <t>Fix/Var: Bonds</t>
  </si>
  <si>
    <t>Fix/Var: Mrtg Fund</t>
  </si>
  <si>
    <t>Fix/Var: Oth Fix Inc</t>
  </si>
  <si>
    <t>JV, LLCs: Fix Income</t>
  </si>
  <si>
    <t>JV, LLCs: Common Stock</t>
  </si>
  <si>
    <t>JV, LLCs: Real Estate</t>
  </si>
  <si>
    <t>JV LLCs: Mrtg Loans</t>
  </si>
  <si>
    <t>JV, LLCs: Other</t>
  </si>
  <si>
    <t>Surplus Debentures</t>
  </si>
  <si>
    <t>Collateral Loans</t>
  </si>
  <si>
    <t>Noncollateral Loans</t>
  </si>
  <si>
    <t>Capital Notes</t>
  </si>
  <si>
    <t>Guaranteed Federal LIHTC</t>
  </si>
  <si>
    <t>Non-Guaranteed Fed LIHTC</t>
  </si>
  <si>
    <t>Guaranteed State LIHTC</t>
  </si>
  <si>
    <t>Non-guaranteed State LIHTC</t>
  </si>
  <si>
    <t>State LIHTC</t>
  </si>
  <si>
    <t>Other LIHTC</t>
  </si>
  <si>
    <t>Working Capital Finance Investment</t>
  </si>
  <si>
    <t>Other Assets</t>
  </si>
  <si>
    <t>Non-Conforming LT Assets</t>
  </si>
  <si>
    <t>5 Yr % Chg</t>
  </si>
  <si>
    <t>Annualized
% Chg</t>
  </si>
  <si>
    <t>Credit Tenant</t>
  </si>
  <si>
    <t>Municipal</t>
  </si>
  <si>
    <t>Corporate</t>
  </si>
  <si>
    <t>Government Agency</t>
  </si>
  <si>
    <t>Foreign Government</t>
  </si>
  <si>
    <t>US Federal Government</t>
  </si>
  <si>
    <t>Total Affiliated</t>
  </si>
  <si>
    <t>Total Unaffiliated</t>
  </si>
  <si>
    <t>B</t>
  </si>
  <si>
    <t>Flattened_Value_Staging</t>
  </si>
  <si>
    <t>Prospect_List</t>
  </si>
  <si>
    <t>OK TO TOUCH</t>
  </si>
  <si>
    <t>ONLY TOUCH IF YOU KNOW WHAT YOU'RE DOING</t>
  </si>
  <si>
    <t>COLOR GUIDE</t>
  </si>
  <si>
    <t>STAGING AREA</t>
  </si>
  <si>
    <t>TEAR SHEET</t>
  </si>
  <si>
    <t>SAVE DIRECTORY</t>
  </si>
  <si>
    <t>COMPANY LIST SHEET</t>
  </si>
  <si>
    <t>COMPANY LIST COLUMN</t>
  </si>
  <si>
    <t>COMPANY LIST ROW</t>
  </si>
  <si>
    <t>STAGING BEGIN COLUMN</t>
  </si>
  <si>
    <t>STAGING END COLUMN</t>
  </si>
  <si>
    <t>PROSPECT VALUE DUMP</t>
  </si>
  <si>
    <t>PROSPECT VALUE TOP RIGHT CELL COLUMN</t>
  </si>
  <si>
    <t>PROSPECT VALUE TOP RIGHT CELL ROW</t>
  </si>
  <si>
    <t>BUTTONS (OK TO TOUCH)</t>
  </si>
  <si>
    <t>GK103316</t>
  </si>
  <si>
    <t>Manulife Financial Corp. (SNL Life Group)</t>
  </si>
  <si>
    <t>GK4048408</t>
  </si>
  <si>
    <t>AEGON (SNL Life Group)</t>
  </si>
  <si>
    <t>GK113920</t>
  </si>
  <si>
    <t>GH4021017</t>
  </si>
  <si>
    <t>GK4021017</t>
  </si>
  <si>
    <t>GP103410</t>
  </si>
  <si>
    <t>GK4174043</t>
  </si>
  <si>
    <t>GP4174043</t>
  </si>
  <si>
    <t>GK103247</t>
  </si>
  <si>
    <t>GP103247</t>
  </si>
  <si>
    <t>GP103402</t>
  </si>
  <si>
    <t>GK4047858</t>
  </si>
  <si>
    <t>GP4140187</t>
  </si>
  <si>
    <t>C2095</t>
  </si>
  <si>
    <t>GK103424</t>
  </si>
  <si>
    <t>GP103424</t>
  </si>
  <si>
    <t>GP103330</t>
  </si>
  <si>
    <t>GK103423</t>
  </si>
  <si>
    <t>GK113901</t>
  </si>
  <si>
    <t>GK4026711</t>
  </si>
  <si>
    <t>GH4072364</t>
  </si>
  <si>
    <t>GK4090153</t>
  </si>
  <si>
    <t>GP4090916</t>
  </si>
  <si>
    <t>GK4273880</t>
  </si>
  <si>
    <t>GP4188184</t>
  </si>
  <si>
    <t>GP11777</t>
  </si>
  <si>
    <t>GK4009223</t>
  </si>
  <si>
    <t>GK103462</t>
  </si>
  <si>
    <t>GH4023135</t>
  </si>
  <si>
    <t>GK4153483</t>
  </si>
  <si>
    <t>GP103417</t>
  </si>
  <si>
    <t>GK103339</t>
  </si>
  <si>
    <t>GP103262</t>
  </si>
  <si>
    <t>GP103343</t>
  </si>
  <si>
    <t>GK4089422</t>
  </si>
  <si>
    <t>GK4011612</t>
  </si>
  <si>
    <t>GP11869</t>
  </si>
  <si>
    <t>GK14972</t>
  </si>
  <si>
    <t>GK4005257</t>
  </si>
  <si>
    <t>GK4419623</t>
  </si>
  <si>
    <t>C2288</t>
  </si>
  <si>
    <t>GP103619</t>
  </si>
  <si>
    <t>GP4050636</t>
  </si>
  <si>
    <t>GP4021790</t>
  </si>
  <si>
    <t>GP4310994</t>
  </si>
  <si>
    <t>GK103687</t>
  </si>
  <si>
    <t>GK4281626</t>
  </si>
  <si>
    <t>GP11489</t>
  </si>
  <si>
    <t>GK114527</t>
  </si>
  <si>
    <t>GK4091160</t>
  </si>
  <si>
    <t>GK4388011</t>
  </si>
  <si>
    <t>Great-West Insurance Group (SNL Life Group)</t>
  </si>
  <si>
    <t>GK15333</t>
  </si>
  <si>
    <t>GK4108885</t>
  </si>
  <si>
    <t>GP103541</t>
  </si>
  <si>
    <t>GK103647</t>
  </si>
  <si>
    <t>GP103647</t>
  </si>
  <si>
    <t>GH4375616</t>
  </si>
  <si>
    <t>GH15358</t>
  </si>
  <si>
    <t>GK103363</t>
  </si>
  <si>
    <t>GH111564</t>
  </si>
  <si>
    <t>GK4023122</t>
  </si>
  <si>
    <t>C2527</t>
  </si>
  <si>
    <t>GP4086292</t>
  </si>
  <si>
    <t>C2547</t>
  </si>
  <si>
    <t>Lincoln National Corp. (SNL Life Group)</t>
  </si>
  <si>
    <t>GK103362</t>
  </si>
  <si>
    <t>GP4051039</t>
  </si>
  <si>
    <t>GP103405</t>
  </si>
  <si>
    <t>C900</t>
  </si>
  <si>
    <t>GK4005681</t>
  </si>
  <si>
    <t>C2619</t>
  </si>
  <si>
    <t>GP4005715</t>
  </si>
  <si>
    <t>C2621</t>
  </si>
  <si>
    <t>GK15762</t>
  </si>
  <si>
    <t>GK4627668</t>
  </si>
  <si>
    <t>GK4048602</t>
  </si>
  <si>
    <t>C3023</t>
  </si>
  <si>
    <t>GK4193513</t>
  </si>
  <si>
    <t>GP4193513</t>
  </si>
  <si>
    <t>GP13334</t>
  </si>
  <si>
    <t>GK4042248</t>
  </si>
  <si>
    <t>GP103407</t>
  </si>
  <si>
    <t>GK110229</t>
  </si>
  <si>
    <t>GK4025122</t>
  </si>
  <si>
    <t>GK110258</t>
  </si>
  <si>
    <t>GK110230</t>
  </si>
  <si>
    <t>GP103383</t>
  </si>
  <si>
    <t>GK103450</t>
  </si>
  <si>
    <t>GK4021613</t>
  </si>
  <si>
    <t>GK4041396</t>
  </si>
  <si>
    <t>GP13853</t>
  </si>
  <si>
    <t>C2801</t>
  </si>
  <si>
    <t>C7501</t>
  </si>
  <si>
    <t>GK13959</t>
  </si>
  <si>
    <t>GK4048741</t>
  </si>
  <si>
    <t>GK4057252</t>
  </si>
  <si>
    <t>C2543</t>
  </si>
  <si>
    <t>GP4290308</t>
  </si>
  <si>
    <t>C1787</t>
  </si>
  <si>
    <t>GK4090200</t>
  </si>
  <si>
    <t>GP4090200</t>
  </si>
  <si>
    <t>GK103323</t>
  </si>
  <si>
    <t>GP4055530</t>
  </si>
  <si>
    <t>GH111568</t>
  </si>
  <si>
    <t>GK111568</t>
  </si>
  <si>
    <t>GK103324</t>
  </si>
  <si>
    <t>GK4041737</t>
  </si>
  <si>
    <t>GP103336</t>
  </si>
  <si>
    <t>GK4154905</t>
  </si>
  <si>
    <t>GP103404</t>
  </si>
  <si>
    <t>GK4042156</t>
  </si>
  <si>
    <t>GP4042156</t>
  </si>
  <si>
    <t>CompanyGeneral</t>
  </si>
  <si>
    <t>:"","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t>
  </si>
  <si>
    <t>e,"timeoutOverride":0,"ignoreCache":false}],"saveQueryType":0,"extensionPropertiesJson":null}</t>
  </si>
  <si>
    <t>{"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t>
  </si>
  <si>
    <t>pc</t>
  </si>
  <si>
    <t>aum</t>
  </si>
  <si>
    <t>,"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
  </si>
  <si>
    <t>life</t>
  </si>
  <si>
    <t>,"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t>
  </si>
  <si>
    <t>,"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t>
  </si>
  <si>
    <t>,"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t>
  </si>
  <si>
    <t>health</t>
  </si>
  <si>
    <t>all</t>
  </si>
  <si>
    <t>","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t>
  </si>
  <si>
    <t>DON'T TOUCH</t>
  </si>
  <si>
    <t>IR</t>
  </si>
  <si>
    <t>LIFE</t>
  </si>
  <si>
    <t>Investment Analysis</t>
  </si>
  <si>
    <t>Company Info</t>
  </si>
  <si>
    <t>Address:</t>
  </si>
  <si>
    <t>Phone:</t>
  </si>
  <si>
    <t>Website:</t>
  </si>
  <si>
    <t xml:space="preserve">    US Federal Government Bonds</t>
  </si>
  <si>
    <t xml:space="preserve">    Foreign Government Bonds</t>
  </si>
  <si>
    <t xml:space="preserve">    Government Agency Bonds</t>
  </si>
  <si>
    <t xml:space="preserve">    Credit Tenant Bonds</t>
  </si>
  <si>
    <t xml:space="preserve">    Hybrid Securities</t>
  </si>
  <si>
    <t xml:space="preserve">    Affiliated Bonds</t>
  </si>
  <si>
    <t xml:space="preserve">    Total IG Bonds</t>
  </si>
  <si>
    <t xml:space="preserve">    Total HY Bonds</t>
  </si>
  <si>
    <t xml:space="preserve">Fax: </t>
  </si>
  <si>
    <t>Net Real Estate</t>
  </si>
  <si>
    <t>Net Stock</t>
  </si>
  <si>
    <t xml:space="preserve">    Municipal Bonds</t>
  </si>
  <si>
    <t xml:space="preserve">        Corporate IG Bonds</t>
  </si>
  <si>
    <t xml:space="preserve">        Corporate HY Bonds</t>
  </si>
  <si>
    <t xml:space="preserve">        Municipal IG Bonds</t>
  </si>
  <si>
    <t xml:space="preserve">        Municipal HY Bonds</t>
  </si>
  <si>
    <t>Net Cash, Cash Equiv &amp; ST</t>
  </si>
  <si>
    <t xml:space="preserve">    Corporate Bonds</t>
  </si>
  <si>
    <t>Schedule BA</t>
  </si>
  <si>
    <t>Schedule BA Total</t>
  </si>
  <si>
    <t>DESTINATION WORKBOOK NAME (NO EXT)</t>
  </si>
  <si>
    <t>INSTITUTION KEY</t>
  </si>
  <si>
    <t>USAA Insurance Group (SNL Life Group)</t>
  </si>
  <si>
    <t>USAA Insurance Group (SNL P&amp;C Group)</t>
  </si>
  <si>
    <t>GP14193</t>
  </si>
  <si>
    <t>GK14193</t>
  </si>
  <si>
    <t>GK4047462</t>
  </si>
  <si>
    <t>Time Start</t>
  </si>
  <si>
    <t>Time End</t>
  </si>
  <si>
    <t>PROGRESS DASHBOARD</t>
  </si>
  <si>
    <t>AVG PER CO TIME:</t>
  </si>
  <si>
    <t>START TIME:</t>
  </si>
  <si>
    <t xml:space="preserve">TOTAL RUNTIME: </t>
  </si>
  <si>
    <t>% COMPLETE:</t>
  </si>
  <si>
    <t>EST TIME REMAINING:</t>
  </si>
  <si>
    <t>EST COMPLETE TIME:</t>
  </si>
  <si>
    <t>COs COMPLETED:</t>
  </si>
  <si>
    <t>TOTAL COs:</t>
  </si>
  <si>
    <t>Tear_Sheet</t>
  </si>
  <si>
    <t>Alleghany Corporation (SNL P&amp;C Group)</t>
  </si>
  <si>
    <t>Difference</t>
  </si>
  <si>
    <t>OLD_MPL</t>
  </si>
  <si>
    <t>允䅁䵁噅䅁䍁䅁䅁䅁䕁䅁䅁杄䅁䍁䅍兒卂䙁䅉睔卂䅁䅁儴䅙䅁䅷䅁橁䙁䅁兒佂䕁䅑䅁元杂䅁杍䅁䍁䅕䅉䝂䡁䅉睢瑂䍁䅁睑療䝁䅷杌杁䑁䅣䅉兂䡁䅉兡療䡁䅉䅉婂䝁䅕兙祂䅁䅁睎䅁䉁䄴䅁潁䑁䅉䅍穁䍁䅫䅉祁䑁䅉兏瑁䑁䅁睎㉁䑁䅫䅁䡃兆䅁杈䅁䍁䅧杍睁䑁䅍克杁䑁䅍兎㉁䍁䄰䅍硁䑁䅫李䅁䩁噍䅁敁䅁䅁䅋祁䑁䅁睍灁䍁䅁䅎㑁䑁䅕兌ぁ䑁䅉䅍睁䅁䅁硸䅅䉁䄴䅁潁䑁䅉䅍穁䍁䅫䅉㉁䑁䅉兏瑁䑁䅍䅍睁䑁䅁䅁ㅁ睃䅁杈䅁䍁䅧杍睁䑁䅍克杁䑁䅙杍㕁䍁䄰睍睁䑁䅣睍䅁䱁噯䅁敁䅁䅁䅋祁䑁䅁睍灁䍁䅁睎㉁䑁䅉兌ぁ䑁䅑䅍睁䅁䅁兇䄰䉁䄴䅁潁䑁䅉䅍穁䍁䅫䅉㕁䑁䅁兎瑁䑁䅙䅍㕁䑁䅁䅁湂充䅁杈䅁䍁䅧杍睁䑁䅍克杁䑁䅫李ぁ䍁䄰䅍㍁䑁䅙睍䅁䱁噷䅁敁䅁䅁䅋祁䑁䅁睍灁䍁䅁兏㉁䑁䅑兌ㅁ䑁䅉䅍睁䅁䅁桌䅑䉁䄴䅁潁䑁䅉䅍穁䍁䅫䅉㕁䑁䅣睎瑁䑁䅧䅍睁䑁䅁䅁卂元䅁杈䅁䍁䅧杍睁䑁䅕克杁䑁䅉杍睁䍁䄰杍硁䑁䅁䅍䅁䵁䵕䅁敁䅁䅁䅋祁䑁䅁兎灁䍁䅁杍㉁䑁䅧兌硁䑁䅁䅍睁䅁䅁睋䅫䉁䄴䅁潁䑁䅉䅍ㅁ䍁䅫䅉㑁䑁䅙䅏瑁䑁䅍李ぁ䑁䅉䅁元兆䅁杈䅁䍁䅧杍睁䑁䅕克杁䑁䅧睎睁䍁䄰䅎睁䑁䅁䅍䅁䉁兑䅁敁䅁䅁䅋祁䑁䅁兎灁䍁䅁䅏㍁䑁䅣兌ぁ䑁䅑䅍睁䅁䅁硊䅉䉁䄴䅁潁䑁䅉䅍㉁䍁䅫䅉祁䑁䅍杍瑁䑁䅧䅎睁䑁䅁䅁㍁䅆䅁杈䅁䍁䅧杍睁䑁䅙克杁䑁䅑䅎㑁䍁䄰兎㉁䑁䅁䅍䅁䉁偷䅁敁䅁䅁䅋祁䑁䅁李灁䍁䅁䅎㉁䑁䅑兌穁䑁䅙䅍睁䅁䅁硚䅉䉁䄴䅁潁䑁䅉䅍㍁䍁䅫䅉㍁䑁䅣杍瑁䑁䅅兏ㅁ䑁䅅䅁㕃兆䅁杈䅁䍁䅧杍硁䑁䅁克杁䑁䅑兏㑁䍁䄰杍祁䑁䅅免䅁䅁䱁䅁敁䅁䅁䅋祁䑁䅅䅍灁䍁䅁䅎㕁䑁䅧兌㕁䑁䅫䅎睁䅁䅁剶䅕䉁䄴䅁潁䑁䅉免祁䍁䅫䅉祁䑁䅉䅍瑁䑁䅣免祁䑁䅁䅁婁䅄䅁杈䅁䍁䅧杍硁䑁䅉克杁䑁䅉杍ぁ䍁䄰免㉁䑁䅁䅍䅁䕁剉䅁敁䅁䅁䅋祁䑁䅅杍灁䍁䅁杍祁䑁䅑兌祁䑁䅕杍睁䅁䅁副䅕䉁䄴䅁潁䑁䅉免祁䍁䅫䅉祁䑁䅍䅏瑁䑁䅫李睁䑁䅁䅁祂杅䅁杈䅁䍁䅧杍硁䑁䅉克杁䑁䅍䅍㕁䍁䄰䅏祁䑁䅁䅍䅁䍁䱳䅁敁䅁䅁䅋祁䑁䅅杍灁䍁䅁睍硁䑁䅉兌祁䑁䅕䅍睁䅁䅁剃䅍䉁䄴䅁潁䑁䅉免祁䍁䅫䅉穁䑁䅅杍瑁䑁䅍䅍睁䑁䅁䅁㥃杄䅁杈䅁䍁䅧杍硁䑁䅉克杁䑁䅍免ぁ䍁䄰睍㕁䑁䅕䅎䅁䥁噕䅁敁䅁䅁䅋祁䑁䅅杍灁䍁䅁睍ぁ䑁䅫兌ぁ䑁䅫䅍㍁䅁䅁䉯䅑䉁䄴䅁潁䑁䅉免祁䍁䅫䅉穁䑁䅕李瑁䑁䅁睍睁䑁䅁䅁㝁杅䅁杈䅁䍁䅧杍硁䑁䅉克杁䑁䅍䅏睁䍁䄰兏ㅁ䑁䅁䅍䅁䕁剳䅁敁䅁䅁䅋祁䑁䅅杍灁䍁䅁䅎㍁䑁䅧兌穁䑁䅑䅍睁䅁䅁桕䅍䉁䄴䅁潁䑁䅉免祁䍁䅫䅉ぁ䑁䅧䅍瑁䑁䅅兏睁䑁䅁䅁⽃杅䅁杈䅁䍁䅧杍硁䑁䅉克杁䑁䅑兏睁䍁䄰兏睁䑁䅁䅍䅁䑁䥯䅁敁䅁䅁䅋祁䑁䅅杍灁䍁䅁兎睁䑁䅫兌㕁䑁䅅兏睁䅁䅁硥䅕䉁䄴䅁潁䑁䅉免祁䍁䅫䅉ㅁ䑁䅕䅎瑁䑁䅅杍穁䑁䅑䅁癄䅃䅁杈䅁䍁䅧杍硁䑁䅉克杁䑁䅕睎㉁䍁䄰睎睁䑁䅁䅍䅁䅁䥧䅁敁䅁䅁䅋祁䑁䅅杍灁䍁䅁兎㍁䑁䅙兌㍁䑁䅕䅎穁䅁䅁桯䅑䉁䄴䅁潁䑁䅉免祁䍁䅫䅉ㅁ䑁䅣李瑁䑁䅫䅏睁䑁䅅䅁穄䅅䅁杈䅁䍁䅧杍硁䑁䅉克杁䑁䅕睎㑁䍁䄰睍穁䑁䅉䅍䅁䩁唸䅁敁䅁䅁䅋祁䑁䅅杍灁䍁䅁兎㍁䑁䅧兌㕁䑁䅕䅍睁䅁䅁睢䅅䉁䄴䅁潁䑁䅉免祁䍁䅫䅉ㅁ䑁䅧免瑁䑁䅍杍㉁䑁䅧䅁䑃兆䅁杈䅁䍁䅧杍硁䑁䅉克杁䑁䅕兏㑁䍁䄰䅏睁䑁䅁䅍䅁䱁䩅䅁敁䅁䅁䅋祁䑁䅅杍灁䍁䅁李ㅁ䑁䅧兌㍁䑁䅑睎睁䅁䅁睰䅳䉁䄴䅁潁䑁䅉免祁䍁䅫䅉㍁䑁䅕杍瑁䑁䅅睍ㅁ䑁䅙䅁桂䅃䅁杈䅁䍁䅧杍硁䑁䅉克杁䑁䅣兎㕁䍁䄰䅏硁䑁䅑兏䅁䡁噧䅁敁䅁䅁䅋祁䑁䅅杍灁䍁䅁睎㍁䑁䅁兌㍁䑁䅁䅍睁䅁䅁䄳䅣䉁䄴䅁潁䑁䅉免祁䍁䅫䅉㍁䑁䅫䅍瑁䑁䅫睎睁䑁䅁䅁偂杄䅁杈䅁䍁䅧杍硁䑁䅉克杁䑁䅧兎㕁䍁䄰睎睁䑁䅁䅍䅁䙁䵍䅁敁䅁䅁䅋祁䑁䅅杍灁䍁䅁䅏ㅁ䑁䅫兌㍁䑁䅁免睁䅁䅁桧䅕䉁䄴䅁潁䑁䅉免祁䍁䅫䅉㕁䑁䅍䅍瑁䑁䅫䅎㕁䑁䅑䅁橃兆䅁杈䅁䍁䅧杍硁䑁䅉克杁䑁䅫睎ぁ䍁䄰䅍硁䑁䅁䅍䅁䝁䵁䅁敁䅁䅁䅋祁䑁䅅兎灁䍁䅁杍穁䑁䅅兌硁䑁䅁䅍睁䅁䅁硗䅉䉁䄴䅁潁䑁䅉免ㅁ䍁䅫䅉祁䑁䅑免瑁䑁䅉䅎睁䑁䅁䅁穄睄䅁杈䅁䍁䅧杍硁䑁䅕克杁䑁䅫兎㉁䍁䄰䅏睁䑁䅁䅍䅁䙁䭯䅁敁䅁䅁䅋祁䑁䅅李灁䍁䅁李㑁䑁䅣兌㍁䑁䅁䅍睁䅁䅁别䅁䉁䄴䅁潁䑁䅉免㍁䍁䅫䅉ㅁ䑁䅍兎瑁䑁䅣免硁䑁䅣䅁扃兆䅁杈䅁䍁䅧杍硁䑁䅣克杁䑁䅣䅏㕁䍁䄰杍ㅁ䑁䅁䅍䅁䭁偙䅁敁䅁䅁䅋祁䑁䅉兎灁䍁䅁杍㕁䑁䅕兌穁䑁䅍䅍㍁䅁䅁桤䅁䉁䄴䅁潁䑁䅉杍ㅁ䍁䅫䅉㕁䑁䅉䅎瑁䑁䅣睎㑁䑁䅧䅁䙃䅅䅁杈䅁䍁䅧杍ぁ䑁䅧克杁䑁䅍兎㑁䍁䄰免硁䑁䅁䅍䅁䵁佷䅁敁䅁䅁䅋祁䑁䅑䅏灁䍁䅁李硁䑁䅕兌㕁䑁䅁䅍睁䅁䅁术䅳䉁䄴䅁潁䑁䅉兎ぁ䍁䅫䅉㍁䑁䅣杍瑁䑁䅍䅍穁䑁䅁䅁煂睅䅁杈䅁䍁䅧杍㉁䑁䅉克杁䑁䅍睍ぁ䍁䄰兎ㅁ䑁䅣免䅁䅁啅䅁敁䅁䅁䅋祁䑁䅙睎灁䍁䅁杍ㅁ䑁䅙兌穁䑁䅕䅍睁䅁䅁桫䅍䉁䄴䅁潁䑁䅍䅍硁䍁䅫䅉祁䑁䅣兏瑁䑁䅑䅏睁䑁䅁䅁剂䅅䅁杈䅁䍁䅧睍睁䑁䅉克杁䑁䅧䅏㑁䍁䄰睍睁䑁䅁䅍䅁䩁剕䅁敁䅁䅁䅋穁䑁䅁睍灁䍁䅁睍㉁䑁䅅兌ぁ䑁䅁䅍睁䅁䅁䈷䅅䉁䄴䅁潁䑁䅍䅍穁䍁䅫䅉㍁䑁䅍睎瑁䑁䅍䅍睁䑁䅁䅁汃元䅁杈䅁䍁䅧睍睁䑁䅑克杁䑁䅫䅎硁䍁䄰免睁䑁䅁䅍䅁䅁丸䅁敁䅁䅁䅋穁䑁䅁兏灁䍁䅁睍ぁ䑁䅙兌硁䑁䅅李硁䅁䅁砰䅅䉁䄴䅁潁䑁䅍䅍㕁䍁䅫䅉㉁䑁䅣䅎瑁䑁䅧杍ㅁ䑁䅕䅁灄睄䅁杈䅁䍁䅧睍睁䑁䅫克杁䑁䅙兏祁䍁䄰免睁䑁䅁䅍䅁䡁卧䅁敁䅁䅁䅋穁䑁䅁兏灁䍁䅁睎㉁䑁䅙兌祁䑁䅍免硁䅁䅁免䅧䉁䄴䅁潁䑁䅍䅍㕁䍁䅫䅉㍁䑁䅙李瑁䑁䅍李祁䑁䅅䅁睃兆䅁杈䅁䍁䅧睍睁䑁䅫克杁䑁䅧杍硁䍁䄰睍睁䑁䅁䅍䅁乁久䅁敁䅁䅁䅋穁䑁䅁兏灁䍁䅁䅏祁䑁䅅兌ぁ䑁䅙䅍睁䅁䅁杹䄰䉁䄴䅁潁䑁䅍䅍㕁䍁䅫䅉㑁䑁䅉免瑁䑁䅙免㍁䑁䅣䅁佃兆䅁杈䅁䍁䅧睍硁䑁䅉克杁䑁䅍䅎㉁䍁䄰䅏硁䑁䅁䅍䅁䭁剧䅁敁䅁䅁䅋穁䑁䅅杍灁䍁䅁睍ㅁ䑁䅙兌穁䑁䅁䅍睁䅁䅁破䅍䉁䄴䅁潁䑁䅍免祁䍁䅫䅉㉁䑁䅕睍瑁䑁䅙䅍睁䑁䅁䅁䝃睄䅁杈䅁䍁䅧睍硁䑁䅉克杁䑁䅙李硁䍁䄰䅎㉁䑁䅁䅍䅁䑁八䅁敁䅁䅁䅋穁䑁䅅杍灁䍁䅁李㕁䑁䅣兌㉁䑁䅫䅍睁䅁䅁兢䅷䉁䄴䅁潁䑁䅍免祁䍁䅫䅉㍁䑁䅉李瑁䑁䅁睍睁䑁䅫䅁潃兆䅁杈䅁䍁䅧睍硁䑁䅉克杁䑁䅣䅏祁䍁䄰杍㍁䑁䅑兏䅁䉁儰䅁敁䅁䅁䅋穁䑁䅅杍灁䍁䅁䅏祁䑁䅉兌ㅁ䑁䅁䅍睁䅁䅁睅䅫䉁䄴䅁潁䑁䅍免祁䍁䅫䅉㑁䑁䅉杍瑁䑁䅕䅎ㅁ䑁䅫䅁䱃兆䅁杈䅁䍁䅧睍硁䑁䅉克杁䑁䅫睎㍁䍁䄰䅍㕁䑁䅁䅎䅁䡁偑䅁敁䅁䅁䅋穁䑁䅅睍灁䍁䅁杍祁䑁䅕兌㕁䑁䅁䅍睁䅁䅁䄸䅷䉁䄴䅁潁䑁䅍免穁䍁䅫䅉穁䑁䅍李瑁䑁䅅杍穁䑁䅑䅁䅃䅄䅁杈䅁䍁䅧睍硁䑁䅍克杁䑁䅙兎㉁䍁䄰兎ぁ䑁䅍睎䅁䭁䱁䅁敁䅁䅁䅋穁䑁䅅䅎灁䍁䅁睎祁䑁䅕兌ぁ䑁䅑睎㍁䅁䅁睓䄰䉁䄴䅁潁䑁䅍免ㅁ䍁䅫䅉㍁䑁䅍䅎瑁䑁䅉䅍睁䑁䅁䅁呄睅䅁杈䅁䍁䅧睍硁䑁䅣克杁䑁䅉䅏ㅁ䍁䄰免硁䑁䅅免䅁䕁䭑䅁敁䅁䅁䅋穁䑁䅅睎灁䍁䅁杍㑁䑁䅕兌硁䑁䅫睎㕁䅁䅁剱䅕䉁䄴䅁潁䑁䅍免㍁䍁䅫䅉ぁ䑁䅧䅏瑁䑁䅙䅍睁䑁䅁䅁兄䅃䅁杈䅁䍁䅧睍硁䑁䅣克杁䑁䅑䅏㑁䍁䄰李ぁ䑁䅙䅍䅁䥁噅䅁敁䅁䅁䅋穁䑁䅅睎灁䍁䅁兎㉁䑁䅙兌㍁䑁䅕䅍睁䅁䅁刵䅉䉁䄴䅁潁䑁䅍免㍁䍁䅫䅉㉁䑁䅫杍瑁䑁䅣杍睁䑁䅁䅁⭄睄䅁杈䅁䍁䅧睍硁䑁䅣克杁䑁䅧免㉁䍁䄰兏睁䑁䅍䅏䅁䑁䩫䅁敁䅁䅁䅋穁䑁䅅睎灁䍁䅁䅏硁䑁䅣兌祁䑁䅧䅎㍁䅁䅁剪䅕䉁䄴䅁潁䑁䅍免㍁䍁䅫䅉㑁䑁䅅睎瑁䑁䅙免睁䑁䅁䅁慁元䅁杈䅁䍁䅧睍硁䑁䅫克杁䑁䅍兎ㅁ䍁䄰䅏ㅁ䑁䅅免䅁䙁䱉䅁敁䅁䅁䅋穁䑁䅅兏灁䍁䅁睍㕁䑁䅫兌ㅁ䑁䅣䅍睁䅁䅁硴䅍䉁䄴䅁潁䑁䅍杍穁䍁䅫䅉㕁䑁䅍杍瑁䑁䅍杍睁䑁䅁䅁摂元䅁杈䅁䍁䅧睍祁䑁䅍克杁䑁䅫睍㍁䍁䄰免睁䑁䅙䅍䅁䅁剕䅁敁䅁䅁䅋穁䑁䅉兎灁䍁䅁李㕁䑁䅕兌穁䑁䅑免祁䅁䅁䄵䄴䉁䄴䅁潁䑁䅍睍睁䍁䅫䅉㑁䑁䅧睎瑁䑁䅁免睁䑁䅅䅁偁䅆䅁杈䅁䍁䅧睍穁䑁䅑克杁䑁䅉䅏㑁䍁䄰睍㕁䑁䅁䅍䅁䥁䱁䅁敁䅁䅁䅋穁䑁䅍睎灁䍁䅁䅎㉁䑁䅍兌㕁䑁䅁兎祁䅁䅁眸䅳䉁䄴䅁潁䑁䅍䅏ㅁ䍁䅫䅉穁䑁䅕免瑁䑁䅧䅍睁䑁䅁䅁橁䅆䅁杈䅁䍁䅧䅎睁䑁䅅克杁䑁䅉睎ㅁ䍁䄰睍睁䑁䅁䅍䅁䡁䩙䅁敁䅁䅁䅋ぁ䑁䅁免灁䍁䅁杍㍁䑁䅕兌穁䑁䅁杍㕁䅁䅁剬䅕䉁䄴䅁潁䑁䅑䅍祁䍁䅫䅉祁䑁䅅䅏瑁䑁䅑䅍㉁䑁䅫䅁獂睃䅁杈䅁䍁䅧䅎睁䑁䅉克杁䑁䅍䅎祁䍁䄰睎㉁䑁䅁䅍䅁䉁䭳䅁敁䅁䅁䅋ぁ䑁䅁杍灁䍁䅁睍ぁ䑁䅙兌硁䑁䅑䅍睁䅁䅁䄶䅣䉁䄴䅁潁䑁䅑䅍祁䍁䅫䅉穁䑁䅑李瑁䑁䅍睍㍁䑁䅕䅁䝃兆䅁杈䅁䍁䅧䅎睁䑁䅉克杁䑁䅍兎硁䍁䄰杍㍁䑁䅣兎䅁䭁噉䅁敁䅁䅁䅋ぁ䑁䅁杍灁䍁䅁䅎㉁䑁䅣兌硁䑁䅅杍祁䅁䅁杶䅧䉁䄴䅁潁䑁䅑䅍祁䍁䅫䅉ぁ䑁䅙睎瑁䑁䅣睍穁䑁䅕䅁䅃兆䅁杈䅁䍁䅧䅎睁䑁䅉克杁䑁䅙睍穁䍁䄰免睁䑁䅁䅍䅁佁前䅁敁䅁䅁䅋ぁ䑁䅁䅎灁䍁䅁䅏ぁ䑁䅉兌ㅁ䑁䅙䅍睁䅁䅁硪䅁䉁䄴䅁潁䑁䅑䅍ㅁ䍁䅫䅉祁䑁䅍杍瑁䑁䅣李㉁䑁䅍䅁㑃兄䅁杈䅁䍁䅧䅎睁䑁䅕克杁䑁䅕杍穁䍁䄰杍睁䑁䅁䅍䅁乁䱑䅁敁䅁䅁䅋ぁ䑁䅁睎灁䍁䅁李ぁ䑁䅫兌㑁䑁䅑免硁䅁䅁兑䄸䉁䄴䅁潁䑁䅑䅍㕁䍁䅫䅉㍁䑁䅙睍瑁䑁䅑李㉁䑁䅅䅁灃䅃䅁杈䅁䍁䅧䅎睁䑁䅫克杁䑁䅣李㉁䍁䄰李㉁䑁䅙睍䅁䡁嘸䅁敁䅁䅁䅋ぁ䑁䅅䅍灁䍁䅁䅎㕁䑁䅑兌祁䑁䅁䅍睁䅁䅁兡䄰䉁䄴䅁潁䑁䅑免睁䍁䅫䅉ㅁ䑁䅧免瑁䑁䅍䅍睁䑁䅁䅁癁兄䅁杈䅁䍁䅧䅎硁䑁䅁克杁䑁䅕䅏硁䍁䄰李㉁䑁䅁䅍䅁䩁䵷䅁敁䅁䅁䅋ぁ䑁䅅䅍灁䍁䅁䅏㕁䑁䅕兌睁䑁䅅䅍睁䅁䅁杚䅫䉁䄴䅁潁䑁䅑免祁䍁䅫䅉ㅁ䑁䅑䅎瑁䑁䅣䅍睁䑁䅁䅁⭂睄䅁杈䅁䍁䅧䅎硁䑁䅍克杁䑁䅣䅎ぁ䍁䄰䅏ぁ䑁䅅免䅁偁䡷䅁敁䅁䅁䅋ぁ䑁䅅䅎灁䍁䅁杍㍁䑁䅅兌硁䑁䅑䅎ぁ䅁䅁睆䅧䉁䄴䅁潁䑁䅑免ぁ䍁䅫䅉穁䑁䅑睎瑁䑁䅙䅎㑁䑁䅁䅁乁充䅁杈䅁䍁䅧䅎硁䑁䅑克杁䑁䅙李ㅁ䍁䄰李㍁䑁䅙䅍䅁䭁啍䅁敁䅁䅁䅋ぁ䑁䅅兎灁䍁䅁杍㉁䑁䅍兌ㅁ䑁䅑䅍睁䅁䅁关䅯䉁䄴䅁潁䑁䅑免ㅁ䍁䅫䅉穁䑁䅫睎瑁䑁䅫睎睁䑁䅁䅁䡃充䅁杈䅁䍁䅧䅎硁䑁䅫克杁䑁䅉睍㑁䍁䄰免睁䑁䅅䅍䅁䙁乍䅁敁䅁䅁䅋ぁ䑁䅉睍灁䍁䅁杍㕁䑁䅑兌硁䑁䅁免硁䅁䅁䅉䅳䉁䄴䅁潁䑁䅑杍穁䍁䅫䅉ㅁ䑁䅍兎瑁䑁䅕李睁䑁䅁䅁㍄䅄䅁杈䅁䍁䅧䅎祁䑁䅕克杁䑁䅉兎㉁䍁䄰䅏睁䑁䅁䅍䅁䵁䭉䅁敁䅁䅁䅋ぁ䑁䅉兎灁䍁䅁兏硁䑁䅧兌ぁ䑁䅁䅍睁䅁䅁䉄䅉䉁䄴䅁潁䑁䅑䅎睁䍁䅫䅉ぁ䑁䅑李瑁䑁䅣免㉁䑁䅧䅁獃兆䅁杈䅁䍁䅧䅎ぁ䑁䅁克杁䑁䅑李硁䍁䄰兎睁䑁䅁䅍䅁䝁䭳䅁敁䅁䅁䅋ぁ䑁䅙兏灁䍁䅁兎祁䑁䅉兌ぁ䑁䅑䅍睁䅁䅁剖䅁䉁䄴䅁潁䑁䅑䅏睁䍁䅫䅉ぁ䑁䅉兎瑁䑁䅕免睁䑁䅁䅁元杅䅁杈䅁䍁䅧䅎㑁䑁䅑克杁䑁䅕䅏穁䍁䄰免ぁ䑁䅁䅍䅁偁䩉䅁敁䅁䅁䅋ぁ䑁䅧䅎灁䍁䅁兎㑁䑁䅍兌穁䑁䅫李祁䅁䅁副䅑䉁䄴䅁潁䑁䅕䅍硁䍁䅫䅉穁䑁䅣䅏瑁䑁䅉䅍睁䑁䅁䅁䱄睅䅁杈䅁䍁䅧兎睁䑁䅉克杁䑁䅑兏ㅁ䍁䄰兎睁䑁䅁䅍䅁䕁兙䅁敁䅁䅁䅋ㅁ䑁䅁杍灁䍁䅁兎㑁䑁䅁兌硁䑁䅁䅍睁䅁䅁兹䄸䉁䄴䅁潁䑁䅕䅍祁䍁䅫䅉ㅁ䑁䅧䅍瑁䑁䅍李㍁䑁䅣䅁捃兆䅁杈䅁䍁䅧兎睁䑁䅍克杁䑁䅍睎穁䍁䄰䅏睁䑁䅁䅍䅁䩁卷䅁敁䅁䅁䅋ㅁ䑁䅁䅎灁䍁䅁兎㉁䑁䅙兌硁䑁䅍䅍睁䅁䅁䉶䅅䉁䄴䅁潁䑁䅕䅍㍁䍁䅫䅉ぁ䑁䅕兎瑁䑁䅕杍睁䑁䅁䅁硃杄䅁杈䅁䍁䅧兎睁䑁䅧克杁䑁䅑李睁䍁䄰杍ぁ䑁䅁䅍䅁䩁䩧䅁敁䅁䅁䅋ㅁ䑁䅁䅏灁䍁䅁䅎㉁䑁䅁兌祁䑁䅑䅍硁䅁䅁硬䅕䉁䄴䅁潁䑁䅕䅍㑁䍁䅫䅉㑁䑁䅕睍瑁䑁䅙睍穁䑁䅉䅁奃兆䅁杈䅁䍁䅧兎睁䑁䅧克杁䑁䅧兎ㅁ䍁䄰免睁䑁䅁䅍䅁䕁偧䅁敁䅁䅁䅋ㅁ䑁䅁䅏灁䍁䅁兏ぁ䑁䅍兌㕁䑁䅁䅍睁䅁䅁創䅁䉁䄴䅁潁䑁䅕免祁䍁䅫䅉祁䑁䅉䅎瑁䑁䅍䅏睁䑁䅁䅁硂睅䅁杈䅁䍁䅧兎硁䑁䅉克杁䑁䅧睍㉁䍁䄰免睁䑁䅅䅍䅁䙁券䅁敁䅁䅁䅋ㅁ䑁䅅杍灁䍁䅁䅏穁䑁䅣兌㍁䑁䅅䅍睁䅁䅁杮䄰䉁䄴䅁潁䑁䅕免穁䍁䅫䅉穁䑁䅕杍瑁䑁䅫杍穁䑁䅁䅁⭂兆䅁杈䅁䍁䅧兎硁䑁䅍克杁䑁䅕睎㕁䍁䄰杍硁䑁䅉免䅁䩁䤰䅁敁䅁䅁䅋ㅁ䑁䅅睍灁䍁䅁李祁䑁䅫兌硁䑁䅉杍睁䅁䅁硵䅕䉁䄴䅁潁䑁䅕免穁䍁䅫䅉㉁䑁䅉兏瑁䑁䅅䅏睁䑁䅁䅁䅂睃䅁杈䅁䍁䅧兎硁䑁䅍克杁䑁䅣兏ぁ䍁䄰䅎ㅁ䑁䅅兏䅁䭁噣䅁敁䅁䅁䅋ㅁ䑁䅅睍灁䍁䅁睎㕁䑁䅑兌㉁䑁䅅䅍睁䅁䅁确䅅䉁䄴䅁潁䑁䅕免穁䍁䅫䅉㑁䑁䅣䅍瑁䑁䅉䅍睁䑁䅁䅁䵃兄䅁杈䅁䍁䅧兎硁䑁䅍克杁䑁䅧睎睁䍁䄰杍睁䑁䅙李䅁䥁噯䅁敁䅁䅁䅋ㅁ䑁䅅兎灁䍁䅁杍祁䑁䅅兌睁䑁䅁䅍祁䅁䅁䅩䅧䉁䄴䅁潁䑁䅕免ㅁ䍁䅫䅉祁䑁䅉免瑁䑁䅫兏ぁ䑁䅣䅁㡂兆䅁杈䅁䍁䅧兎硁䑁䅕克杁䑁䅉杍ㅁ䍁䄰兎ぁ䑁䅁䅍䅁䩁佅䅁敁䅁䅁䅋ㅁ䑁䅅兎灁䍁䅁杍祁䑁䅕兌ㅁ䑁䅙䅍ぁ䅁䅁䉬䅕䉁䄴䅁潁䑁䅕免ㅁ䍁䅫䅉祁䑁䅉李瑁䑁䅣免睁䑁䅁䅁䝃权䅁杈䅁䍁䅧兎硁䑁䅕克杁䑁䅉䅎㍁䍁䄰兎硁䑁䅅免䅁䝁䭍䅁敁䅁䅁䅋ㅁ䑁䅅兎灁䍁䅁杍ぁ䑁䅧兌㑁䑁䅁兏睁䅁䅁硱䅕䉁䄴䅁潁䑁䅕免ㅁ䍁䅫䅉祁䑁䅙睎瑁䑁䅕䅍睁䑁䅁䅁汁睄䅁杈䅁䍁䅧兎硁䑁䅕克杁䑁䅉䅏睁䍁䄰杍ㅁ䑁䅅免䅁䑁佯䅁敁䅁䅁䅋ㅁ䑁䅅兎灁䍁䅁睍㍁䑁䅙兌ぁ䑁䅕䅍睁䅁䅁䈫䅍䉁䄴䅁潁䑁䅕免ㅁ䍁䅫䅉ぁ䑁䅑䅍瑁䑁䅣睎㍁䑁䅣䅁捃睄䅁杈䅁䍁䅧兎硁䑁䅕克杁䑁䅕兎㍁䍁䄰睎穁䑁䅑李䅁䙁乷䅁敁䅁䅁䅋ㅁ䑁䅅李灁䍁䅁䅏㉁䑁䅫兌硁䑁䅉䅍睁䅁䅁框䅉䉁䄴䅁潁䑁䅕免㍁䍁䅫䅉穁䑁䅉睍瑁䑁䅅杍睁䑁䅁䅁楄䅃䅁杈䅁䍁䅧兎硁䑁䅣克杁䑁䅍杍穁䍁䄰睎睁䑁䅁䅍䅁䥁佫䅁敁䅁䅁䅋ㅁ䑁䅅睎灁䍁䅁睍祁䑁䅍兌㑁䑁䅣兏㉁䅁䅁䉨䅕䉁䄴䅁潁䑁䅕免㍁䍁䅫䅉穁䑁䅑杍瑁䑁䅑杍睁䑁䅁䅁あ睃䅁杈䅁䍁䅧兎硁䑁䅣克杁䑁䅍䅏硁䍁䄰兎ㅁ䑁䅁䅍䅁乁䩑䅁敁䅁䅁䅋ㅁ䑁䅙杍灁䍁䅁䅎穁䑁䅕兌穁䑁䅙李㉁䅁䅁䉈䅅䉁䄴䅁潁䑁䅕睎睁䍁䅫䅉㕁䑁䅙睍瑁䑁䅑李硁䑁䅕䅁䡂睅䅁杈䅁䍁䅧兎㍁䑁䅍克杁䑁䅑䅎ㅁ䍁䄰䅏ぁ䑁䅑免䅁偁卷䅁敁䅁䅁䅋ㅁ䑁䅧兎灁䍁䅁杍穁䑁䅧兌ぁ䑁䅙兎㕁䅁䅁砳䅁䉁䄴䅁潁䑁䅕䅏ㅁ䍁䅫䅉ぁ䑁䅕䅎瑁䑁䅅睎睁䑁䅁䅁あ杄䅁杈䅁䍁䅧李睁䑁䅅克杁䑁䅫兎㍁䍁䄰睎㍁䑁䅣睎䅁䉁吰䅁敁䅁䅁䅋㉁䑁䅁免灁䍁䅁兏㑁䑁䅅兌㍁䑁䅑杍祁䅁䅁睮䅯䉁䄴䅁潁䑁䅙䅍硁䍁䅫䅉㕁䑁䅧杍瑁䑁䅫兎㉁䑁䅫䅁癃兆䅁杈䅁䍁䅧李睁䑁䅉克杁䑁䅉李穁䍁䄰李㉁䑁䅙李䅁䱁䱅䅁敁䅁䅁䅋㉁䑁䅁杍灁䍁䅁李穁䑁䅅兌祁䑁䅉䅎睁䅁䅁睶䄰䉁䄴䅁潁䑁䅙䅍祁䍁䅫䅉㑁䑁䅙䅎瑁䑁䅑免睁䑁䅁䅁歄䅄䅁杈䅁䍁䅧李睁䑁䅍克杁䑁䅉䅎ㅁ䍁䄰兎穁䑁䅉杍䅁䩁嘰䅁敁䅁䅁䅋㉁䑁䅁睍灁䍁䅁李ぁ䑁䅁兌祁䑁䅉䅍睁䅁䅁䉇䅑䉁䄴䅁潁䑁䅙䅍㍁䍁䅫䅉㍁䑁䅉睍瑁䑁䅍兎ㅁ䑁䅅䅁乄杅䅁杈䅁䍁䅧李睁䑁䅣克杁䑁䅣杍ぁ䍁䄰杍ぁ䑁䅣杍䅁䭁乣䅁敁䅁䅁䅋㉁䑁䅁䅏灁䍁䅁杍穁䑁䅧兌睁䑁䅧睍睁䅁䅁硪䅕䉁䄴䅁潁䑁䅙䅍㑁䍁䅫䅉祁䑁䅍䅏瑁䑁䅕䅏ㅁ䑁䅅䅁潄兄䅁杈䅁䍁䅧李睁䑁䅧克杁䑁䅉䅎穁䍁䄰䅎㕁䑁䅉免䅁䡁嘰䅁敁䅁䅁䅋㉁䑁䅁䅏灁䍁䅁杍ぁ䑁䅫兌祁䑁䅅免硁䅁䅁睯䅙䉁䄴䅁潁䑁䅙䅍㑁䍁䅫䅉祁䑁䅕睎瑁䑁䅕李硁䑁䅅䅁噂充䅁杈䅁䍁䅧李睁䑁䅧克杁䑁䅧杍ㅁ䍁䄰兎硁䑁䅙䅍䅁䕁卙䅁敁䅁䅁䅋㉁䑁䅁兏灁䍁䅁杍ぁ䑁䅍兌ぁ䑁䅉䅍睁䅁䅁杅䅯䉁䄴䅁潁䑁䅙䅍㕁䍁䅫䅉祁䑁䅑睍瑁䑁䅑杍ㅁ䑁䅣䅁权兆䅁杈䅁䍁䅧李睁䑁䅫克杁䑁䅧䅏祁䍁䄰睍ぁ䑁䅕睎䅁䭁噙䅁敁䅁䅁䅋㉁䑁䅁兏灁䍁䅁䅏㑁䑁䅍兌硁䑁䅍䅍睁䅁䅁䉦䅅䉁䄴䅁潁䑁䅙免睁䍁䅫䅉祁䑁䅁李瑁䑁䅣䅏穁䑁䅙䅁ぃ兆䅁杈䅁䍁䅧李硁䑁䅁克杁䑁䅙免㍁䍁䄰睎㕁䑁䅁䅍䅁乁䬰䅁敁䅁䅁䅋㉁䑁䅅䅍灁䍁䅁李硁䑁䅣兌㍁䑁䅫䅎睁䅁䅁硳䅕䉁䄴䅁潁䑁䅙免祁䍁䅫䅉㉁䑁䅣免瑁䑁䅍免穁䑁䅅䅁㍃䅃䅁杈䅁䍁䅧李硁䑁䅉克杁䑁䅙睎㉁䍁䄰李ㅁ䑁䅁䅍䅁䱁呁䅁敁䅁䅁䅋㉁䑁䅅䅎灁䍁䅁杍祁䑁䅕兌㑁䑁䅉免硁䅁䅁削䅅䉁䄴䅁潁䑁䅙免ぁ䍁䅫䅉祁䑁䅑兏瑁䑁䅅䅎ㅁ䑁䅅䅁汃兆䅁杈䅁䍁䅧李硁䑁䅑克杁䑁䅉䅎㕁䍁䄰睎硁䑁䅅免䅁䑁䭫䅁敁䅁䅁䅋㉁䑁䅅䅎灁䍁䅁䅎ぁ䑁䅕兌祁䑁䅫䅍睁䅁䅁睂䄸䉁䄴䅁潁䑁䅙免ぁ䍁䅫䅉ぁ䑁䅙䅎瑁䑁䅕䅍睁䑁䅁䅁瑁睅䅁杈䅁䍁䅧李硁䑁䅕克杁䑁䅍睎㍁䍁䄰免㕁䑁䅫兏䅁䑁呕䅁敁䅁䅁䅋㉁䑁䅅睎灁䍁䅁杍ぁ䑁䅙兌ㅁ䑁䅁䅍睁䅁䅁䅲䅷䉁䄴䅁潁䑁䅙免㍁䍁䅫䅉穁䑁䅉䅏瑁䑁䅉䅏睁䑁䅁䅁牁䅄䅁杈䅁䍁䅧李硁䑁䅣克杁䑁䅍睍睁䍁䄰免㍁䑁䅕兎䅁乁乙䅁敁䅁䅁䅋㉁䑁䅅睎灁䍁䅁睍ㅁ䑁䅣兌㕁䑁䅕䅍睁䅁䅁儴䅫䉁䄴䅁潁䑁䅙免㍁䍁䅫䅉ㅁ䑁䅣杍瑁䑁䅙䅍睁䑁䅁䅁㝄元䅁杈䅁䍁䅧李硁䑁䅣克杁䑁䅣睎睁䍁䄰兎硁䑁䅁䅍䅁䙁卣䅁敁䅁䅁䅋㉁䑁䅅睎灁䍁䅁兏ㅁ䑁䅅兌睁䑁䅙䅍睁䅁䅁䉨䅉䉁䄴䅁潁䑁䅙免㍁䍁䅫䅉㕁䑁䅣杍瑁䑁䅫䅎睁䑁䅁䅁浃睅䅁杈䅁䍁䅧李穁䑁䅙克杁䑁䅣睍㉁䍁䄰睎睁䑁䅁䅍䅁䡁䬰䅁敁䅁䅁䅋㉁䑁䅍李灁䍁䅁睎穁䑁䅙兌㍁䑁䅅䅍睁䅁䅁割䅕䉁䄴䅁潁䑁䅙䅎㉁䍁䅫䅉祁䑁䅉睎瑁䑁䅙䅎睁䑁䅁䅁汁睅䅁杈䅁䍁䅧李ぁ䑁䅙克杁䑁䅑䅎㍁䍁䄰兎睁䑁䅁䅍䅁䍁位䅁敁䅁䅁䅋㉁䑁䅑李灁䍁䅁睎㕁䑁䅑兌睁䑁䅕䅍睁䅁䅁䅭䅳䉁䄴䅁潁䑁䅙兎硁䍁䅫䅉穁䑁䅅䅍瑁䑁䅍睍㑁䑁䅙䅁㍃兆䅁杈䅁䍁䅧李ㅁ䑁䅅克杁䑁䅍免睁䍁䄰睎㕁䑁䅅免䅁偁䭙䅁敁䅁䅁䅋㉁䑁䅕免灁䍁䅁李㉁䑁䅉兌㑁䑁䅁䅍睁䅁䅁儲䅷䉁䄴䅁潁䑁䅙兎硁䍁䅫䅉㉁䑁䅙兎瑁䑁䅍兎睁䑁䅁䅁剃权䅁杈䅁䍁䅧李ㅁ䑁䅅克杁䑁䅙李ㅁ䍁䄰䅎ぁ䑁䅧䅏䅁䭁嘴䅁敁䅁䅁䅋㉁䑁䅣䅏灁䍁䅁睎ぁ䑁䅙兌㕁䑁䅑䅍睁䅁䅁䅪䅷䉁䄴䅁潁䑁䅣䅍ぁ䍁䅫䅉ㅁ䑁䅉杍瑁䑁䅉䅍睁䑁䅁䅁䱂䅄䅁杈䅁䍁䅧睎睁䑁䅑克杁䑁䅕䅎祁䍁䄰兏硁䑁䅫杍䅁䵁卧䅁敁䅁䅁䅋㍁䑁䅁䅎灁䍁䅁睎ㅁ䑁䅫兌祁䑁䅉䅍睁䅁䅁桅䅍䉁䄴䅁潁䑁䅣䅍㉁䍁䅫䅉穁䑁䅉睍瑁䑁䅍䅎穁䑁䅅䅁佂䅃䅁杈䅁䍁䅧睎睁䑁䅙克杁䑁䅍杍ぁ䍁䄰李穁䑁䅍䅍䅁䡁噣䅁敁䅁䅁䅋㍁䑁䅁睎灁䍁䅁杍祁䑁䅙兌睁䑁䅅䅍睁䅁䅁䅁䄴䉁䄴䅁潁䑁䅣免穁䍁䅫䅉ㅁ䑁䅉兏瑁䑁䅁䅍ぁ䑁䅕䅁癃䅅䅁杈䅁䍁䅧睎硁䑁䅑克杁䑁䅧兎睁䍁䄰兎硁䑁䅅免䅁䡁䵧䅁敁䅁䅁䅋㍁䑁䅅兎灁䍁䅁睍ぁ䑁䅙兌㉁䑁䅁䅍睁䅁䅁砷䅉䉁䄴䅁潁䑁䅣免ㅁ䍁䅫䅉ㅁ䑁䅍李瑁䑁䅕兎㍁䑁䅣䅁⽂兄䅁杈䅁䍁䅧睎硁䑁䅣克杁䑁䅉睍ぁ䍁䄰䅎㕁䑁䅑免䅁䱁前䅁敁䅁䅁䅋㍁䑁䅅睎灁䍁䅁䅎祁䑁䅙兌硁䑁䅫睍硁䅁䅁权䄴䉁䄴䅁潁䑁䅣免㍁䍁䅫䅉ㅁ䑁䅑免瑁䑁䅣䅍睁䑁䅁䅁歁兄䅁杈䅁䍁䅧睎穁䑁䅉克杁䑁䅫睎㑁䍁䄰李睁䑁䅁䅍䅁偁副䅁敁䅁䅁䅋㍁䑁䅙睍灁䍁䅁睎㉁䑁䅕兌㉁䑁䅕䅍睁䅁䅁睢䅧䉁䄴䅁潁䑁䅣睎睁䍁䅫䅉穁䑁䅕䅍瑁䑁䅍杍睁䑁䅁䅁㍁充䅁杈䅁䍁䅧睎㍁䑁䅁克杁䑁䅍䅏硁䍁䄰免睁䑁䅁䅍䅁䉁匴䅁敁䅁䅁䅋㍁䑁䅧免灁䍁䅁杍穁䑁䅣兌㉁䑁䅁睍睁䅁䅁睹䅯䉁䄴䅁潁䑁䅣䅏硁䍁䅫䅉祁䑁䅙睍瑁䑁䅙䅍睁䑁䅁䅁剂睄䅁杈䅁䍁䅧睎㑁䑁䅅克杁䑁䅣兏睁䍁䄰䅏㉁䑁䅁䅍䅁偁乕䅁敁䅁䅁䅋㍁䑁䅧免灁䍁䅁䅏祁䑁䅧兌㍁䑁䅁䅍睁䅁䅁杁䄰䉁䄴䅁潁䑁䅣䅏硁䍁䅫䅉㕁䑁䅍䅏瑁䑁䅍兎睁䑁䅁䅁汃杅䅁杈䅁䍁䅧睎㑁䑁䅕克杁䑁䅉兏硁䍁䄰睎睁䑁䅁䅍䅁䭁䵍䅁敁䅁䅁䅋㍁䑁䅧兎灁䍁䅁䅎穁䑁䅧兌穁䑁䅁䅍睁䅁䅁睵䅫䉁䄴䅁潁䑁䅧䅍睁䍁䅫䅉祁䑁䅉兎瑁䑁䅑兎睁䑁䅁䅁あ兄䅁杈䅁䍁䅧䅏睁䑁䅁克杁䑁䅍免㉁䍁䄰兎㉁䑁䅁睎䅁䵁位䅁敁䅁䅁䅋㑁䑁䅁䅍灁䍁䅁睍穁䑁䅉兌ㅁ䑁䅑兎ㅁ䅁䅁䅧䄴䉁䄴䅁潁䑁䅧䅍睁䍁䅫䅉穁䑁䅑䅏瑁䑁䅑兎硁䑁䅉䅁呃睄䅁杈䅁䍁䅧䅏睁䑁䅁克杁䑁䅍李ㅁ䍁䄰睍㑁䑁䅅䅏䅁乁剁䅁敁䅁䅁䅋㑁䑁䅁䅍灁䍁䅁䅎㍁䑁䅁兌㍁䑁䅫兎㑁䅁䅁兑䅷䉁䄴䅁潁䑁䅧䅍睁䍁䅫䅉ㅁ䑁䅉兎瑁䑁䅫杍㑁䑁䅣䅁瑂䅅䅁杈䅁䍁䅧䅏睁䑁䅁克杁䑁䅕䅎穁䍁䄰杍㉁䑁䅑䅎䅁䱁䝕䅁敁䅁䅁䅋㑁䑁䅁䅍灁䍁䅁李穁䑁䅉兌㕁䑁䅣䅍睁䅁䅁桊䅁䉁䄴䅁潁䑁䅧䅍睁䍁䅫䅉㉁䑁䅕杍瑁䑁䅙䅎祁䑁䅉䅁䵁䅄䅁杈䅁䍁䅧䅏睁䑁䅁克杁䑁䅙睎㉁䍁䄰䅎㍁䑁䅙䅎䅁䅁卉䅁敁䅁䅁䅋㑁䑁䅁䅍灁䍁䅁䅏睁䑁䅁兌㍁䑁䅙䅎㉁䅁䅁䅔䅯䉁䄴䅁潁䑁䅧䅍睁䍁䅫䅉㑁䑁䅑睍瑁䑁䅣䅎祁䑁䅅䅁䝃杂䅁杈䅁䍁䅧䅏睁䑁䅁克杁䑁䅧䅎㍁䍁䄰䅎㑁䑁䅍李䅁䡁呷䅁敁䅁䅁䅋㑁䑁䅁免灁䍁䅁李㑁䑁䅫兌硁䑁䅑䅍硁䅁䅁充䄸䉁䄴䅁潁䑁䅧䅍硁䍁䅫䅉㕁䑁䅍睍瑁䑁䅅免睁䑁䅁䅁㙃䅄䅁杈䅁䍁䅧䅏睁䑁䅉克杁䑁䅉杍㕁䍁䄰睍穁䑁䅍睍䅁䍁䬴䅁敁䅁䅁䅋㑁䑁䅁杍灁䍁䅁杍祁䑁䅫兌㕁䑁䅉䅏硁䅁䅁䉰䅕䉁䄴䅁潁䑁䅧䅍祁䍁䅫䅉祁䑁䅙䅎瑁䑁䅑兎㍁䑁䅣䅁偂杅䅁杈䅁䍁䅧䅏睁䑁䅉克杁䑁䅙兎祁䍁䄰免ㅁ䑁䅣免䅁乁兙䅁敁䅁䅁䅋㑁䑁䅁睍灁䍁䅁睎㑁䑁䅧兌穁䑁䅧李睁䅁䅁儰䅷䉁䄴䅁潁䑁䅧䅍ぁ䍁䅫䅉祁䑁䅧免瑁䑁䅙䅍睁䑁䅁䅁佃元䅁杈䅁䍁䅧䅏睁䑁䅑克杁䑁䅙李祁䍁䄰杍ぁ䑁䅍䅎䅁䩁噙䅁敁䅁䅁䅋㑁䑁䅁䅎灁䍁䅁睎ぁ䑁䅣兌睁䑁䅅睍㉁䅁䅁硶䅁䉁䄴䅁潁䑁䅧䅍ぁ䍁䅫䅉㕁䑁䅙兎瑁䑁䅅李睁䑁䅁䅁敃兆䅁杈䅁䍁䅧䅏硁䑁䅉克杁䑁䅑李ぁ䍁䄰免ㅁ䑁䅍䅍䅁䅁兯䅁敁䅁䅁䅋㑁䑁䅅睍灁䍁䅁杍㕁䑁䅁兌㉁䑁䅉䅍睁䅁䅁砷䅍䉁䄴䅁潁䑁䅧免ぁ䍁䅫䅉㑁䑁䅣䅍瑁䑁䅉䅍睁䑁䅁䅁䙂元䅁杈䅁䍁䅧䅏硁䑁䅑克杁䑁䅧睎睁䍁䄰䅎睁䑁䅑䅍䅁䩁噅䅁敁䅁䅁䅋㑁䑁䅅李灁䍁䅁睍㕁䑁䅅兌祁䑁䅁䅍睁䅁䅁朴䅳䉁䄴䅁潁䑁䅧免㉁䍁䅫䅉㍁䑁䅕睍瑁䑁䅣䅍睁䑁䅁䅁睁䅅䅁杈䅁䍁䅧䅏硁䑁䅧克杁䑁䅧䅏㍁䍁䄰䅎ぁ䑁䅍李䅁䝁兑䅁敁䅁䅁䅋㑁䑁䅑睎灁䍁䅁睍祁䑁䅙兌㍁䑁䅕免㕁䅁䅁桥䅕䉁䄴䅁潁䑁䅧䅎㍁䍁䅫䅉ぁ䑁䅁杍瑁䑁䅕䅍睁䑁䅁䅁㝂䅃䅁杈䅁䍁䅧䅏ぁ䑁䅣克杁䑁䅙䅍ㅁ䍁䄰李睁䑁䅁䅍䅁䕁䱫䅁敁䅁䅁䅋㑁䑁䅑睎灁䍁䅁李硁䑁䅕兌硁䑁䅕䅍睁䅁䅁剭䅍䉁䄴䅁潁䑁䅧䅎㍁䍁䅫䅉㕁䑁䅙兏瑁䑁䅉兏睁䑁䅁䅁㥃睃䅁杈䅁䍁䅧䅏ㅁ䑁䅙克杁䑁䅍兎㕁䍁䄰杍ぁ䑁䅁䅍䅁䩁兣䅁敁䅁䅁䅋㑁䑁䅕䅏灁䍁䅁睍ㅁ䑁䅁兌祁䑁䅑䅍睁䅁䅁眲䄸䉁䄴䅁潁䑁䅧李睁䍁䅫䅉祁䑁䅉李瑁䑁䅙䅍睁䑁䅁䅁䕁元䅁杈䅁䍁䅧䅏㉁䑁䅁克杁䑁䅉杍㉁䍁䄰李㍁䑁䅑免䅁䥁噫䅁敁䅁䅁䅋㑁䑁䅙䅍灁䍁䅁杍㍁䑁䅍兌睁䑁䅅杍穁䅁䅁兑䅧䉁䄴䅁潁䑁䅧李睁䍁䅫䅉祁䑁䅣睍瑁䑁䅍兏㍁䑁䅅䅁㉂兆䅁杈䅁䍁䅧䅏㉁䑁䅁克杁䑁䅉睎㍁䍁䄰䅍硁䑁䅅免䅁䝁䉑䅁敁䅁䅁䅋㑁䑁䅙䅍灁䍁䅁䅎睁䑁䅍兌ㅁ䑁䅁䅍睁䅁䅁䅊䅯䉁䄴䅁潁䑁䅧李睁䍁䅫䅉ㅁ䑁䅑睎瑁䑁䅉李㑁䑁䅁䅁慃兆䅁杈䅁䍁䅧䅏㉁䑁䅁克杁䑁䅕䅎㍁䍁䄰兎睁䑁䅁䅍䅁䵁䩧䅁敁䅁䅁䅋㑁䑁䅙李灁䍁䅁䅏穁䑁䅁兌睁䑁䅙䅍㍁䅁䅁兘䄸䉁䄴䅁潁䑁䅧睎㍁䍁䅫䅉㉁䑁䅣睍瑁䑁䅧免㕁䑁䅁䅁敂杄䅁杈䅁䍁䅧䅏㑁䑁䅧克杁䑁䅉李㉁䍁䄰䅏ぁ䑁䅧兏䅁乁䥧䅁敁䅁䅁䅋㑁䑁䅧䅏灁䍁䅁䅎㉁䑁䅙兌㍁䑁䅧䅏穁䅁䅁䅪䅳䉁䄴䅁潁䑁䅧䅏㑁䍁䅫䅉㉁䑁䅧杍瑁䑁䅙李㍁䑁䅅䅁癁杄䅁杈䅁䍁䅧兏睁䑁䅑克杁䑁䅍䅏睁䍁䄰睎祁䑁䅧杍䅁䭁兙䅁敁䅁䅁䅋㕁䑁䅁䅎灁䍁䅁睎㕁䑁䅅兌㉁䑁䅅免硁䅁䅁杌䄸䉁䄴䅁潁䑁䅫䅍㑁䍁䅫䅉㉁䑁䅁䅎瑁䑁䅉兏睁䑁䅁䅁瑁充䅁杈䅁䍁䅧兏睁䑁䅧克杁䑁䅙䅍ぁ䍁䄰睍睁䑁䅁䅍䅁䝁佯䅁敁䅁䅁䅋㕁䑁䅁䅏灁䍁䅁李睁䑁䅑兌穁䑁䅍杍祁䅁䅁桫䅕䉁䄴䅁潁䑁䅫䅍㑁䍁䅫䅉㕁䑁䅁睍瑁䑁䅉䅍睁䑁䅁䅁㥄䅃䅁杈䅁䍁䅧兏睁䑁䅧克杁䑁䅫䅍穁䍁䄰杍睁䑁䅉睎䅁䥁噧䅁敁䅁䅁䅋㕁䑁䅅睍灁䍁䅁兏睁䑁䅅兌ぁ䑁䅙䅍睁䅁䅁桴䅉䉁䄴䅁潁䑁䅫免穁䍁䅫䅉㕁䑁䅧杍瑁䑁䅍睎睁䑁䅁䅁䕃元䅁杈䅁䍁䅧兏硁䑁䅑克杁䑁䅉杍睁䍁䄰免㑁䑁䅁䅍䅁䱁倰䅁敁䅁䅁䅋㕁䑁䅅䅎灁䍁䅁杍㍁䑁䅉兌ぁ䑁䅁䅍睁䅁䅁眹䄴䉁䄴䅁潁䑁䅫免ぁ䍁䅫䅉祁䑁䅣睍瑁䑁䅑兎ぁ䑁䅕䅁乄䅅䅁杈䅁䍁䅧兏硁䑁䅑克杁䑁䅑李㑁䍁䄰䅏睁䑁䅁䅍䅁䕁佅䅁敁䅁䅁䅋㕁䑁䅅䅎灁䍁䅁睎㉁䑁䅕兌穁䑁䅅李穁䅁䅁确䅕䉁䄴䅁潁䑁䅫免ぁ䍁䅫䅉㑁䑁䅉䅏瑁䑁䅣䅍睁䑁䅁䅁硃兆䅁杈䅁䍁䅧兏硁䑁䅑克杁䑁䅧杍㑁䍁䄰䅏睁䑁䅁䅍䅁乁䭣䅁敁䅁䅁䅋㕁䑁䅅兏灁䍁䅁睎㑁䑁䅉兌硁䑁䅣䅍ㅁ䅁䅁硣䅅䉁䄴䅁潁䑁䅫免㕁䍁䅫䅉㑁䑁䅍睍瑁䑁䅅李睁䑁䅁䅁卄睄䅁杈䅁䍁䅧兏祁䑁䅁克杁䑁䅑兎㑁䍁䄰兏硁䑁䅍免䅁䝁䱉䅁敁䅁䅁䅋㕁䑁䅉兎灁䍁䅁杍㍁䑁䅫兌祁䑁䅍䅍睁䅁䅁眳䄰䉁䄴䅁潁䑁䅫睍硁䍁䅫䅉穁䑁䅧䅏瑁䑁䅣䅏㍁䑁䅉䅁摂睅䅁杈䅁䍁䅧兏穁䑁䅣克杁䑁䅕睍硁䍁䄰睍穁䑁䅁䅍䅁䑁临䅁敁䅁䅁䅋㕁䑁䅑免灁䍁䅁兏睁䑁䅣兌穁䑁䅉杍ぁ䅁䅁䅯䄴䉁䄴䅁潁䑁䅫䅎㕁䍁䅫䅉祁䑁䅅兏瑁䑁䅍䅍硁䑁䅅䅁煃兆䅁杈䅁䍁䅧兏ㅁ䑁䅉克杁䑁䅧䅏穁䍁䄰李睁䑁䅁䅍䅁䝁偧䅁敁䅁䅁䅋㕁䑁䅕杍灁䍁䅁兏穁䑁䅙兌硁䑁䅍䅍睁䅁䅁䅅䅳䉁䄴䅁潁䑁䅫兎祁䍁䅫䅉㕁䑁䅍李瑁䑁䅅䅏硁䑁䅫䅁㑃兆䅁杈䅁䍁䅧兏ㅁ䑁䅉克杁䑁䅫兏祁䍁䄰杍㕁䑁䅁䅍䅁佁兙䅁敁䅁䅁䅋㕁䑁䅣免灁䍁䅁睍祁䑁䅅兌㍁䑁䅁䅍睁䅁䅁元䅯䉁䄴䅁潁䑁䅫睎祁䍁䅫䅉ㅁ䑁䅙兏瑁䑁䅍李㕁䑁䅙䅁㉃兆䅁杈䅁䍁䅧兏㍁䑁䅉克杁䑁䅕李㕁䍁䄰䅎睁䑁䅁䅍䅁佁䬰䅁敁䅁䅁䅋㕁䑁䅣睍灁䍁䅁睍㉁䑁䅣兌㉁䑁䅑睎㉁䅁䅁䉰䅑䉁䄴䅁潁䑁䅫睎穁䍁䅫䅉ぁ䑁䅙李瑁䑁䅕李睁䑁䅣䅁硃睄䅁杈䅁䍁䅧兏㍁䑁䅍克杁䑁䅕睍祁䍁䄰免㕁䑁䅁䅍䅁䑁十䅁敁䅁䅁䅋㕁䑁䅣睍灁䍁䅁䅏睁䑁䅉兌㉁䑁䅁䅍睁䅁䅁䅊䅧䉁䄴䅁潁䑁䅫睎穁䍁䅫䅉㑁䑁䅫䅏瑁䑁䅫䅎㑁䑁䅁䅁䭃睅䅁杈䅁䍁䅧兏㍁䑁䅍克杁䑁䅧兏㑁䍁䄰兏ㅁ䑁䅣兎䅁䑁䵉䅁敁䅁䅁䅋㕁䑁䅣睍灁䍁䅁兏ぁ䑁䅧兌穁䑁䅁䅍睁䅁䅁䈳䅉䉁䄴䅁潁䑁䅫睎㑁䍁䅫䅉ぁ䑁䅣兎瑁䑁䅍睍睁䑁䅁䅁橁䅄䅁杈䅁䍁䅧兏㍁䑁䅧克杁䑁䅫杍硁䍁䄰杍睁䑁䅧䅍䅁佁伴䅁敁䅁䅁䅋㕁䑁䅧兏灁䍁䅁李穁䑁䅙兌睁䑁䅁䅎㍁䅁䅁兇䄴䉁䄴䅁潁䑁䅫䅏㕁䍁䅫䅉㉁䑁䅕杍瑁䑁䅙免祁䑁䅅䅁婄杄䅁䅃䅁䍁䄰免婂䅁䅁睅䅁䅁䅑䅁睁䅁䅁硰䅑䉁䅙䅁睁䑁䅅免硁䑁䅅兌睁䑁䅁䅍硁䅁䅁末䅣䉁䅙䅁睁䑁䅅兎㍁䑁䅁兌睁䑁䅣兎㑁䅁䅁桴䅁䉁䅙䅁睁䑁䅅李ㅁ䑁䅍兌睁䑁䅁䅍祁䅁䅁睒䄸䉁䅙䅁睁䑁䅅睎㍁䑁䅉兌祁䑁䅁䅍祁䅁䅁兮䅫䉁䅙䅁睁䑁䅅䅏睁䑁䅅兌祁䑁䅁䅍硁䅁䅁䉱䅉䉁䅙䅁睁䑁䅅䅏硁䑁䅁兌硁䑁䅁睎㑁䅁䅁杉䅷䉁䅙䅁睁䑁䅅兏硁䑁䅕兌硁䑁䅁䅍睁䅁䅁儷䄴䉁䅙䅁睁䑁䅉䅍祁䑁䅅兌硁䑁䅁兏㑁䅁䅁兂䄰䉁䅙䅁睁䑁䅉免硁䑁䅁兌穁䑁䅕免穁䅁䅁硧䅉䉁䅙䅁睁䑁䅉免硁䑁䅅兌祁䑁䅙䅏㑁䅁䅁儲䄰䅁䅷䅁睁䑁䅉免硁䑁䅙䅁潄元䅁杆䅁䑁䅁杍硁䑁䅅李瑁䑁䅕䅍㉁䑁䅙䅁杄元䅁杆䅁䑁䅁杍硁䑁䅙兏瑁䑁䅁兏穁䑁䅑䅁煁䅄䅁杆䅁䑁䅁杍硁䑁䅙兏瑁䑁䅕睍睁䑁䅍䅁坂杅䅁杆䅁䑁䅁杍硁䑁䅫兏瑁䑁䅣李硁䑁䅅䅁畃䅄䅁杆䅁䑁䅁杍祁䑁䅅䅍瑁䑁䅉䅏睁䑁䅑䅁㥄元䅁杆䅁䑁䅁杍ぁ䑁䅕免瑁䑁䅣睍㉁䑁䅁䅁㑄兄䅁杆䅁䑁䅁杍ぁ䑁䅣杍瑁䑁䅅兎睁䑁䅧䅁汃睅䅁䅄䅁䑁䅁杍ぁ䑁䅧免䅁䵁䭯䅁坁䅁䅁䅍祁䑁䅑䅏硁䍁䄰兏硁䑁䅧免䅁䙁偑䅁坁䅁䅁䅍祁䑁䅧李ㅁ䍁䄰免硁䑁䅕李䅁䅁䵧䅁坁䅁䅁䅍祁䑁䅫免㕁䍁䄰䅎㕁䑁䅑兏䅁䡁䩕䅁坁䅁䅁䅍穁䍁䄰䅍穁䑁䅕䅎硁䑁䅣䅏䅁乁兕䅁坁䅁䅁䅍穁䍁䄰䅍穁䑁䅕兏㕁䑁䅍䅏䅁䅁具䅁坁䅁䅁䅍穁䍁䄰䅍穁䑁䅣免㍁䑁䅫兏䅁䕁匴䅁坁䅁䅁䅍穁䑁䅣兎ㅁ䍁䄰杍睁䑁䅕睍䅁䉁啳䅁坁䅁䅁䅍ぁ䍁䄰睍硁䑁䅅睎祁䑁䅕睍䅁䭁卯䅁坁䅁䅁䅍ぁ䍁䄰李睁䑁䅣李睁䑁䅍兏䅁乁䨴䅁坁䅁䅁䅍ㅁ䍁䄰䅍穁䑁䅑䅍硁䑁䅙李䅁䅁䵫䅁坁䅁䅁䅍ㅁ䑁䅑䅍硁䍁䄰䅎ぁ䑁䅣睎䅁乁內䅁坁䅁䅁䅍ㅁ䑁䅑䅍硁䍁䄰䅎㕁䑁䅑李䅁䅁兣䅁坁䅁䅁䅍ㅁ䑁䅙䅍ぁ䍁䄰䅍睁䑁䅁免䅁䍁䬰䅁坁䅁䅁䅍㉁䍁䄰䅍㑁䑁䅍兏㍁䑁䅁兎䅁䕁呷䅁䵁䅁䅁䅍㉁䑁䅁䅍祁䅁䅁䅃䅫䉁䅙䅁睁䑁䅙免睁䑁䅍兌祁䑁䅧䅍硁䅁䅁睉䅯䉁䅙䅁睁䑁䅙免ㅁ䑁䅕兌睁䑁䅁䅍硁䅁䅁杸䅫䉁䅙䅁睁䑁䅙免ㅁ䑁䅙兌穁䑁䅉免ㅁ䅁䅁睑䅧䉁䅙䅁睁䑁䅙免㑁䑁䅍兌睁䑁䅁䅍硁䅁䅁兙䅅䉁䅙䅁睁䑁䅙䅏穁䑁䅁兌㉁䑁䅍兎祁䅁䅁桸䅅䉁䅙䅁睁䑁䅙䅏穁䑁䅁兌㍁䑁䅅䅎ぁ䅁䅁杍䅳䉁䅙䅁睁䑁䅙䅏ㅁ䑁䅁兌硁䑁䅉睍ぁ䅁䅁睇䄰䅁䅷䅁睁䑁䅙兏睁䑁䅅䅁灂充䅁杆䅁䑁䅁李㕁䑁䅁杍瑁䑁䅙䅍ぁ䑁䅁䅁煁䅆䅁杆䅁䑁䅁李㕁䑁䅁杍瑁䑁䅙睎㉁䑁䅕䅁剂元䅁杆䅁䑁䅁睎睁䑁䅕兏瑁䑁䅁李睁䑁䅉䅁獁充䅁杆䅁䑁䅁睎睁䑁䅕兏瑁䑁䅙睎硁䑁䅅䅁㡄䅃䅁杆䅁䑁䅁睎硁䑁䅁杍瑁䑁䅍睎㍁䑁䅣䅁橁䅃䅁杆䅁䑁䅁睎硁䑁䅁兎瑁䑁䅉杍ぁ䑁䅧䅁畃睄䅁杆䅁䑁䅁睎穁䑁䅅免瑁䑁䅅免睁䑁䅣䅁ㅁ䅄䅁杆䅁䑁䅁睎㍁䑁䅁免瑁䑁䅕李㕁䑁䅉䅁㉄充䅁杆䅁䑁䅁睎㑁䑁䅫䅍瑁䑁䅅䅍睁䑁䅁䅁扄杅䅁杆䅁䑁䅁睎㕁䑁䅉䅍瑁䑁䅉䅍㉁䑁䅕䅁乄充䅁杆䅁䑁䅁睎㕁䑁䅍䅏瑁䑁䅁䅏穁䑁䅁䅁灂杄䅁杆䅁䑁䅁睎㕁䑁䅙䅍瑁䑁䅙䅍睁䑁䅁䅁䝃睅䅁杆䅁䑁䅁睎㕁䑁䅙䅍瑁䑁䅙李㉁䑁䅙䅁ぁ杅䅁杆䅁䑁䅁䅏睁䑁䅕䅎瑁䑁䅅兎硁䑁䅙䅁摃䅅䅁杆䅁䑁䅁䅏ㅁ䑁䅑䅍瑁䑁䅙李硁䑁䅙䅁呁权䅁杆䅁䑁䅁䅏㉁䑁䅉䅏瑁䑁䅍䅎㕁䑁䅙䅁㝂充䅁䅂䅁䑁䅅䅁㉃睂䅁䅋䅁䑁䅅䅉䥂䝁䄸杣桂䝁䅍党杁䕁䄰兙畂䝁䄴䅉兂䝁䅷兙㙂䝁䅅䅁橃睄䅁䅌䅁䑁䅅䅉乂䝁䅅杢潂䝁䅅䅤あ䝁䅅杢㉂䝁䅫䅢獂䝁䅕䅉卂䝁䄸兙歂䅁䅁桹䅁䍁䅧䅁硁䍁䅁䅕祂䝁䅫兢求䡁䅉兡橂䝁䅅䅉兂䝁䅅杣牂䡁䅣兙㕂䅁䅁硇䅉䕁䄴䅁硁䍁䅁兗祂䍁䅁䅔療䡁䅍督杁䙁䅉党穂䝁䅕杣㉂䝁䅕䅉䕂䝁䅕杤求䝁䅷睢睂䝁䄰党畂䡁䅑睌杁䕁䄴䅕䙂䍁䅁䅋汁䍁䅫䅁橁睂䅁䅈䅁䑁䅅䅍睁䍁䅁兑瑂䝁䅫睙桂䍁䅁睖桂䡁䅫䅁䱁䅄䅁䅉䅁䑁䅅䅍睁䍁䅁村桂䝁䄴睡杁䙁䅍䅤祂䝁䅕党あ䅁䅁剃䅁䍁䅧䅁硁䑁䅁䅍杁䕁䅉杣療䝁䄸睡㍂䝁䄸睢歂䍁䅁䅕獂䝁䅅睙求䅁䅁䉋䅉䍁䅉䅁硁䑁䅁䅍杁䕁䅍睢ㅂ䡁䅉䅤杁䙁䅍䅤祂䝁䅕党あ䅁䅁䈰䅉䑁䅉䅁硁䑁䅁䅍杁䕁䅕杣灂䝁䅕䅉䩂䝁䄴督ㅂ䡁䅉兙畂䝁䅍党杁䙁䅁䅢桂䝁䅍党䅁䕁䩉䅁獁䅁䅁免睁䑁䅁䅉䵂䝁䅅睙牂䝁䅅睤桂䝁䄴杢桂䍁䅁兑㉂䝁䅕杢ㅂ䝁䅕䅁䙂睅䅁村䅁䑁䅅䅍睁䍁䅁兔桂䡁䅑督療䝁䄴杚療䡁䅉䅚杁䙁䅉睢桂䝁䅑䅌杁䙁䅑䅡灂䡁䅉䅚杁䕁䅙䅢療䝁䄸杣䅁䙁佳䅁煁䅁䅁免睁䑁䅁䅉塂䝁䅕督あ䍁䅁睍穁䡁䅉䅚杁䙁䅍䅤祂䝁䅕党あ䅁䅁䉐䅉䑁䅯䅁硁䑁䅁䅍杁䙁䅣党穂䡁䅑䅉啂䝁䄸睤畂䝁䅕䅉卂䝁䅫䅚湂䝁䅕䅉兂䝁䅅杣牂䡁䅣兙㕂䅁䅁䉉䅑䑁䅧䅁硁䑁䅁䅍睁䍁䅁杔療䡁䅉䅤潂䍁䅁兔灂䝁䅷睤桂䡁䅕睡求䝁䅕䅉䉂䡁䅙党畂䡁䅕党䅁䡁乍䅁坁䅁䅁免睁䑁䅁䅍硁䍁䄰杍㕁䑁䅁䅍䅁䑁匴䅁坁䅁䅁免睁䑁䅁䅍ぁ䍁䄰免ㅁ䑁䅁兎䅁䭁䱧䅁坁䅁䅁免睁䑁䅁䅍ぁ䍁䄰杍㉁䑁䅅李䅁䱁䩉䅁坁䅁䅁免睁䑁䅁䅍ㅁ䍁䄰免硁䑁䅁䅏䅁䝁匸䅁坁䅁䅁免睁䑁䅁䅍ㅁ䍁䄰免ぁ䑁䅁免䅁䙁䵉䅁歁䅁䅁免睁䑁䅁免杁䕁䅙䅢求䝁䅕䅤杁䙁䅍䅤祂䝁䅕党あ䅁䅁睚䅫䉁䅙䅁硁䑁䅁䅍硁䑁䅁兌硁䑁䅙䅍穁䅁䅁睂䅧䉁䅙䅁硁䑁䅁䅍硁䑁䅙兌祁䑁䅉杍硁䅁䅁杔䄴䉁䅙䅁硁䑁䅁䅍硁䑁䅙兌ㅁ䑁䅙睎ㅁ䅁䅁核䅁䉁䅙䅁硁䑁䅁䅍硁䑁䅣兌穁䑁䅉䅍㉁䅁䅁䅏䅧䅁䅷䅁硁䑁䅁䅍硁䑁䅧䅁杂䅃䅁杆䅁䑁䅅䅍睁䑁䅅兏瑁䑁䅙免硁䑁䅧䅁時䅄䅁杆䅁䑁䅅䅍睁䑁䅉䅍瑁䑁䅅杍睁䑁䅅䅁噂睅䅁杆䅁䑁䅅䅍睁䑁䅉杍瑁䑁䅑李硁䑁䅑䅁歁睅䅁杆䅁䑁䅅䅍睁䑁䅉杍瑁䑁䅙䅏穁䑁䅫䅁䉂充䅁䅄䅁䑁䅅䅍睁䑁䅍䅏䅁乁䠸䅁坁䅁䅁免睁䑁䅁睍㑁䍁䄰睍ㅁ䑁䅉李䅁䩁䱣䅁坁䅁䅁免睁䑁䅁睍㑁䍁䄰䅎ㅁ䑁䅁杍䅁䉁䵙䅁坁䅁䅁免睁䑁䅁䅎硁䍁䄰䅏硁䑁䅫䅍䅁䍁佅䅁睁䅁䅁免睁䑁䅁睎ㅁ䍁䅁杕求䝁䅑䅉卂䡁䅕杢杁䕁䅉睢ㅂ䝁䅷党㉂䝁䅅杣歂䅁䅁睭䅷䍁䅷䅁硁䑁䅁免杁䕁䅧兤畂䡁䅑兡畂䝁䅣䅤療䝁䄴䅉䉂䡁䅙党畂䡁䅕党䅁䭁䴰䅁流䅁䅁免睁䑁䅅䅉塂䝁䅕督あ䡁䅁兙祂䝁䅳䅉䕂䡁䅉兡㉂䝁䅕䅁㑁睅䅁杆䅁䑁䅅䅍硁䑁䅁䅎瑁䑁䅁免睁䑁䅅䅁祄䅃䅁杆䅁䑁䅅䅍硁䑁䅙李瑁䑁䅁免㑁䑁䅧䅁祂允䅁䅄䅁䑁䅅䅍硁䑁䅙兏䅁䍁䱯䅁坁䅁䅁免睁䑁䅅睎ㅁ䍁䄰䅍睁䑁䅁睍䅁䱁佯䅁獁䅁䅁免睁䑁䅉䅍杁䙁䅣党穂䡁䅑䅉穁䑁䅅督あ䍁䅁睕あ䡁䅉党求䡁䅑䅁元睄䅁杍䅁䑁䅅䅍穁䑁䅕䅍杁䕁䅕兙穂䡁䅑䅉䕂䝁䅅睡療䡁䅑兙杁䕁䅅杤求䝁䄴兤求䅁䅁䉊䅁䑁䅑䅁硁䑁䅁睍㍁䑁䅕䅉兂䡁䅉睢浂䝁䅕督穂䝁䅫睢畂䝁䅅䅢杁䕁䅍兡祂䝁䅍䅢求䅁䅁䅌䄴䍁䅷䅁硁䑁䅁䅎ㅁ䑁䅕䅉乂䝁䅫䅢獂䍁䅁杕ㅂ䝁䄴䅉䑂䝁䅫杣橂䝁䅷党䅁䑁乁䅁坁䅁䅁免睁䑁䅕䅍ぁ䍁䄰免㉁䑁䅁李䅁乁䭙䅁䵁䅁䅁免睁䑁䅕睎㍁䅁䅁䉺䅁䉁䅙䅁硁䑁䅁兎㍁䑁䅣兌祁䑁䅅睍㕁䅁䅁䅒䄴䉁䅙䅁硁䑁䅁李睁䑁䅕兌ㅁ䑁䅉杍硁䅁䅁䄫䄴䉁䅙䅁硁䑁䅁李睁䑁䅙兌硁䑁䅫睎㉁䅁䅁䅶䄸䑁䅁䅁硁䑁䅁睎㍁䑁䅣䅉佂䝁䄸杣あ䝁䅧睤求䡁䅍䅤杁䕁䅙杣求䝁䅕睤桂䡁䅫䅁瑃䅅䅁杄䅁䑁䅅䅍㑁䑁䅑李祁䅁䅁睏䅙䑁䅁䅁硁䑁䅅䅍睁䍁䅁睑祂䝁䄸睤畂䍁䅁睑療䝁䅷睢畂䡁䅫䅉䕂䡁䅉兡㉂䝁䅕䅁灁䅄䅁䅏䅁䑁䅅免睁䑁䅁䅉呂䝁䄸兤あ䝁䅧睤求䡁䅍䅤杁䙁䅍兡㑂䡁䅑䅡杁䕁䅅杤求䝁䄴兤求䅁䅁䅂䅯䑁䅉䅁硁䑁䅅䅍睁䑁䅅䅉䵂䝁䅅睡求䝁䅷兡畂䝁䅕䅉䍂䝁䄸兤獂䝁䅕杤桂䡁䅉䅚䅁䙁倴䅁流䅁䅁免硁䑁䅅免杁䕁䅅督潂䡁䅣睢祂䡁䅑䅡杁䙁䅉睢桂䝁䅑䅁流睄䅁䅑䅁䑁䅅免穁䑁䅍䅉呂䝁䄸兤あ䝁䅧睤求䡁䅍䅤杁䙁䅑睢睂䝁䅕睡桂䍁䅁村療䡁䅕䅢求䡁䅙兙祂䝁䅑䅁歃䅄䅁杄䅁䑁䅅免穁䑁䅫免㑁䅁䅁兌䅙䅁䄴䅁硁䑁䅅睍㕁䑁䅅兏䅁䭁䝣䅁佁䅁䅁免硁䑁䅍兏㉁䑁䅍䅁䙁䅁䅁村䅁䑁䅅免ぁ䑁䅁兎杁䕁䄴睢祂䡁䅑䅡杁䕁䅍睢瑂䝁䄰兤畂䝁䅫䅤㕂䍁䅁䅓療䡁䅕督求䍁䅁杕療䝁䅅䅚䅁䉁呅䅁坁䅁䅁免硁䑁䅕睎㉁䍁䄰免硁䑁䅑䅍䅁䉁单䅁獁䅁䅁免硁䑁䅙杍ㅁ䍁䅁杕療䡁䅍党㍂䝁䄸睢歂䍁䅁睕あ䡁䅉党求䡁䅑䅁ぃ杅䅁杄䅁䑁䅅免㉁䑁䅍䅏穁䅁䅁䅃䅁䍁䅯䅁硁䑁䅅李㑁䑁䅁䅉䡂䡁䅉党桂䡁䅑䅉偂䝁䅅睡穂䍁䅁睖桂䡁䅫䅁佃䅄䅁䅌䅁䑁䅅免㑁䍁䅁睕求䝁䅍睢畂䝁䅑䅉䉂䡁䅙党畂䡁䅕党獁䍁䅁睕䙂䅁䅁創䅍䕁䅁䅁硁䑁䅅䅏祁䑁䅕䅉佂䝁䄸杣あ䝁䅧䅉兂䝁䅕杢畂䡁䅍入獂䡁䅙兙畂䝁䅫兙杁䙁䅍䅤祂䝁䅕党あ䅁䅁睇䅫䅁䄴䅁硁䑁䅅兏穁䑁䅕李䅁䱁䡣䅁杁䅁䅁免硁䑁䅫兎杁䙁䅉兡㉂䝁䅕杣杁䙁䅉睢桂䝁䅑䅁䱁杄䅁杄䅁䑁䅅免㕁䑁䅧䅎㉁䅁䅁剰䅑䅁䄴䅁硁䑁䅅兏㑁䑁䅕兎䅁䭁啙䅁坁䅁䅁免硁䡁䅑䅡杁䕁䅙䅢療䝁䄸杣䅁偁䥅䅁楁䅁䅁免祁䑁䅁䅉䝂䝁䅫杚あ䝁䅧䅉䉂䡁䅙党畂䡁䅕党䅁䡁偯䅁潁䅁䅁免祁䑁䅁䅉乂䝁䄸杢ㅂ䝁䄰党畂䡁䅑䅉䑂䝁䅫杣橂䝁䅷党䅁䵁䤰䅁歁䅁䅁免祁䑁䅁䅉卂䝁䄸入桂䝁䅷䅢杁䙁䅍䅤祂䝁䅕党あ䅁䅁睁䄰䑁䅉䅁硁䑁䅉䅍硁䍁䅁杔療䡁䅉䅤潂䍁䅁兔桂䡁䅉睡求䡁䅑䅉呂䡁䅑杣求䝁䅕䅤䅁䩁剅䅁煁䅁䅁免祁䑁䅅䅉䙂䝁䅅督あ䍁䅁䅕桂䡁䅉睡杁䙁䅍兣ㅂ䝁䅅杣求䅁䅁杲䄴䅁䄴䅁硁䑁䅉免硁䑁䅍䅎䅁䱁䡑䅁佁䅁䅁免祁䑁䅅䅎硁䑁䅅䅁呄䅆䅁䅈䅁䑁䅅杍祁䑁䅅䅉佂䍁䅁睕あ䡁䅉党求䡁䅑䅁牂䅅䅁杄䅁䑁䅅杍ぁ䑁䅑兎㕁䅁䅁杁䅁䑁䅧䅁硁䑁䅉兏睁䍁䅁兑㉂䝁䅕杢ㅂ䝁䅕䅉療䝁䅙䅉あ䝁䅧党杁䕁䅅兢求䡁䅉兡橂䝁䅅督䅁偁䥁䅁歁䅁䅁免祁䑁䅫兎杁䙁䅍䅤桂䡁䅑党杁䙁䅍䅤祂䝁䅕党あ䅁䅁眫䅣䍁䅁䅁硁䑁䅉兏㕁䍁䅁杗ㅂ䡁䅉兡橂䝁䅧䅉塂䝁䅅入䅁䕁䱯䅁坁䅁䅁免祁䡁䅑䅡杁䕁䅙䅢療䝁䄸杣䅁䙁匰䅁坁䅁䅁免穁䍁䄰免㉁䑁䅅䅎穁䑁䅫兏䅁䑁券䅁坁䅁䅁免穁䍁䄰杍㉁䑁䅅免㑁䑁䅑睎䅁偁佯䅁坁䅁䅁免穁䍁䄰杍㍁䑁䅅䅍㍁䑁䅅睎䅁䱁佳䅁坁䅁䅁免穁䍁䄰杍㕁䑁䅅䅏ㅁ䑁䅣睍䅁䥁呧䅁坁䅁䅁免穁䍁䄰睍ぁ䑁䅁兏ぁ䑁䅙李䅁䱁偯䅁畁䅁䅁免穁䑁䅅免杁䕁䄰兙瑂䝁䅅杣療䝁䄴党橂䝁䅳䅉䉂䡁䅙党畂䡁䅕党䅁偁佫䅁歁䅁䅁免穁䑁䅉䅉啂䡁䅕杣畂䡁䅁兡牂䝁䅕䅉卂䝁䄸兙歂䅁䅁䅮䅫䍁䅑䅁硁䑁䅍杍睁䍁䅁睖桂䝁䅷䅚療䍁䅁兑㉂䝁䅕杢ㅂ䝁䅕䅁坁杄䅁䅊䅁䑁䅅睍穁䑁䅅䅉䡂䡁䅉兙畂䝁䅑䅉䉂䡁䅙党畂䡁䅕党䅁偁呯䅁坁䅁䅁免穁䑁䅑免穁䍁䄰杍祁䑁䅫兏䅁乁呙䅁煁䅁䅁免穁䑁䅕䅉塂䝁䅕督あ䍁䅁兎睁䡁䅑䅡杁䙁䅍䅤祂䝁䅕党あ䅁䅁剕䅍䉁䅙䅁硁䑁䅍兏睁䑁䅅兌穁䑁䅑睎㕁䅁䅁到䅉䉁䅙䅁硁䑁䅍兏睁䑁䅉兌硁䑁䅍䅏硁䅁䅁䅱䄰䉁䅙䅁硁䑁䅑兌硁䑁䅕䅏ぁ䑁䅧李硁䅁䅁砷䅁䅁䅧䅁硁䑁䅑䅍䅁乁啕䅁慁䅁䅁免ぁ䑁䅁䅉䍂䡁䅉睢桂䝁䅑睤桂䡁䅫䅁硂杅䅁杋䅁䑁䅅䅎睁䑁䅅䅉䵂䝁䅫杤灂䝁䄴睚穂䡁䅑睢畂䍁䅁䅔桂䝁䄴党䅁䩁䭳䅁捁䅁䅁免ぁ䑁䅅免杁䕁䅉杣療䝁䅅䅚㍂䝁䅅入䅁䙁䤴䅁䍂䅁䅁免ぁ䑁䅅杍睁䍁䅁村桂䝁䅷䅢桂䝁䄴䅤㕂䝁䄴党杁䕁䅍睢祂䡁䅁睢祂䝁䅅䅤求䍁䅁䅕獂䝁䅅睙求䅁䅁桸䅉䉁䅙䅁硁䑁䅑李ぁ䑁䅣兌睁䑁䅁䅍硁䅁䅁督䄴䍁䅧䅁硁䑁䅑睎杁䕁䅉党桂䡁䅉䅉䑂䡁䅉党求䝁䅳䅉兂䝁䅫睡求䅁䅁䉘䅍䉁䅙䅁硁䑁䅑䅤潂䍁䅁杒獂䝁䄸睢祂䅁䅁杮䅳䑁䅑䅁硁䑁䅕䅉䩂䝁䄴䅚求䡁䅁党畂䝁䅑党畂䝁䅍党杁䕁䅉睢ㅂ䝁䅷党㉂䝁䅅杣歂䅁䅁硋䅅䍁䅷䅁硁䑁䅕䅉乂䝁䄸兤畂䡁䅑兙灂䝁䄴䅉坂䝁䅫党㍂䍁䅁杕療䝁䅅䅚䅁偁䥯䅁坁䅁䅁免ㅁ䍁䄰䅍穁䑁䅉兏睁䑁䅑睍䅁䡁佁䅁坁䅁䅁免ㅁ䍁䄰䅍ぁ䑁䅑杍㍁䑁䅍䅍䅁䵁匴䅁㡁䅁䅁免ㅁ䑁䅁䅉佂䝁䄸杣あ䝁䅧䅉卂䝁䅅䅚畂䝁䄸杣杁䕁䅍䅡求䡁䅍䅤求䡁䅉䅉卂䝁䄸兙歂䅁䅁儸䅫䑁䅉䅁硁䑁䅕䅍硁䍁䅁兒桂䡁䅍䅤杁䙁䅣睢療䝁䅑杚灂䝁䅕䅢歂䍁䅁杕療䝁䅅䅚䅁䵁䱁䅁畁䅁䅁免ㅁ䑁䅁杍ㅁ䍁䅁兓畂䝁䄴睢㉂䝁䅅䅤灂䝁䄸杢杁䕁䅑杣灂䡁䅙党䅁乁倴䅁獁䅁䅁免ㅁ䑁䅅䅉䝂䝁䅅杣瑂䝁䅫杢湂䡁䅑睢畂䍁䅁兑㉂䝁䅕杢ㅂ䝁䅕䅁䅂䅃䅁杆䅁䑁䅅兎祁䑁䅉杍瑁䑁䅍䅍祁䑁䅑䅁㝂睄䅁权䅁䑁䅅兎㙁䑁䅅䅁㕂允䅁䅄䅁䑁䅅兎㙁䑁䅅䅍䅁䱁䉕䅁䵁䅁䅁免ㅁ䑁䅯免祁䅁䅁睩䅅䅁䅷䅁硁䑁䅕杏硁䑁䅍䅁元允䅁䅄䅁䑁䅅兎㙁䑁䅅䅎䅁䱁䉯䅁佁䅁䅁免ㅁ䑁䅯免ぁ䑁䅙䅁㡂允䅁䅄䅁䑁䅅兎㙁䑁䅅兎䅁䱁䈰䅁佁䅁䅁免ㅁ䑁䅯免ㅁ䑁䅉䅁塃允䅁䅄䅁䑁䅅兎㙁䑁䅅李䅁䩁䉉䅁䵁䅁䅁免ㅁ䑁䅯免㍁䅁䅁公䅅䅁䄴䅁硁䑁䅕杏硁䑁䅣䅏䅁䭁䉫䅁佁䅁䅁免ㅁ䑁䅯免㍁䑁䅫䅁祃允䅁䅄䅁䑁䅅兎㙁䑁䅅䅏䅁䡁䈰䅁佁䅁䅁免ㅁ䑁䅯免㑁䑁䅁䅁楃允䅁杄䅁䑁䅅兎㙁䑁䅅䅏硁䅁䅁睫䅅䅁䅷䅁硁䑁䅕杏硁䑁䅫䅁㝃允䅁权䅁䑁䅅兎㙁䑁䅉䅁䕃允䅁权䅁䑁䅅兎㙁䑁䅍䅁奃允䅁权䅁䑁䅅兎㙁䑁䅑䅁剃允䅁䅄䅁䑁䅅兎㙁䑁䅑䅍䅁䩁䉳䅁䭁䅁䅁免ㅁ䑁䅯兎䅁䩁䉯䅁䭁䅁䅁免ㅁ䑁䅯李䅁䩁䉷䅁䭁䅁䅁免ㅁ䑁䅯睎䅁䭁䉙䅁䭁䅁䅁免ㅁ䑁䅯䅏䅁䭁䉧䅁䭁䅁䅁免ㅁ䑁䅯兏䅁䭁䈴䅁流䅁䅁免㉁䑁䅁免杁䕁䄰兙祂䝁䅳党あ䍁䅁睕あ䡁䅉党求䡁䅑䅁捂杅䅁䅊䅁䑁䅅李睁䑁䅅䅉啂䡁䅉兙睂䝁䅕䅢療䍁䅁杕療䝁䅅䅚䅁偁乑䅁楁䅁䅁免㉁䑁䅁兎杁䕁䅷村䭂䍁䅁杒祂䝁䅕党㍂䝁䅅入䅁䙁兙䅁捁䅁䅁免㉁䑁䅍睍杁䕁䅉杣療䝁䅅䅚㍂䝁䅅入䅁䱁嘴䅁楁䅁䅁免㉁䑁䅕䅉䑂䝁䄸兤祂䡁䅑䅉呂䡁䅑杣求䝁䅕䅤䅁䡁佅䅁坁䅁䅁免㉁䑁䅕睍睁䍁䄰䅍睁䑁䅁免䅁䙁余䅁坁䅁䅁免㉁䑁䅕睍睁䍁䄰免硁䑁䅁䅎䅁䕁䩅䅁ぁ䅁䅁免㉁䑁䅙䅍睁䍁䅁睕㍂䝁䅫杢湂䝁䅷党㕂䍁䅁杕灂䝁䅑睚求䍁䅁杕療䝁䅅䅚䅁䡁䭯䅁ぁ䅁䅁免㍁䑁䅁免杁䕁䄴睢祂䡁䅑䅡杁䙁䅑睢㍂䝁䅅杢歂䝁䅅䅉䉂䡁䅙党畂䡁䅕党䅁䵁乫䅁坁䅁䅁免㍁䑁䅅䅍硁䍁䄰免㉁䑁䅅兏䅁䱁剉䅁坁䅁䅁免㍁䑁䅅睎㍁䍁䄰兏㍁䑁䅫兏䅁䍁乣䅁潁䅁䅁免㍁䑁䅕䅉䍂䝁䅕杣牂䝁䅕䅢求䡁䅫䅉呂䡁䅑杣求䝁䅕䅤䅁乁䩳䅁睁䅁䅁免㍁䑁䅕䅉䙂䝁䅅督あ䍁䅁䅓療䡁䅕督あ䝁䄸杢杁䙁䅍䅤祂䝁䅕党あ䅁䅁材䅷䍁䅁䅁硁䑁䅣兎杁䕁䅳兡畂䝁䅣䅉呂䡁䅑杣求䝁䅕䅤䅁乁䭕䅁楁䅁䅁免㍁䑁䅕䅉塂䝁䅅䅤求䡁䅉䅉呂䡁䅑杣求䝁䅕䅤䅁乁䠰䅁㉁䅁䅁免㍁䑁䅕䅉塂䝁䅕督あ䍁䅁杓桂䝁䅍睡穂䝁䄸杢杁䕁䅉睢ㅂ䝁䅷党㉂䝁䅅杣歂䅁䅁栴䅍䉁䅙䅁硁䑁䅣兎ぁ䑁䅣兌硁䑁䅙杍㑁䅁䅁元䄴䍁䅙䅁硁䑁䅣睎杁䕁䄰兙歂䝁䅫督療䝁䄴䅉䉂䡁䅙党畂䡁䅕党䅁䥁呣䅁流䅁䅁免㑁䑁䅁䅉䡂䝁䅕杢求䡁䅍党求䍁䅁睕あ䡁䅉党求䡁䅑䅁噄睅䅁䅋䅁䑁䅅䅏睁䍁䅁兔療䡁䅕杢あ䍁䅁兑灂䡁䅉入杁䙁䅉睢桂䝁䅑䅁偄充䅁李䅁䑁䅅䅏睁䑁䅁䅉䙂䝁䅅督あ䍁䅁睑療䡁䅕杢あ䡁䅫䅉䵂䝁䅫杢求䍁䅁杕療䝁䅅䅚䅁䉁味䅁歁䅁䅁免㑁䑁䅁䅍杁䕁䄴兡畂䡁䅑䅡杁䕁䅅杤求䝁䄴兤求䅁䅁桚䅉䍁䄴䅁硁䑁䅧䅍睁䍁䅁杔療䡁䅉䅤潂䍁䅁䅕療䝁䅫杢あ䍁䅁䅒祂䝁䅫杤求䅁䅁䈷䅉䑁䅁䅁硁䑁䅧䅍睁䍁䅁杔療䡁䅉䅤潂䝁䅕杣畂䍁䅁村療䡁䅕䅢求䡁䅙兙祂䝁䅑䅁呁杅䅁杊䅁䑁䅅䅏硁䑁䅣䅉塂䝁䅕督あ䍁䅁村祂䝁䄸兙歂䡁䅣兙㕂䅁䅁砫䅉䍁䅙䅁硁䑁䅧兎杁䕁䅣杣求䝁䅕杢㍂䝁䄸睢歂䍁䅁杕療䝁䅅䅚䅁䅁佉䅁坁䅁䅁免㑁䑁䅕䅍穁䍁䄰免㕁䑁䅁䅎䅁䕁呉䅁畁䅁䅁免㕁䑁䅁䅍杁䙁䅍睢ㅂ䡁䅑䅡杁䑁䅅䅏あ䝁䅧䅉䉂䡁䅙党畂䡁䅕党䅁䅁啉䅁坁䅁䅁免㕁䑁䅁䅍ぁ䍁䄰免ぁ䑁䅁睍䅁乁䬸䅁流䅁䅁免㕁䑁䅁免杁䕁䄰兙祂䝁䅳党あ䍁䅁睕あ䡁䅉党求䡁䅑䅁㉄睄䅁杍䅁䑁䅅兏睁䑁䅅䅉佂䝁䄸杣あ䝁䅧䅉塂䝁䅅䅢畂䡁䅕䅤杁䕁䅅杤求䝁䄴兤求䅁䅁兴䄰䉁䅙䅁硁䑁䅫䅍ぁ䑁䅑兌祁䑁䅉䅍ぁ䅁䅁兗䅯䉁䅙䅁硁䑁䅫䅍㑁䑁䅣兌ぁ䑁䅕免ぁ䅁䅁䅘䄴䉁䅙䅁硁䑁䅫䅍㑁䑁䅣兌ㅁ䑁䅉睍㑁䅁䅁眷䅫䉁䅙䅁硁䑁䅫免睁䑁䅍兌硁䑁䅑䅏睁䅁䅁䄹䄸䉁䅙䅁硁䑁䅫免睁䑁䅍兌祁䑁䅍睍㍁䅁䅁桘䅉䉁䅙䅁硁䑁䅫免睁䑁䅍兌㍁䑁䅁䅍睁䅁䅁䉫䅍䍁䅑䅁硁䑁䅫睍祁䍁䅁睖㕂䝁䄴杢あ䝁䄸杢杁䙁䅉睢桂䝁䅑䅁兂䅃䅁杆䅁䑁䅅兏㑁䑁䅁免瑁䑁䅅䅏睁䑁䅣䅁元充䅁杉䅁䑁䅅兏㕁䍁䅁睖桂䡁䅑党祂䍁䅁睕あ䡁䅉党求䡁䅑䅁噃睃䅁杏䅁䑁䅅兏㕁䍁䅁睖桂䡁䅑党祂䍁䅁睕あ䡁䅉党求䡁䅑䅌杁䙁䅍兤灂䡁䅑党杁䑁䅉免睁䑁䅁䅁⭃杅䅁权䅁䑁䅅杏穁䑁䅁䅁䭄杂䅁杌䅁䑁䅉䅍杁䕁䅍兤穂䡁䅑睢瑂䍁䅁䅓療䡁䅕督求䍁䅁睕あ䡁䅉党求䡁䅑䅁䍃杅䅁杉䅁䑁䅉䅍杁䕁䅣䅢療䡁䅙党祂䍁䅁兑㉂䝁䅕杢ㅂ䝁䅕䅁摁兄䅁杍䅁䑁䅉䅍杁䕁䄴睢祂䡁䅑䅡杁䕁䄰兡橂䝁䅧兡湂䝁䅅杢杁䕁䅅杤求䝁䄴兤求䅁䅁硇䅁䍁䄴䅁祁䑁䅁䅍杁䕁䄴睢祂䡁䅑䅡杁䕁䅣杣桂䝁䄴䅚杁䕁䅅杤求䝁䄴兤求䅁䅁督䅳䉁䅷䅁祁䑁䅁䅍杁䕁䄸睙求䝁䅅杢湂䝁䅅䅤求䅁䅁硇䅅䍁䅁䅁祁䑁䅁䅍杁䙁䅁兙祂䝁䅳䅉䉂䡁䅙党畂䡁䅕党䅁䡁䉕䅁睁䅁䅁杍睁䑁䅁䅉呂䝁䄸兤あ䝁䅧䅉偂䡁䅉兙畂䝁䅣党杁䕁䅅杤求䝁䄴兤求䅁䅁兏䄸䍁䅙䅁祁䑁䅁䅍硁䍁䅁兔桂䡁䅉睡求䡁䅑䅉呂䡁䅑杣求䝁䅕䅤䅁䩁呅䅁䵁䅁䅁杍睁䑁䅅䅍婂䅁䅁兺䅣䅁䅷䅁祁䑁䅁免硁䙁䅫䅁湂允䅁䅄䅁䑁䅉䅍硁䑁䅉兗䅁䝁䉫䅁䵁䅁䅁杍睁䑁䅅睍婂䅁䅁䅡䅅䅁䅷䅁祁䑁䅁免ぁ䙁䅫䅁睁䅁䅁䅄䅁䑁䅉䅍硁䑁䅕兗䅁䅁䅙䅁佁䅁䅁杍睁䑁䅅李剂䑁䅅䅁剁䅁䅁杄䅁䑁䅉䅍硁䑁䅙兕祁䅁䅁睄䅁䅁䄴䅁祁䑁䅁免㉁䙁䅅睍䅁䉁䅁䅁䵁䅁䅁杍睁䑁䅅李婂䅁䅁杅䅁䅁䅷䅁祁䑁䅁免㍁䙁䅫䅁畂允䅁杌䅁䑁䅉䅍㉁䑁䅁䅉䙂䝁䅅督あ䍁䅁杔灂䝁䄴䅤潂䍁䅁睕あ䡁䅉党求䡁䅑䅁㝄䅅䅁杆䅁䑁䅉䅍㑁䑁䅅睎瑁䑁䅅䅏㑁䑁䅑䅁䍃杂䅁杆䅁䑁䅉䅍あ䝁䅧䅉䝂䝁䅷睢療䡁䅉䅁啂睅䅁䅎䅁䑁䅉免睁䑁䅧䅉䙂䝁䅅督あ䍁䅁睕療䡁䅕䅤潂䍁䅁村療䡁䅕䅢求䡁䅙兙祂䝁䅑䅁⽂睃䅁䅉䅁䑁䅉免硁䍁䅁兔桂䝁䅫杢杁䙁䅍䅤祂䝁䅕党あ䅁䅁硴䅁䉁䅙䅁祁䑁䅅免硁䑁䅣兌ㅁ䑁䅕兎㕁䅁䅁免䄰䉁䅙䅁祁䑁䅅免硁䑁䅣兌㉁䑁䅁兎睁䅁䅁睬䅷䉁䅙䅁祁䑁䅅杍睁䑁䅉兌ぁ䑁䅍䅎㉁䅁䅁党䅫䉁䅙䅁祁䑁䅅杍㑁䑁䅙兌祁䑁䅉睍ㅁ䅁䅁䅡䄰䍁䅧䅁祁䑁䅅李睁䑁䅁䅉偂䡁䅧杢桂䡁䅉䅚杁䙁䅍䅤祂䝁䅕党あ䅁䅁剙䅁䉁䅙䅁祁䑁䅅睎睁䑁䅑兌㍁䑁䅙䅍㑁䅁䅁䉕䅁䍁䅷䅁祁䑁䅉䅍硁䍁䅁䅎あ䝁䅧䅉䉂䡁䅙党畂䡁䅕党杁䕁䄴睢祂䡁䅑䅡䅁䉁免䅁佁䅁䅁杍祁䑁䅅兎硁䑁䅫䅁楁䅁䅁杄䅁䑁䅉杍硁䑁䅕杍睁䅁䅁兌䅁䅁䄴䅁祁䑁䅉免ㅁ䑁䅉免䅁䍁䅷䅁佁䅁䅁杍祁䑁䅅兎祁䑁䅉䅁煁䅁䅁杄䅁䑁䅉杍硁䑁䅕杍穁䅁䅁杌䅁䅁䄴䅁祁䑁䅉免ㅁ䑁䅉䅎䅁䍁䅳䅁佁䅁䅁杍祁䑁䅅兎祁䑁䅕䅁癁䅁䅁杄䅁䑁䅉杍硁䑁䅕杍㉁䅁䅁免䅁䅁䄴䅁祁䑁䅉免ㅁ䑁䅉睎䅁䑁䅉䅁獁䅁䅁杍祁䑁䅉䅉呂䝁䄸兤あ䝁䅧䅉硁䑁䅕䅤潂䍁䅁睕あ䡁䅉党求䡁䅑䅁灂睃䅁李䅁䑁䅉杍穁䑁䅣䅉呂䝁䄸兤あ䝁䅧䅉䉂䝁䅍兙歂䝁䅫兙畂䍁䅁䅖潂䡁䅉兤㍂䝁䅅入䅁䥁兑䅁獁䅁䅁杍祁䑁䅕䅉呂䝁䄸兤あ䝁䅧䅉䙂䝁䅅督あ䍁䅁睕あ䡁䅉党求䡁䅑䅁⽄睄䅁李䅁䑁䅉杍ㅁ䍁䅁睖求䡁䅍䅤杁䙁䅣兙穂䝁䅧兡畂䝁䅣䅤療䝁䄴䅉呂䡁䅑杣求䝁䅕䅤䅁䥁䱯䅁畁䅁䅁杍祁䑁䅣䅉塂䝁䅕督あ䍁䅁兔療䝁䄴杣療䝁䅕䅉呂䡁䅑杣求䝁䅕䅤䅁䡁偉䅁佁䅁䅁杍祁䑁䅣兎祁䑁䅁䅁潃杂䅁杆䅁䑁䅉睍瑁䑁䅁睎睁䑁䅑兏㍁䑁䅁䅁楄杅䅁杆䅁䑁䅉睍瑁䑁䅉䅍穁䑁䅧杍㕁䑁䅕䅁䙄杅䅁杆䅁䑁䅉睍瑁䑁䅙䅍睁䑁䅍免睁䑁䅣䅁䕂睅䅁䅌䅁䑁䅉睍睁䍁䅁杔療䡁䅉䅤潂䍁䅁兔桂䝁䅫杢杁䙁䅍䅤祂䝁䅕党あ䅁䅁睏䄰䍁䅁䅁祁䑁䅍䅍杁䙁䅁兙祂䝁䅳䅉䉂䡁䅙党畂䡁䅕党䅁䍁䱫䅁獁䅁䅁杍穁䑁䅁免杁䕁䅧兡湂䝁䅧睤桂䡁䅫䅉硁䑁䅫䅍杁䙁䅣党穂䡁䅑䅁睄睃䅁杆䅁䑁䅉睍睁䑁䅙䅍瑁䑁䅙免ぁ䑁䅧䅁䍄䅅䅁杆䅁䑁䅉睍祁䑁䅍䅍瑁䑁䅅睎硁䑁䅙䅁䱃元䅁杄䅁䑁䅉䅎硁䑁䅉兎睁䅁䅁儰䅙䑁䄴䅁祁䑁䅑䅎ぁ䍁䅁睖求䡁䅍䅤杁䕁䅷兙穂䍁䅁䅕桂䝁䅷兢桂䡁䅉兡あ䝁䅅督杁䕁䅑杣灂䡁䅙党䅁佁䵙䅁流䅁䅁杍ぁ䡁䅑䅡杁䍁䅙䅉祁䑁䅫䅤潂䍁䅁杒獂䝁䄸睢祂䡁䅍䅁坃睃䅁杆䅁䑁䅉兎瑁䑁䅅免㑁䑁䅙睍硁䑁䅕䅁噂杄䅁杍䅁䑁䅉兎睁䍁䅁兒桂䡁䅍䅤杁䕁䅳兡獂䝁䅉睢ㅂ䡁䅉杢杁䕁䅅杤求䝁䄴兤求䅁䅁桄䅅䍁䅯䅁祁䑁䅕䅍睁䍁䅁兒獂䝁䄰党祂䡁䅑睢畂䍁䅁兑㉂䝁䅕杢ㅂ䝁䅕䅁汁兄䅁杊䅁䑁䅉兎睁䑁䅅䅉䝂䝁䅅杣桂䡁䅣兙㕂䍁䅁䅒祂䝁䅫杤求䅁䅁睺䅷䍁䅑䅁祁䑁䅕䅍ㅁ䍁䅁睑療䡁䅕杣あ䍁䅁睕あ䡁䅉党求䡁䅑䅁啄充䅁杆䅁䑁䅉兎穁䑁䅁免瑁䑁䅉䅍硁䑁䅁䅁佁兄䅁䅊䅁䑁䅉李睁䑁䅁䅉䕂䝁䄸䅚湂䝁䅕䅉呂䡁䅑杣求䝁䅕䅤䅁佁剑䅁煁䅁䅁杍㉁䑁䅉兎ㅁ䍁䅁兑瑂䝁䅕杣灂䝁䅍兙畂䍁䅁䅒祂䝁䅫杤求䅁䅁兺䄴䍁䅙䅁祁䑁䅙睎㍁䑁䅣䅉䥂䝁䅅䅢穂䡁䅑党歂䍁䅁杕療䝁䅅䅚䅁䅁䵁䅁流䅁䅁杍㍁䑁䅁䅉䑂䝁䅕杢あ䡁䅉兙獂䍁䅁兑㉂䝁䅕杢ㅂ䝁䅕䅁硂元䅁䅎䅁䑁䅉睎祁䑁䅅䅉佂䝁䄸杣あ䝁䅧䅉䑂䝁䅕杢あ䡁䅉兙獂䍁䅁兑㉂䝁䅕杢ㅂ䝁䅕䅁穃睃䅁杆䅁䑁䅉睎㉁䑁䅁兎瑁䑁䅅免睁䑁䅉䅁剄睄䅁杆䅁䑁䅉睎㉁䑁䅅杍瑁䑁䅍杍ぁ䑁䅑䅁祂充䅁䅏䅁䑁䅉睎㍁䑁䅕䅉呂䝁䅅杢歂䝁䅕杣穂䍁䅁杕療䝁䅅䅚獁䍁䅁睕ㅂ䝁䅫䅤求䍁䅁杒㑁䅁䅁睤䅧䍁䅑䅁祁䑁䅧䅉䵂䝁䅫杙求䡁䅉䅤㕂䍁䅁睕あ䡁䅉党求䡁䅑䅁噂䅄䅁䅍䅁䑁䅉䅏睁䑁䅁䅉呂䝁䄸兤あ䝁䅧䅉啂䝁䅅入獂䝁䄸杣杁䕁䅑杣灂䡁䅙党䅁䝁䱁䅁畁䅁䅁杍㑁䑁䅁免杁䕁䅧兡湂䝁䅧睤桂䡁䅫䅉祁䑁䅧䅍杁䙁䅍睢ㅂ䡁䅑䅡䅁䍁䩧䅁坁䅁䅁杍㑁䑁䅉睎穁䍁䄰䅏硁䑁䅁䅍䅁䕁䵣䅁坁䅁䅁杍㑁䑁䅉睎㍁䍁䄰睍硁䑁䅙兏䅁䵁卣䅁坁䅁䅁杍㑁䑁䅉睎㍁䍁䄰䅎穁䑁䅙䅎䅁䉁呑䅁䥁䅁䅁杍㑁䑁䅣䅁䅁䅁䅁杆䅁䑁䅉兏祁䑁䅅兏瑁䑁䅁䅍睁䑁䅅䅁兄䅄䅁杆䅁䑁䅍䅍瑁䑁䅁李ぁ䑁䅅杍㉁䑁䅙䅁㉃兄䅁杍䅁䑁䅍䅍睁䍁䅁兒桂䡁䅍䅤杁䙁䅉兙畂䝁䅑睢獂䡁䅁䅡杁䙁䅍䅤祂䝁䅕党あ䅁䅁睨䄸䑁䅉䅁穁䑁䅁䅍杁䕁䅙兡祂䡁䅍䅤杁䙁䅍䅤桂䝁䄰杚療䡁䅉䅚杁䙁䅁䅢桂䝁䅍党䅁䕁䨸䅁杁䅁䅁睍睁䑁䅁䅉兂䝁䅷兙㙂䝁䅅䅉啂䝁䅧杣求䝁䅕䅁ぁ䅄䅁李䅁䑁䅍䅍睁䍁䅁睕療䡁䅕䅤潂䡁䅣党穂䡁䅑䅉䉂䝁䅑兙瑂䡁䅍䅉呂䡁䅑杣求䝁䅕䅤䅁佁偳䅁煁䅁䅁睍睁䑁䅁䅉塂䝁䅕督あ䍁䅁免硁䡁䅑䅡杁䙁䅍䅤祂䝁䅕党あ䅁䅁眴䅳䍁䅙䅁穁䑁䅁䅍睁䍁䅁睕橂䝁䅧兤穂䡁䅑党祂䍁䅁䅔桂䝁䄴党䅁䡁临䅁允䅁䅁睍睁䑁䅁䅍穁䑁䅉兎䅁䑁䝁䅁畁䅁䅁睍睁䑁䅁免杁䕁䄰党桂䝁䅍䅡桂䝁䄰䅉䍂䝁䄸兤獂䝁䅕杤桂䡁䅉䅚䅁䵁何䅁坁䅁䅁睍睁䑁䅁杍祁䍁䄰杍ぁ䑁䅙䅍䅁䩁䵅䅁煁䅁䅁睍睁䑁䅁睍杁䑁䅣睎あ䝁䅧䅉䉂䡁䅙党畂䡁䅕党獁䍁䅁睕䙂䅁䅁剎䅑䉁䅷䅁穁䑁䅁䅍穁䍁䅁睔桂䝁䅳䅉卂䝁䄸兙歂䅁䅁䉁䅉䉁䅙䅁穁䑁䅁䅍㕁䑁䅫兌ぁ䑁䅫䅍睁䅁䅁䉈䅉䍁䄴䅁穁䑁䅁免杁䕁䅕兙穂䡁䅑䅉䝂䝁䄸兤祂䡁䅑䅡杁䙁䅍䅤祂䝁䅕党あ䅁䅁杭䅧䍁䅉䅁穁䑁䅁免杁䙁䅍兤獂䝁䅷兡㉂䝁䅅杢杁䙁䅣兙㕂䅁䅁剥䅅䑁䅁䅁穁䑁䅁睍睁䍁䅁杔療䡁䅉䅤潂䍁䅁䅖潂䝁䅫杣歂䍁䅁睕あ䡁䅉党求䡁䅑䅁䅄兄䅁杆䅁䑁䅍䅍穁䑁䅁兎瑁䑁䅅兎硁䑁䅧䅁佃䅅䅁杆䅁䑁䅍䅍穁䑁䅑李瑁䑁䅉杍睁䑁䅍䅁ぁ充䅁䅈䅁䑁䅍䅍ㅁ䑁䅕䅉偂䝁䅅睡杁䙁䅉睢桂䝁䅑䅁桄兄䅁䅎䅁䑁䅍䅍㍁䍁䅁杔療䡁䅉䅤潂䍁䅁兔灂䝁䅍䅡灂䝁䅣兙畂䍁䅁兑㉂䝁䅕杢ㅂ䝁䅕䅁浃充䅁䅋䅁䑁䅍免杁䙁䅣党穂䡁䅑䅉ㅁ䑁䅉杢歂䍁䅁睕あ䡁䅉党求䡁䅑䅁桂䅄䅁杆䅁䑁䅍免瑁䑁䅁睎硁䑁䅅䅍㍁䑁䅑䅁㥃杂䅁杆䅁䑁䅍免瑁䑁䅅杍硁䑁䅍睎㍁䑁䅧䅁坃兄䅁杌䅁䑁䅍免硁䍁䅁睕療䡁䅕䅤潂䍁䅁睖桂䝁䅍睡求䡁䅉䅉䕂䡁䅉兡㉂䝁䅕䅁煂䅄䅁杆䅁䑁䅍免㕁䑁䅫兏瑁䑁䅁䅍睁䑁䅅䅁呂䅃䅁䅉䅁䑁䅍杍睁䍁䅁䅕桂䡁䅉睡杁䕁䅅杤求䝁䄴兤求䅁䅁䉑䅅䑁䅙䅁穁䑁䅉䅍杁䙁䅣党穂䡁䅑䅢桂䝁䅳党杁䕁䅅杤求䝁䄴兤求䍁䅷䅉佂䝁䄸杣あ䝁䅧䅁婁睄䅁杆䅁䑁䅍杍祁䑁䅑李瑁䑁䅑䅎㑁䑁䅙䅁橃䅅䅁杆䅁䑁䅍杍祁䑁䅑李瑁䑁䅙䅎㕁䑁䅧䅁硁睄䅁䅎䅁䑁䅍杍㍁䑁䅕䅉䍂䝁䅕杢畂䝁䅕䅤あ䍁䅁睑祂䝁䅕党牂䍁䅁兑㉂䝁䅕杢ㅂ䝁䅕䅁偂䅅䅁杆䅁䑁䅍杍㑁䑁䅁免瑁䑁䅍䅎ぁ䑁䅁䅁㙁睄䅁杆䅁䑁䅍杍畂䝁䅑䅉䝂䝁䅷睢療䡁䅉䅁䥁睅䅁李䅁䑁䅍睍睁䑁䅁䅉乂䡁䅕䅤ㅂ䝁䅅䅢杁䝁䄸杚杁䕁䄸兢桂䝁䅧兙杁䙁䅁䅢桂䡁䅯兙䅁䉁䭯䅁睁䅁䅁睍穁䑁䅅䅉佂䝁䅕睤瑂䝁䅅杢杁䙁䅍䅣祂䝁䅫杢湂䡁䅍䅉卂䝁䄸兙歂䅁䅁䈫䅅䍁䅁䅁穁䑁䅍睍杁䕁䅉兤穂䝁䅧䅉呂䡁䅑杣求䝁䅕䅤䅁䭁䬸䅁睁䅁䅁睍穁䑁䅍䅉呂䝁䄸兤あ䝁䅧䅉塂䝁䅅杙桂䡁䅍䅡杁䕁䅅杤求䝁䄴兤求䅁䅁充䅫䍁䅙䅁穁䑁䅍睍穁䍁䅁杒桂䝁䅫杣㉂䝁䅫党㍂䍁䅁杕療䝁䅅䅚䅁䡁䵙䅁坁䅁䅁睍穁䑁䅙睍ぁ䍁䄰免硁䑁䅑睍䅁佁吴䅁坁䅁䅁睍ぁ䑁䅉䅎睁䍁䄰䅏ぁ䑁䅉䅎䅁䭁位䅁ぁ䅁䅁睍ぁ䑁䅍䅎杁䙁䅣兙穂䝁䅧兡畂䝁䅣䅤療䝁䄴䅉䍂䝁䄸兤獂䝁䅕杤桂䡁䅉䅚䅁䅁倸䅁坁䅁䅁睍ぁ䡁䅑䅡杁䕁䅙䅢療䝁䄸杣䅁䙁䤸䅁捁䅁䅁睍ㅁ䑁䅉䅍杁䕁䅉杣療䝁䅅䅚㍂䝁䅅入䅁䍁儸䅁䵁䅁䅁睍ㅁ䑁䅉䅍穁䅁䅁桅䅁䉁䅙䅁穁䑁䅕杍睁䑁䅫兌㉁䑁䅧免硁䅁䅁剋䅉䉁䅙䅁穁䑁䅕杍祁䑁䅍兌祁䑁䅑䅍㍁䅁䅁睊䅫䉁䅙䅁穁䑁䅕杍ぁ䑁䅑兌祁䑁䅧兎㑁䅁䅁䅸䅷䍁䅯䅁穁䑁䅕睍ㅁ䍁䅁村獂䡁䅕党杁䕁䅍杣療䡁䅍督杁䙁䅉睢桂䝁䅑䅁塄䅄䅁杒䅁䑁䅍兎穁䑁䅕䅉兂䝁䅫党歂䝁䄰睢畂䡁䅑䅉卂䝁䄸兙歂䍁䅷䅉呂䡁䅕兡あ䝁䅕䅉硁䑁䅁䅍睁䍁䅷䅉佂䕁䅕䅁䱃䅅䅁杊䅁䑁䅍兎ㅁ䑁䅕䅉䝂䝁䅅杣畂䝁䅅兢杁䙁䅍䅤祂䝁䅕党あ䅁䅁朶䅣䉁䅙䅁穁䑁䅙兌祁䑁䅙李硁䑁䅫兎ぁ䅁䅁杶䅳䉁䅙䅁穁䑁䅙兌穁䑁䅅䅏㉁䑁䅕䅎硁䅁䅁䈴䅍䉁䅙䅁穁䑁䅙兌穁䑁䅕䅎㕁䑁䅑兎穁䅁䅁兡䅷䑁䅑䅁穁䑁䅙䅍睁䍁䅁兑祂䝁䅍睢杁䕁䅍睢祂䡁䅁睢祂䝁䅅䅤求䍁䅁䅒祂䝁䅫杤求䅁䅁兓䅷䉁䅙䅁穁䑁䅙免硁䑁䅙兌祁䑁䅁免ㅁ䅁䅁睥䅳䉁䅙䅁穁䑁䅣兌睁䑁䅍䅎ぁ䑁䅉兏睁䅁䅁䄷䄸䉁䅙䅁穁䑁䅣兌睁䑁䅧李㉁䑁䅕兏㉁䅁䅁刳䅅䑁䅯䅁穁䑁䅣䅍睁䍁䅁睕療䡁䅕䅤潂䍁䅁睕あ䝁䄸杢求䝁䅉杣灂䝁䅑睚求䍁䅁䅒祂䝁䅫杤求䅁䅁儶䅯䉁䅙䅁穁䑁䅣䅍祁䑁䅣兌ㅁ䑁䅁睍硁䅁䅁桎䅍䉁䅙䅁穁䑁䅣䅎睁䑁䅉兌睁䑁䅁䅍硁䅁䅁䄫䅷䉁䅙䅁穁䑁䅣䅎睁䑁䅉兌硁䑁䅍䅍㍁䅁䅁睈䅳䉁䅙䅁穁䑁䅧兌硁䑁䅧免ぁ䑁䅍睍穁䅁䅁睨䅷䉁䅙䅁穁䑁䅧兌祁䑁䅅䅎ㅁ䑁䅧兏㑁䅁䅁兆䄴䉁䅙䅁穁䑁䅧兌㉁䑁䅁兎㉁䑁䅍睎睁䅁䅁杨䄴䉁䅙䅁穁䑁䅧䅎睁䑁䅅兌祁䑁䅉李㉁䅁䅁硗䅍䍁䅷䅁穁䑁䅧兎杁䙁䅣兙穂䝁䅧兡畂䝁䅣䅤療䝁䄴䅉呂䡁䅑杣求䝁䅕䅤䅁偁䭕䅁坁䅁䅁睍㑁䡁䅑䅡杁䕁䅙䅢療䝁䄸杣䅁䕁副䅁坁䅁䅁睍㕁䍁䄰䅍祁䑁䅣睍㍁䑁䅅䅍䅁䩁䜸䅁坁䅁䅁睍㕁䍁䄰䅍ぁ䑁䅫免ㅁ䑁䅑䅍䅁䙁䰰䅁坁䅁䅁睍㕁䍁䄰䅍㉁䑁䅫䅏硁䑁䅣䅍䅁䅁啑䅁坁䅁䅁睍㕁䍁䄰李睁䑁䅑䅍穁䑁䅙兎䅁䵁䱫䅁坁䅁䅁睍㕁䑁䅅兎㍁䍁䄰免㕁䑁䅅李䅁䉁呯䅁坁䅁䅁睍㕁䑁䅉免穁䍁䄰䅏睁䑁䅁䅎䅁䩁䭫䅁杁䅁䅁睍㕁䑁䅫䅉兂䝁䅅杣牂䍁䅁兑㉂䝁䅕杢ㅂ䝁䅕䅁橁睅䅁䅊䅁䑁䅑䅍杁䙁䅣兙畂䡁䅑兙湂䝁䅕䅉䉂䡁䅙党畂䡁䅕党䅁乁卫䅁⭁䅁䅁䅎睁䑁䅁䅉䉂䡁䅑䅢桂䝁䄴䅤灂䝁䅍䅉呂䡁䅑杣求䝁䅕䅤獁䍁䅁䅏あ䝁䅧䅉䝂䝁䅷睢療䡁䅉䅁潂充䅁杇䅁䑁䅑䅍睁䍁䅁村祂䝁䄸兙歂䡁䅣兙㕂䅁䅁児䅳䍁䄴䅁ぁ䑁䅁䅍杁䕁䅕兙穂䡁䅑䅉䉂䝁䄴䅚求䡁䅉督療䝁䄴䅉䵂䝁䅅杢求䅁䅁杭䄰䍁䅁䅁ぁ䑁䅁䅍杁䕁䅙兡求䝁䅷䅚杁䕁䅑杣灂䡁䅙党䅁䩁呧䅁潁䅁䅁䅎睁䑁䅁䅉䥂䝁䅫睚潂䍁䅁睕あ䡁䅉党求䡁䅑䅌杁䙁䅍兒䅁䩁卫䅁潁䅁䅁䅎睁䑁䅁䅉剂䡁䅕兙祂䡁䅉兡求䡁䅉䅉呂䡁䅑杣求䝁䅕䅤䅁䅁乳䅁祁䅁䅁䅎睁䑁䅁䅉卂䝁䄸杙求䡁䅉䅤杁䙁䅍䅤祂䝁䅕党あ䍁䅷䅉佂䝁䄸杣あ䝁䅧䅁佃权䅁䅋䅁䑁䅑䅍硁䍁䅁睑桂䡁䅉䅢穂䝁䄸杢杁䙁䅁兙祂䝁䅳睤桂䡁䅫䅁汄䅅䅁杍䅁䑁䅑䅍硁䍁䅁䅕求䝁䄴杢穂䡁䅫䅢㉂䝁䅅杢灂䝁䅅䅉兂䝁䅅杣牂䡁䅣兙㕂䅁䅁睎䅫䉁䅙䅁ぁ䑁䅁杍睁䑁䅉兌祁䑁䅫䅎㉁䅁䅁䅹䄸䉁䅙䅁ぁ䑁䅁杍祁䑁䅁兌穁䑁䅣兏穁䅁䅁剒䅁䉁䅁䅁ぁ䑁䅁䅎硁䑁䅧兎㍁䅁䅁杒䅙䉁䅁䅁ぁ䑁䅁兎硁䑁䅣䅍㑁䅁䅁䈱䅑䉁䅁䅁ぁ䑁䅁兎ㅁ䑁䅫睍ㅁ䅁䅁兑䅙䉁䅙䅁ぁ䑁䅅兌硁䑁䅑睍㍁䑁䅫䅎穁䅁䅁硥䅍䉁䅙䅁ぁ䑁䅅兌㉁䑁䅁杍祁䑁䅑䅎穁䅁䅁䅲䄴䍁䅉䅁ぁ䑁䅅免杁䕁䅙兡浂䡁䅑䅡杁䕁䅅杤求䝁䄴兤求䅁䅁䅔䄴䑁䅁䅁ぁ䑁䅅杍杁䕁䄰睢ㅂ䝁䄴䅤杁䕁䅳党瑂䝁䅉䅢求䍁䅁兑㉂䝁䅕杢ㅂ䝁䅕䅁硁杅䅁䅅䅁䑁䅑免㉁䑁䅙睎㑁䑁䅫䅁㕁杂䅁杆䅁䑁䅑免穂䡁䅑䅉䝂䝁䅷睢療䡁䅉䅁坂䅄䅁杆䅁䑁䅑杍瑁䑁䅁睍硁䑁䅙李睁䑁䅁䅁婃睄䅁杆䅁䑁䅑杍瑁䑁䅁䅏硁䑁䅍睎㑁䑁䅉䅁敂兄䅁杆䅁䑁䅑杍瑁䑁䅅䅎㉁䑁䅧䅎硁䑁䅣䅁ㅁ元䅁杆䅁䑁䅑杍瑁䑁䅙䅍㉁䑁䅅免㑁䑁䅧䅁䍄睅䅁杆䅁䑁䅑睍瑁䑁䅁睎ぁ䑁䅁䅏㑁䑁䅉䅁⭄杅䅁杆䅁䑁䅑睍瑁䑁䅅䅏㕁䑁䅧睍ㅁ䑁䅁䅁婃䅅䅁杆䅁䑁䅑睍祁䑁䅁李瑁䑁䅅䅍硁䑁䅑䅁䙁睄䅁杆䅁䑁䅑睍祁䑁䅅兎瑁䑁䅉杍祁䑁䅁䅁㍁权䅁杆䅁䑁䅑睍祁䑁䅅兎瑁䑁䅍䅏ぁ䑁䅉䅁橁充䅁杆䅁䑁䅑睍祁䑁䅅兎瑁䑁䅍兏睁䑁䅅䅁獁睅䅁杌䅁䑁䅑睍穁䑁䅍䅉䙂䝁䅑睚求䡁䅣睢療䝁䅑䅉卂䝁䄸兙歂䍁䅷䅉佂䕁䅕䅁呂睃䅁李䅁䑁䅑睍ぁ䑁䅍䅉佂䝁䄸杣あ䝁䅧䅉呂䝁䅍睢あ䡁䅑督歂䝁䅅䅢求䍁䅁杕療䝁䅅䅚䅁䥁即䅁煁䅁䅁䅎穁䑁䅕䅍杁䙁䅣党穂䡁䅑睢㍂䝁䄴䅉兂䝁䅅杣牂䡁䅣兙㕂䅁䅁全䅯䉁䅙䅁ぁ䑁䅍杣歂䍁䅁杒獂䝁䄸睢祂䅁䅁䅇䅷䍁䅙䅁ぁ䑁䅑䅍杁䕁䅷兡畂䝁䅍睢獂䝁䄴䅉呂䡁䅑杣求䝁䅕䅤䅁䕁偳䅁坁䅁䅁䅎ぁ䑁䅅免ㅁ䍁䄰免穁䑁䅕兎䅁偁兣䅁坁䅁䅁䅎ぁ䑁䅅䅎穁䍁䄰杍硁䑁䅁兏䅁䝁䬴䅁坁䅁䅁䅎ぁ䑁䅉兎硁䍁䄰兎睁䑁䅁免䅁䅁唴䅁睁䅁䅁䅎ぁ䑁䅧䅎杁䙁䅣兡獂䡁䅍䅡灂䡁䅉党杁䕁䅉睢ㅂ䝁䅷党㉂䝁䅅杣歂䅁䅁剁䅅䑁䅯䅁ぁ䑁䅕䅍杁䙁䅉兡㉂䝁䅕杣橂䝁䅧兙穂䝁䅕䅉兂䝁䅅杣牂䡁䅣兙㕂䍁䅷䅉䙂䝁䅅督あ䅁䅁杷䅷䉁䅙䅁ぁ䑁䅕䅍硁䑁䅑兌ㅁ䑁䅅䅎硁䅁䅁杪䄰䉁䅙䅁ぁ䑁䅕免睁䑁䅉兌祁䑁䅙䅍㍁䅁䅁杵䅙䉁䅙䅁ぁ䑁䅕杍睁䑁䅉兌穁䑁䅍䅎硁䅁䅁睐䅳䉁䅙䅁ぁ䑁䅕杍睁䑁䅉兌穁䑁䅣免ㅁ䅁䅁䅮䅧䍁䄴䅁ぁ䑁䅕杍硁䍁䅁䅓灂䝁䅣䅡㍂䝁䄸睢歂䡁䅍䅉兂䝁䅅杣牂䡁䅣兙㕂䅁䅁䉷䅁䉁䅙䅁ぁ䑁䅕杍ぁ䑁䅉兌睁䑁䅉睍㍁䅁䅁剮䅅䉁䅙䅁ぁ䑁䅕䅎睁䑁䅉兌硁䑁䅉李穁䅁䅁児䄰䉁䅙䅁ぁ䑁䅕䅏㕁䑁䅅兌祁䑁䅍兎㍁䅁䅁䅖䄰䉁䅙䅁ぁ䑁䅙兌硁䑁䅁兎㉁䑁䅣兎ぁ䅁䅁杚䄰䑁䅉䅁ぁ䑁䅙䅍硁䍁䅁䅖療䡁䅕睙潂䡁䅑睢畂䍁䅁杕療䝁䅅䅚獁䍁䅁兒桂䡁䅍䅤䅁䭁兑䅁坁䅁䅁䅎㉁䑁䅁睍祁䍁䄰䅎ㅁ䑁䅕兎䅁䉁䨰䅁坁䅁䅁䅎㉁䑁䅁睍祁䍁䄰兎㉁䑁䅑䅎䅁佁卑䅁坁䅁䅁䅎㉁䑁䅉䅍祁䍁䄰䅎睁䑁䅕李䅁偁倰䅁坁䅁䅁䅎㉁䑁䅉䅍ぁ䍁䄰䅎㕁䑁䅁睍䅁䵁䤸䅁坁䅁䅁䅎㉁䑁䅉䅍㉁䍁䄰䅍穁䑁䅙䅏䅁䕁䭍䅁坁䅁䅁䅎㉁䑁䅉䅏睁䍁䄰免穁䑁䅧兎䅁䑁䩧䅁坁䅁䅁䅎㍁䍁䄰䅍祁䑁䅉免ぁ䑁䅕睎䅁䝁兯䅁ぁ䅁䅁䅎㍁䑁䅁䅎杁䙁䅙党穂䡁䅑兙獂䍁䅁䅕桂䡁䅉睡㍂䝁䅅入獁䍁䅁兒桂䡁䅍䅤䅁䭁乫䅁獁䅁䅁䅎㍁䑁䅅䅉䙂䝁䅅督あ䍁䅁村祂䝁䄸兙歂䍁䅁睕あ䡁䅉党求䡁䅑䅁歁充䅁杊䅁䑁䅑睎ㅁ䍁䅁睕あ䝁䅕兙瑂䝁䅉睢桂䡁䅑䅉卂䝁䄸兙歂䅁䅁睍䅳䍁䅷䅁ぁ䑁䅣睎杁䕁䄰兙祂䡁䅑兡畂䡁䅍杤灂䝁䅷䅢求䍁䅁杕療䝁䅅䅚䅁䝁余䅁㙁䅁䅁䅎㑁䑁䅁䅍杁䕁䅑党求䡁䅉睤療䝁䄸䅚杁䕁䅍兙瑂䡁䅁兤穂䍁䅁䅕桂䡁䅉睡㍂䝁䅅入䅁䍁倸䅁坁䅁䅁䅎㑁䑁䅁睍ぁ䍁䄰李硁䑁䅅杍䅁䵁伸䅁坁䅁䅁䅎㑁䑁䅅杍㉁䍁䄰䅎祁䑁䅅睍䅁䡁䴸䅁坁䅁䅁䅎㑁䑁䅉杍㉁䍁䄰杍㕁䑁䅫䅏䅁佁䴰䅁坁䅁䅁䅎㑁䑁䅉杍㉁䍁䄰睍ぁ䑁䅉䅍䅁䩁䰸䅁坁䅁䅁䅎㑁䑁䅍睍硁䍁䄰睍ㅁ䑁䅧李䅁偁䰸䅁坁䅁䅁䅎㑁䑁䅙䅎祁䍁䄰兎㑁䑁䅫䅏䅁䉁佧䅁坁䅁䅁䅎㑁䑁䅣䅏㍁䍁䄰䅍睁䑁䅁免䅁乁佧䅁坁䅁䅁䅎㑁䑁䅫免㍁䍁䄰免硁䑁䅉䅎䅁䥁佧䅁坁䅁䅁䅎㑁䑁䅫免㍁䍁䄰睍㕁䑁䅙䅏䅁佁䥙䅁坁䅁䅁䅎㑁䑁䅫睍穁䍁䄰免祁䑁䅉䅏䅁䡁䱕䅁坁䅁䅁䅎㑁䑁䅫兎硁䍁䄰免睁䑁䅁免䅁乁䩍䅁敁䅁䅁兎睁䍁䅁兔桂䝁䅫杢杁䙁䅍䅤祂䝁䅕党あ䅁䅁䅵䄸䑁䅑䅁ㅁ䑁䅁䅍杁䙁䅍䅤灂䝁䄴督療䝁䄴䅉䍂䝁䄸兤獂䝁䅕杤桂䡁䅉䅚獁䍁䅁杔䙂䅁䅁桲䅍䍁䅯䅁ㅁ䑁䅁䅍杁䙁䅣党穂䡁䅑䅉乂䝁䅅兡畂䍁䅁睕あ䡁䅉党求䡁䅑䅁䙄睄䅁䅋䅁䑁䅕䅍睁䍁䅁睖療䝁䄸䅚㍂䝁䅅杣歂䍁䅁兑㉂䝁䅕杢ㅂ䝁䅕䅁摃睃䅁杆䅁䑁䅕䅍祁䑁䅙兎瑁䑁䅍兎穁䑁䅧䅁歁睄䅁杆䅁䑁䅕䅍祁䑁䅙李瑁䑁䅅䅍穁䑁䅙䅁䡃权䅁杆䅁䑁䅕䅍祁䑁䅙李瑁䑁䅍䅏㉁䑁䅉䅁塄䅃䅁杆䅁䑁䅕䅍祁䑁䅙李瑁䑁䅕兏祁䑁䅅䅁乃䅃䅁杆䅁䑁䅕䅍祁䑁䅙李瑁䑁䅕兏㕁䑁䅣䅁元杄䅁杆䅁䑁䅕䅍祁䑁䅙李瑁䑁䅧杍祁䑁䅅䅁慃睄䅁杆䅁䑁䅕䅍穁䑁䅁兏瑁䑁䅉兏睁䑁䅅䅁㕄睅䅁杆䅁䑁䅕䅍穁䑁䅁兏瑁䑁䅍李睁䑁䅕䅁時兄䅁杆䅁䑁䅕䅍穁䑁䅁兏瑁䑁䅍䅏㍁䑁䅉䅁㍁杄䅁杆䅁䑁䅕䅍穁䑁䅫杍瑁䑁䅁䅍睁䑁䅅䅁楂权䅁䅊䅁䑁䅕免杁䕁䄰兙歂䝁䅫督療䝁䄴䅉䉂䡁䅙党畂䡁䅕党䅁䅁䥫䅁獁䅁䅁兎硁䑁䅧䅉䙂䝁䅅督あ䍁䅁村祂䝁䄸兙歂䍁䅁睕あ䡁䅉党求䡁䅑䅁牁睅䅁杆䅁䑁䅕杍瑁䑁䅁杍穁䑁䅙兏睁䑁䅁䅁坃䅄䅁杆䅁䑁䅕杍瑁䑁䅅兏ㅁ䑁䅉兏ㅁ䑁䅕䅁睂杅䅁杉䅁䑁䅕杍硁䍁䅁杒灂䝁䅙䅤潂䍁䅁兑㉂䝁䅕杢ㅂ䝁䅕䅁㡃杄䅁杆䅁䑁䅕杍ぁ䑁䅁免瑁䑁䅅杍硁䑁䅉䅁䉄睅䅁杆䅁䑁䅕杍ぁ䑁䅁免瑁䑁䅍兏睁䑁䅫䅁㙃睅䅁杆䅁䑁䅕杍ぁ䑁䅫兏瑁䑁䅁䅍睁䑁䅅䅁啂睃䅁杋䅁䑁䅕睍睁䑁䅅䅉䡂䝁䅷党畂䡁䅣睢療䝁䅑䅉䉂䡁䅙党畂䡁䅕党䅁䡁剅䅁坁䅁䅁兎穁䑁䅁䅏硁䍁䄰䅏ぁ䑁䅣䅍䅁䝁䱅䅁坁䅁䅁兎穁䑁䅁兏ㅁ䍁䄰䅏㍁䑁䅫李䅁䅁啕䅁坁䅁䅁兎穁䑁䅉䅍祁䍁䄰睍硁䑁䅁杍䅁䉁剁䅁坁䅁䅁兎穁䑁䅉䅍祁䍁䄰䅎㍁䑁䅫睎䅁䉁䥙䅁坁䅁䅁兎穁䑁䅕兏㉁䍁䄰䅍睁䑁䅁免䅁䕁单䅁坁䅁䅁兎穁䑁䅣䅍穁䍁䄰免ぁ䑁䅫䅎䅁䙁剉䅁坁䅁䅁兎穁䑁䅣䅍ㅁ䍁䄰䅎ぁ䑁䅕李䅁佁乳䅁坁䅁䅁兎穁䑁䅣䅏穁䍁䄰䅍睁䑁䅁免䅁䭁䝉䅁畁䅁䅁兎ぁ䑁䅁䅍杁䙁䅕杢灂䡁䅙党祂䡁䅍兡あ䡁䅫䅉䉂䡁䅙党畂䡁䅕党䅁䥁伸䅁坁䅁䅁兎ぁ䑁䅑兎祁䍁䄰睍㑁䑁䅙睍䅁䡁乷䅁坁䅁䅁兎ぁ䑁䅑䅏硁䍁䄰䅏睁䑁䅉䅍䅁佁匴䅁⭁䅁䅁兎ㅁ䍁䅁兑瑂䝁䅕杣灂䡁䅁杣灂䡁䅍党杁䕁䅙兡畂䝁䅅杢橂䝁䅫兙獂䍁䅁睑求䝁䄴䅤求䡁䅉䅁ぃ䅃䅁䅊䅁䑁䅕兎杁䕁䄴睢祂䡁䅑䅡杁䑁䅍䅍睁䍁䅁睖求䡁䅍䅤䅁䱁䵕䅁杁䅁䅁兎ㅁ䍁䅁睖桂䡁䅑党祂䍁䅁睕あ䡁䅉党求䡁䅑䅁楁杄䅁䅏䅁䑁䅕兎睁䍁䅁睑療䝁䄴睚祂䝁䅕督穂䝁䅫睢畂䝁䅅䅢杁䕁䅉睢ㅂ䝁䅷党㉂䝁䅅杣歂䅁䅁破䅉䉁䅙䅁ㅁ䑁䅕䅍㉁䑁䅁兌穁䑁䅁䅎㉁䅁䅁䅳䄴䉁䅙䅁ㅁ䑁䅕免睁䑁䅅兌祁䑁䅁兏㑁䅁䅁䅫䅯䉁䅙䅁ㅁ䑁䅕免睁䑁䅉兌硁䑁䅍兏㉁䅁䅁䄹䅯䉁䅙䅁ㅁ䑁䅕免祁䑁䅉兌硁䑁䅅兎ぁ䅁䅁眲䅷䍁䅑䅁ㅁ䑁䅕杍ㅁ䍁䅁杕求䝁䅫䅤㙂䍁䅁兑㉂䝁䅕杢ㅂ䝁䅕䅁㑂䅅䅁杆䅁䑁䅕兎穁䑁䅁兎瑁䑁䅕睍ㅁ䑁䅫䅁歄䅅䅁杆䅁䑁䅕兎穁䑁䅑睍瑁䑁䅫李㉁䑁䅑䅁偁睃䅁杆䅁䑁䅕兎ぁ䑁䅅睍瑁䑁䅉李硁䑁䅕䅁癃睅䅁杆䅁䑁䅕兎ぁ䑁䅅兎瑁䑁䅅李祁䑁䅑䅁㥂睅䅁杆䅁䑁䅕兎ぁ䑁䅅李瑁䑁䅅杍㕁䑁䅣䅁畂䅃䅁杆䅁䑁䅕兎ぁ䑁䅉兎瑁䑁䅑兎硁䑁䅙䅁浂睄䅁杆䅁䑁䅕兎ぁ䑁䅣䅎瑁䑁䅫兏睁䑁䅁䅁ㅃ䅃䅁杌䅁䑁䅕兎ㅁ䍁䅁睑療䝁䅷䅢求䝁䅣党杁䙁䅉睢桂䝁䅑䅌杁䕁䅕兙穂䡁䅑䅁偁权䅁杏䅁䑁䅕李杁䙁䅁党祂䝁䅫兢求䡁䅑党祂䍁䅁睑求䝁䄴䅤求䡁䅉䅉䙂䝁䅅督あ䍁䅷䅉佂䕁䅕䅁㉁充䅁杉䅁䑁䅕李睁䍁䅁䅒桂䡁䅙兡穂䍁䅁睕あ䡁䅉党求䡁䅑䅁䝃充䅁杋䅁䑁䅕睎杁䙁䅣兙穂䝁䅧兡畂䝁䅣䅤療䝁䄴䅉呂䡁䅑杣求䝁䅕䅤䅁䙁单䅁煁䅁䅁兎㍁䑁䅁䅍杁䙁䅣党穂䡁䅑睢㍂䝁䄴䅉兂䝁䅅杣牂䡁䅣兙㕂䅁䅁睭䄸䑁䅁䅁ㅁ䑁䅣䅍硁䍁䅁睒療䝁䅷䅚求䝁䄴䅉䥂䝁䅫䅢獂䡁䅍䅉䕂䡁䅉兡㉂䝁䅕䅁獂䅃䅁杆䅁䑁䅕䅏瑁䑁䅁䅏祁䑁䅧䅏祁䑁䅑䅁ㅁ充䅁杈䅁䑁䅕兏杁䕁䄰兙灂䝁䅑党畂䍁䅁䅔桂䝁䄴党䅁䉁䵣䅁坁䅁䅁兎㕁䍁䄰杍㑁䑁䅕兏㍁䑁䅫睎䅁䑁倸䅁捁䅁䅁兎㕁䑁䅁䅍杁䕁䄸䅉呂䡁䅑杣求䝁䅕䅤䅁䱁䤸䅁睁䅁䅁兎㕁䑁䅅䅍杁䕁䄰兡畂䝁䅕杣桂䝁䅷䅉兂䝁䄸兡畂䡁䅑䅉卂䝁䄸兙歂䅁䅁朶䄰䍁䅉䅁㉁䑁䅁䅍杁䕁䅑杣求䡁䅍䅡求䡁䅉䅉卂䝁䄸兙歂䅁䅁杖䅯䑁䅯䅁㉁䑁䅁䅍杁䕁䅕兙穂䡁䅑䅉䵂䝁䅅杚桂䡁䅫党あ䡁䅑党杁䕁䅉睢ㅂ䝁䅷党㉂䝁䅅杣歂䅁䅁眷䅷䍁䅷䅁㉁䑁䅁䅍睁䍁䅁兑瑂䝁䅕杣灂䝁䅍兙畂䍁䅁䅕桂䡁䅉睡㍂䝁䅅入䅁䩁䝷䅁煁䅁䅁李睁䑁䅁䅍杁䕁䄰兡歂䝁䅷兙畂䡁䅑兡橂䍁䅁䅒祂䝁䅫杤求䅁䅁䉭䅁䍁䅯䅁㉁䑁䅁䅍睁䍁䅁睖求䡁䅍䅤療䡁䅣杢杁䙁䅁兙祂䝁䅳睤桂䡁䅫䅁䵃䅃䅁杆䅁䑁䅙䅍睁䑁䅉兎瑁䑁䅉䅎祁䑁䅍䅁祂兄䅁杆䅁䑁䅙䅍睁䑁䅑兎瑁䑁䅉兎㑁䑁䅅䅁扃睅䅁杆䅁䑁䅙䅍睁䑁䅙杍瑁䑁䅙免祁䑁䅣䅁㑂䅃䅁䅋䅁䑁䅙䅍硁䍁䅁睑療䝁䄴睚祂䝁䅕督穂䍁䅁睕あ䡁䅉党求䡁䅑䅁㡄元䅁杊䅁䑁䅙䅍硁䍁䅁䅕療䡁䅫䅚祂䝁䅅督杁䙁䅍䅤祂䝁䅕党あ䅁䅁桵䅅䑁䅁䅁㉁䑁䅁免杁䙁䅍睢ㅂ䡁䅑䅡杁䕁䅣兙灂䝁䄴党穂䍁䅁睕あ䡁䅉党求䡁䅑䅁䥄睅䅁杆䅁䑁䅙䅍硁䑁䅣睍瑁䑁䅕䅎祁䑁䅉䅁䍄睃䅁杆䅁䑁䅙䅍硁䑁䅫李瑁䑁䅅䅍ㅁ䑁䅙䅁䱂睃䅁杆䅁䑁䅙䅍ㅁ䑁䅅兎瑁䑁䅕兎㕁䑁䅅䅁千睄䅁杆䅁䑁䅙䅍㉁䑁䅁免瑁䑁䅅䅏睁䑁䅉䅁㑁䅅䅁杆䅁䑁䅙䅍㉁䑁䅁免瑁䑁䅕䅍㕁䑁䅫䅁䥃睄䅁杆䅁䑁䅙䅍㉁䑁䅁免瑁䑁䅕睍㑁䑁䅉䅁湃充䅁杆䅁䑁䅙䅍㉁䑁䅁杍瑁䑁䅑䅏硁䑁䅅䅁捁䅅䅁杆䅁䑁䅙䅍㉁䑁䅁䅎瑁䑁䅉李硁䑁䅕䅁晄睅䅁杆䅁䑁䅙䅍㉁䑁䅁䅎瑁䑁䅑免睁䑁䅣䅁十元䅁杆䅁䑁䅙䅍㉁䑁䅁李瑁䑁䅍䅎㑁䑁䅑䅁䩃睃䅁杆䅁䑁䅙䅍㉁䑁䅁李瑁䑁䅕䅍㉁䑁䅣䅁睂睄䅁杆䅁䑁䅙䅍㉁䑁䅁李瑁䑁䅙李祁䑁䅫䅁獂䅄䅁䅍䅁䑁䅙免睁䑁䅅䅉䉂䝁䄴兙橂䝁䅅䅣祂䝁䅫䅉䍂䝁䄸兤獂䝁䅕杤桂䡁䅉䅚䅁佁䥑䅁坁䅁䅁李硁䑁䅕兎㑁䍁䄰䅍睁䑁䅁免䅁乁券䅁坁䅁䅁李硁䑁䅕兎㑁䍁䄰兎穁䑁䅁䅏䅁乁剙䅁坁䅁䅁李硁䑁䅙免ㅁ䍁䄰免ぁ䑁䅫兏䅁䡁卯䅁坁䅁䅁李硁䑁䅙睍ぁ䍁䄰䅍睁䑁䅁杍䅁佁偯䅁坁䅁䅁李硁䑁䅣䅍硁䍁䄰杍睁䑁䅫䅍䅁䵁乧䅁坁䅁䅁李硁䑁䅣免睁䍁䄰䅍睁䑁䅁免䅁䑁䥁䅁坁䅁䅁李祁䍁䄰䅍㕁䑁䅙兎穁䑁䅉䅍䅁䑁呣䅁睁䅁䅁李祁䑁䅁䅍杁䙁䅍睢ㅂ䡁䅑䅡杁䕁䅣兡獂䝁䄰睢祂䝁䅕䅉卂䝁䄸兙歂䅁䅁兪䄰䍁䅷䅁㉁䑁䅉免睁䍁䅁兒桂䡁䅍䅤杁䕁䅧兡湂䝁䅧睤桂䡁䅫䅉祁䑁䅫䅍䅁䡁呁䅁祁䅁䅁李祁䑁䅕䅉䝂䝁䄸兤祂䡁䅑䅡杁䕁䅅杤求䝁䄴兤求䍁䅷䅉呂䝁䄸兤あ䝁䅧䅁⭂睅䅁杆䅁䑁䅙杍㍁䑁䅅兎瑁䑁䅁䅍睁䑁䅅䅁汃睄䅁杆䅁䑁䅙睍瑁䑁䅁免睁䑁䅍䅏穁䑁䅁䅁䑄䅄䅁杆䅁䑁䅙睍瑁䑁䅁睍穁䑁䅧李ぁ䑁䅧䅁⭂睃䅁䅍䅁䑁䅙睍睁䑁䅁䅉噂䝁䄴兡㉂䝁䅕杣穂䝁䅫䅤㕂䍁䅁䅕桂䡁䅉睡㍂䝁䅅入䅁䩁伸䅁畁䅁䅁李穁䑁䅁䅍杁䙁䅣兡獂䡁䅍睢畂䍁䅁兔灂䝁䅷䅢穂䍁䅁杕療䝁䅅䅚䅁䝁䭷䅁畁䅁䅁李穁䑁䅁免杁䕁䄸睤求䝁䄴督瑂䝁䄸兤あ䝁䅧䅉䉂䡁䅙党畂䡁䅕党䅁䙁䩳䅁坁䅁䅁李穁䑁䅁免㍁䍁䄰李睁䑁䅍兏䅁䡁䭷䅁坁䅁䅁李穁䑁䅅䅍ㅁ䍁䄰睍穁䑁䅧兏䅁䕁乯䅁坁䅁䅁李穁䑁䅅杍硁䍁䄰免㑁䑁䅉䅎䅁䡁伸䅁坁䅁䅁李ぁ䍁䄰䅍祁䑁䅧睍ㅁ䑁䅧睍䅁䩁䭷䅁坁䅁䅁李ぁ䑁䅅䅍ㅁ䍁䄰免㉁䑁䅧䅍䅁佁䱙䅁坁䅁䅁李ぁ䑁䅅免硁䍁䄰杍ㅁ䑁䅙兎䅁䍁儴䅁坁䅁䅁李ㅁ䑁䅉免㑁䍁䄰䅍睁䑁䅁免䅁偁匸䅁畁䅁䅁李ㅁ䑁䅕䅍杁䕁䅑兡祂䝁䅕睙あ䝁䄸杣穂䍁䅁䅕桂䡁䅉睡㍂䝁䅅入䅁乁伸䅁畁䅁䅁李㉁䑁䅉䅍杁䙁䅣党穂䡁䅑䅉䍂䡁䅉睢桂䝁䅑䅉呂䡁䅑杣求䝁䅕䅤䅁䩁䩁䅁坁䅁䅁李㉁䑁䅉免睁䍁䄰杍睁䑁䅧杍䅁䥁䩍䅁坁䅁䅁李㉁䑁䅉免硁䍁䄰杍睁䑁䅁䅍䅁䱁单䅁坁䅁䅁李㉁䑁䅙杍㕁䍁䄰䅍睁䑁䅁免䅁䭁䵕䅁坁䅁䅁李㉁䑁䅙睍㉁䍁䄰䅍睁䑁䅁免䅁䱁䩯䅁獁䅁䅁李㍁䑁䅅䅉呂䝁䄸兤あ䝁䅧䅉䥂䝁䅫睚潂䍁䅁睕あ䡁䅉党求䡁䅑䅁䝁睄䅁䅌䅁䑁䅙睎祁䑁䅁村杁䙁䅉睢橂䝁䅳䅢求䝁䅑睚求䍁䅁䅒祂䝁䅫杤求䅁䅁內䅙䕁䅁䅁㉁䑁䅣兎杁䕁䅅䅤獂䝁䅅杢あ䝁䅫睙杁䕁䅅杤求䝁䄴兤求䍁䅷䅉硁䑁䅍䅤潂䍁䅁杒獂䝁䄸睢祂䅁䅁䄲䄰䉁䅙䅁㉁䑁䅧免睁䑁䅉兌硁䑁䅙䅏睁䅁䅁睡䅳䉁䅙䅁㉁䑁䅧免穁䑁䅅兌祁䑁䅙睎硁䅁䅁刵䅅䉁䅙䅁㉁䑁䅧免穁䑁䅅兌穁䑁䅍䅍祁䅁䅁朷䅣䉁䅙䅁㉁䑁䅧免㍁䑁䅕兌睁䑁䅁䅍硁䅁䅁兇䅯䉁䅙䅁㉁䑁䅧兎睁䑁䅅兌硁䑁䅧䅏㕁䅁䅁具䅧䉁䅙䅁㉁䑁䅧兎睁䑁䅧兌ぁ䑁䅅䅎祁䅁䅁䉢䅁䍁䅑䅁㉁䑁䅫䅍杁䕁䅅督㕂䝁䅷兤瑂䍁䅁兑㉂䝁䅕杢ㅂ䝁䅕䅁䙄元䅁䅊䅁䑁䅣䅍杁䙁䅍党桂䡁䅙兡求䡁䅣䅉䉂䡁䅙党畂䡁䅕党䅁䍁啳䅁祁䅁䅁睎睁䑁䅁䅉佂䝁䅕睤睂䝁䄸杣あ䍁䅁睑求䝁䄴䅤求䡁䅉䅉䕂䡁䅉兡㉂䝁䅕䅁佂权䅁杌䅁䑁䅣䅍睁䑁䅁䅉乂䝁䅫䅚獂䝁䅅杢歂䍁䅁村療䡁䅕䅢求䡁䅙兙祂䝁䅑䅁㉃杂䅁䅏䅁䑁䅣䅍睁䑁䅅䅉祁䑁䅉䅍あ䝁䅧䅉呂䡁䅑杣求䝁䅕䅤杁䙁䅍睢ㅂ䡁䅑䅡㍂䝁䅕督あ䅁䅁剃䅉䉁䅙䅁㍁䑁䅁免穁䑁䅁兌㉁䑁䅁李睁䅁䅁硶䅅䍁䅉䅁㍁䑁䅁杍杁䕁䄸杙求䡁䅉䅢灂䝁䄴䅉卂䝁䄸兙歂䅁䅁䄱䄸䑁䅁䅁㍁䑁䅁兎杁䕁䄰睢ㅂ䝁䄴䅤杁䕁䅅兤楂䡁䅕杣畂䍁䅁睕あ䡁䅉党求䡁䅑䅁橃睅䅁杆䅁䑁䅣䅍㉁䑁䅍䅎瑁䑁䅙䅍睁䑁䅑䅁ㅄ睃䅁杆䅁䑁䅣䅍㑁䑁䅁䅏瑁䑁䅉睍㍁䑁䅅䅁䍃䅅䅁杆䅁䑁䅣䅍㑁䑁䅁兏瑁䑁䅍䅏睁䑁䅉䅁㍂䅅䅁杌䅁䑁䅣免睁䑁䅅䅉䑂䝁䄸䅢獂䝁䅕睚求䍁䅁村療䡁䅕䅢求䡁䅙兙祂䝁䅑䅁䅃元䅁䅉䅁䑁䅣免硁䍁䅁䅓灂䝁䅣䅡杁䙁䅍䅤祂䝁䅕党あ䅁䅁兙䅯䍁䅧䅁㍁䑁䅅睎杁䕁䄰兤獂䝁䅉党祂䡁䅉入杁䙁䅍䅤祂䝁䅕党あ䅁䅁兏䄴䉁䅙䅁㍁䑁䅉兌硁䑁䅉䅍硁䑁䅍䅎㕁䅁䅁硧䅁䑁䅑䅁㍁䑁䅉䅍杁䕁䅕兙穂䡁䅑䅉塂䝁䅫督橂䝁䄸杢穂䝁䅫杢杁䕁䅅杤求䝁䄴兤求䅁䅁睅䅧䉁䅙䅁㍁䑁䅉杍睁䑁䅅兌ぁ䑁䅁䅍㍁䅁䅁桹䅍䍁䅉䅁㍁䑁䅍䅍杁䙁䅑䅡灂䡁䅉䅚杁䕁䅅杤求䝁䄴兤求䅁䅁兏䅧䉁䅙䅁㍁䑁䅍免睁䑁䅕兌穁䑁䅉兏ㅁ䅁䅁睴䄰䉁䅙䅁㍁䑁䅍免硁䑁䅑兌穁䑁䅣䅍硁䅁䅁眰䅳䑁䅑䅁㍁䑁䅍睎穁䍁䅁睖求䡁䅍䅤杁䙁䅍兙湂䝁䅫杢桂䡁䅣䅉䥂䝁䅫睚潂䡁䅣兙㕂䅁䅁睨䄴䉁䅙䅁㍁䑁䅑兌硁䑁䅫免ㅁ䑁䅧䅎硁䅁䅁桪䅉䉁䅙䅁㍁䑁䅑兌祁䑁䅙免ㅁ䑁䅧睎穁䅁䅁档䅍䍁䅧䅁㍁䑁䅑杍睁䍁䅁杒灂䡁䅍䅡杁䙁䅁睢畂䝁䅑䅉卂䝁䄸兙歂䅁䅁硚䅍䍁䅙䅁㍁䑁䅕䅉呂䝁䅅兢杁䕁䅙睢畂䡁䅯睢杁䕁䅑杣灂䡁䅙党䅁佁佳䅁ぁ䅁䅁睎ㅁ䑁䅁免杁䕁䅕兙穂䡁䅑䅉䵂䝁䄸睤祂䡁䅫䅉䍂䝁䄸兤獂䝁䅕杤桂䡁䅉䅚䅁佁刴䅁坁䅁䅁睎ㅁ䑁䅁睎睁䍁䄰䅏睁䑁䅧䅍䅁佁䭷䅁楁䅁䅁睎ㅁ䑁䅅䅉䍂䡁䅉睢桂䝁䅑䅉呂䡁䅑杣求䝁䅕䅤䅁䍁䥁䅁坁䅁䅁睎ㅁ䑁䅉睍ぁ䍁䄰李睁䑁䅫兏䅁䙁八䅁煁䅁䅁睎㉁䍁䅁睕桂䝁䅫杢あ䍁䅁䅕桂䡁䅕䅢杁䙁䅍䅤祂䝁䅕党あ䅁䅁砱䅁䉁䅙䅁㍁䑁䅙免穁䑁䅣兌ぁ䑁䅙免ㅁ䅁䅁睸䄴䉁䅙䅁㍁䑁䅙睎硁䑁䅁兌硁䑁䅁免睁䅁䅁剡䅍䍁䅙䅁㍁䑁䅣䅍睁䍁䅁杒療䡁䅉督㕂䡁䅑䅡杁䕁䅉䅢㉂䝁䅑杌䅁䕁乧䅁祁䅁䅁睎㍁䑁䅁䅍杁䕁䄰兡獂䝁䅷督杁䕁䅍兡㉂䝁䅫睙杁䙁䅁兙祂䝁䅳睤桂䡁䅫䅁坄䅃䅁杆䅁䑁䅣睎睁䑁䅫杍瑁䑁䅣睍祁䑁䅕䅁畃䅅䅁杆䅁䑁䅣睎ㅁ䑁䅕䅍瑁䑁䅣兏㕁䑁䅫䅁獃䅃䅁杋䅁䑁䅣睎㍁䍁䅁免睁䑁䅧䅤潂䍁䅁兑㉂䝁䅕杢ㅂ䝁䅕䅌杁䕁䄴兒䅁䱁䬰䅁坁䅁䅁睎㑁䑁䅉䅍ㅁ䍁䄰杍祁䑁䅕兎䅁䕁䵁䅁坁䅁䅁睎㑁䑁䅉䅏㑁䍁䄰䅍睁䑁䅁免䅁偁䬸䅁坁䅁䅁睎㑁䑁䅣免㍁䍁䄰兎㕁䑁䅙睎䅁䝁偁䅁坁䅁䅁睎㑁䑁䅣杍穁䍁䄰免睁䑁䅫䅏䅁䡁呍䅁坁䅁䅁睎㑁䑁䅣兎祁䍁䄰免祁䑁䅉䅎䅁䩁乷䅁坁䅁䅁睎㑁䑁䅣兎祁䍁䄰免㉁䑁䅁杍䅁䙁刴䅁坁䅁䅁睎㕁䑁䅙䅍㉁䍁䄰兎㑁䑁䅕䅎䅁佁佁䅁煁䅁䅁䅏睁䍁䅁睕療䡁䅕䅤潂䍁䅁兔桂䝁䅫杢杁䙁䅍䅤祂䝁䅕党あ䅁䅁桇䅑䑁䅧䅁㑁䑁䅁䅍杁䙁䅍睢ㅂ䡁䅑䅡杁䙁䅣兙穂䝁䅧兡畂䝁䅣䅤療䝁䄴䅉呂䡁䅑杣求䝁䅕䅤䅁䙁乕䅁歁䅁䅁䅏睁䑁䅁䅉塂䝁䅅䅢畂䡁䅕䅤杁䙁䅍䅤祂䝁䅕党あ䅁䅁兘䄰䉁䅙䅁㑁䑁䅁免硁䑁䅅兌ㅁ䑁䅁䅍祁䅁䅁睰䅫䉁䅙䅁㑁䑁䅁杍穁䑁䅁兌㍁䑁䅁䅍㉁䅁䅁砷䅅䉁䅙䅁㑁䑁䅁杍穁䑁䅅兌硁䑁䅍免ぁ䅁䅁削䅁䑁䅁䅁㑁䑁䅅睎睁䍁䅁睍穁䡁䅉䅚杁䕁䅅杤求䝁䄴兤求䍁䅷䅉呂䝁䄸兤あ䝁䅧䅁湂睄䅁杆䅁䑁䅧䅎瑁䑁䅁䅎㉁䑁䅣杍睁䑁䅧䅁捂充䅁杆䅁䑁䅧䅎瑁䑁䅅䅍㕁䑁䅍睎㉁䑁䅣䅁瑄充䅁杆䅁䑁䅧䅎睁䑁䅣䅍瑁䑁䅕兎硁䑁䅅䅁楁䅆䅁杆䅁䑁䅧䅎硁䑁䅁免瑁䑁䅍兎睁䑁䅉䅁㕃䅄䅁杆䅁䑁䅧䅎ぁ䑁䅁免瑁䑁䅑免ぁ䑁䅑䅁允睄䅁杌䅁䑁䅧兎睁䍁䅁兒桂䡁䅍䅤杁䕁䅅杢歂䝁䅕杣穂䝁䄸杢杁䕁䅷兙畂䝁䅕䅁摂充䅁杆䅁䑁䅧兎睁䑁䅁䅎瑁䑁䅅免㍁䑁䅉䅁祃睃䅁杆䅁䑁䅧兎睁䑁䅅杍瑁䑁䅍䅍睁䑁䅫䅁䉄兄䅁杆䅁䑁䅧兎睁䑁䅉免瑁䑁䅑䅏㉁䑁䅁䅁楄䅄䅁杌䅁䑁䅧兎硁䑁䅕䅉䙂䝁䅅督あ䍁䅁睔祂䝁䅍䅡桂䡁䅉䅚杁䙁䅉睢桂䝁䅑䅁橃元䅁杆䅁䑁䅧兎祁䑁䅕免瑁䑁䅍睍ぁ䑁䅣䅁乃杅䅁杆䅁䑁䅧李瑁䑁䅁䅍睁䑁䅑兎穁䑁䅧䅁汄䅄䅁杆䅁䑁䅧李瑁䑁䅁免㉁䑁䅕睎硁䑁䅙䅁硂睄䅁杆䅁䑁䅧李瑁䑁䅁睍㑁䑁䅧䅎硁䑁䅍䅁杂䅅䅁杆䅁䑁䅧李瑁䑁䅁睎睁䑁䅍杍祁䑁䅁䅁摂允䅁䅎䅁䑁䅧睎祁䑁䅉䅉䵂䝁䄸睙潂䍁䅁杕桂䡁䅙党畂䍁䅁村療䡁䅕䅢求䡁䅙兙祂䝁䅑䅁湂兄䅁䅋䅁䑁䅧睎穁䑁䅕䅉䥂䝁䅕杢歂䝁䅕杣穂䝁䄸杢杁䙁䅉睢桂䝁䅑䅁獄睅䅁杆䅁䑁䅧兏ㅁ䑁䅉免瑁䑁䅑䅏睁䑁䅉䅁煁杄䅁杌䅁䑁䅫杌㍁䍁䅷䅉䑂䝁䄸䅢畁䍁䅁李獁䍁䅁睕求䝁䅍䅤灂䝁䄸杢杁䑁䅫䅁歁䅁䅁杌䅁䑁䅫䅍睁䍁䅁睑療䡁䅑䅤桂䝁䅣党杁䕁䅣杣療䡁䅙党杁䙁䅉睢桂䝁䅑䅁䝁元䅁杋䅁䑁䅫䅍睁䑁䅁䅉䑂䝁䅅兢求䡁䅉睢畂䍁䅁䅕桂䡁䅉睡㍂䝁䅅入䅁乁䱁䅁坁䅁䅁兏睁䑁䅁免睁䍁䄰睍㍁䑁䅅䅍䅁䅁剑䅁㉁䅁䅁兏睁䑁䅉兎杁䕁䄴睢祂䡁䅑䅡杁䕁䅷兡畂䝁䅑杙求䡁䅉睚潂䍁䅁䅒祂䝁䅫杤求䅁䅁硥䅉䉁䅙䅁㕁䑁䅁䅏睁䑁䅉兌ぁ䑁䅍免㍁䅁䅁則䅅䉁䅙䅁㕁䑁䅅睍㉁䑁䅣兌祁䑁䅉免㉁䅁䅁杗䅫䉁䅙䅁㕁䑁䅅睍㉁䑁䅣兌ぁ䑁䅫睎祁䅁䅁硙䅁䍁䅧䅁㕁䑁䅉䅍硁䍁䅁村ㅂ䝁䄴督求䝁䄴䅉兂䝁䅅杣牂䡁䅣兙㕂䅁䅁䉒䅁䉁䅙䅁㕁䑁䅉免祁䑁䅧兌穁䑁䅑兎ㅁ䅁䅁䄴䄸䉁䅙䅁㕁䑁䅉李祁䑁䅙兌硁䑁䅙兏㑁䅁䅁䅤䅷䉁䅙䅁㕁䑁䅉李㉁䑁䅁兌㉁䑁䅍兏㍁䅁䅁䅕䅯䍁䅧䅁㕁䑁䅍䅉塂䝁䄸杣橂䝁䅕督あ䝁䅕杣杁䙁䅍䅤祂䝁䅕党あ䅁䅁杕䄸䉁䅙䅁㕁䑁䅍兌㉁䑁䅁䅍硁䑁䅣李㕁䅁䅁䉭䅉䉁䅙䅁㕁䑁䅑兌穁䑁䅉睍硁䑁䅣兎硁䅁䅁䅱䅯䉁䅙䅁㕁䑁䅑免睁䑁䅑兌祁䑁䅧䅍㉁䅁䅁共䅯䉁䅙䅁㕁䑁䅑免硁䑁䅅兌硁䑁䅫李㉁䅁䅁剨䅅䉁䅙䅁㕁䑁䅑兎ㅁ䑁䅧兌㉁䑁䅉睎睁䅁䅁允䄴䉁䅙䅁㕁䑁䅑兎㕁䑁䅣兌祁䑁䅁兏㑁䅁䅁眴䄰䉁䅙䅁㕁䑁䅑兎㕁䑁䅣兌ぁ䑁䅕䅎硁䅁䅁剁䅉䍁䅑䅁㕁䑁䅕䅉偂䝁䅷䅚杁䙁䅉兡㉂䝁䅕杣杁䙁䅉睢桂䝁䅑䅁杁䅄䅁杆䅁䑁䅫睎祁䑁䅁䅎瑁䑁䅅䅍㕁䑁䅍䅁䡁权䅁杆䅁䑁䅫睎穁䑁䅅杍瑁䑁䅁睎睁䑁䅁䅁扃杅䅁杆䅁䑁䅫䅏瑁䑁䅁䅍㉁䑁䅙兎睁䑁䅍䅁偃充䅁杍䅁䑁䅫䅏睁䑁䅁䅉䝂䡁䅉党歂䝁䅕杣灂䝁䅍睡穂䝁䅉兤祂䝁䅣䅉卂䝁䄸兙歂䅁䅁儯䅯䉁䅙䅁㕁䑁䅧䅍睁䑁䅑兌ㅁ䑁䅅睍ㅁ䅁䅁具䅯䉁䅙䅁㕁䑁䅧䅍ぁ䑁䅁兌祁䑁䅧睍㍁䅁䅁桎䅑䉁䅙䅁㕁䑁䅧䅍ぁ䑁䅍兌祁䑁䅅杍ぁ䅁䅁硃䅉䉁䅙䅁㕁䑁䅧免睁䑁䅅兌硁䑁䅍兎㑁䅁䅁剚䅉䉁䅙䅁㕁䑁䅧免睁䑁䅫兌ㅁ䑁䅉睍穁䅁䅁睇䄸䍁䅧䅁㕁䑁䅫䅍睁䍁䅁村祂䝁䅕杢杁䙁䅉睢桂䝁䅑䅉䙂䝁䅅督あ䅁䅁䅄䅳䅁䅧䅁㕁䑁䅯免䅁䡁䈴䅁䭁䅁䅁兏㙁䑁䅅䅍䅁䱁䉙䅁䭁䅁䅁兏㙁䑁䅅杍䅁䱁䉧䅁䭁䅁䅁兏㙁䑁䅅睍䅁䱁䉫䅁䭁䅁䅁兏㙁䑁䅅䅎䅁䱁䉷䅁䵁䅁䅁兏㙁䑁䅅䅎㉁䅁䅁䅳䅅䅁䅯䅁㕁䑁䅯免ㅁ䅁䅁杶䅅䅁䅷䅁㕁䑁䅯免ㅁ䑁䅉䅁坃允䅁权䅁䑁䅫杏硁䑁䅙䅁晃允䅁权䅁䑁䅫杏硁䑁䅣䅁穃允䅁䅄䅁䑁䅫杏硁䑁䅣䅏䅁䱁䉑䅁䵁䅁䅁兏㙁䑁䅅睎㕁䅁䅁睲䅅䅁䅯䅁㕁䑁䅯免㑁䅁䅁䅧䅅䅁䅷䅁㕁䑁䅯免㑁䑁䅁䅁㍃允䅁权䅁䑁䅫杏硁䑁䅫䅁敃允䅁䅃䅁䑁䅫杏祁䅁䅁䅩䅅䅁䅧䅁㕁䑁䅯睍䅁䥁䉯䅁䥁䅁䅁兏㙁䑁䅑䅁⽂允䅁权䅁䑁䅫杏ぁ䑁䅁䅁乃允䅁䅃䅁䑁䅫杏ㅁ䅁䅁杧䅅䅁䅧䅁㕁䑁䅯李䅁䭁䉁䅁䥁䅁䅁兏㙁䑁䅣䅁桃允䅁䅃䅁䑁䅫杏㑁䅁䅁東䅅䅁䅧䅁㕁䑁䅯兏䅁䱁䉅䅁十䅁䅁䅐⭁䑁䅅䅍㑁䑁䅑李祁䅁䅁䅒䅙䅁䅷䅁㡁䑁䄴免ぁ䑁䅁䅁塄䅆䅁杄䅁䑁䅷材硁䑁䅕杏硁䅁䅁䅹䅅䉁䅁䅁㡁䑁䄴免ㅁ䑁䅯免睁䅁䅁儴䅅䉁䅁䅁㡁䑁䄴免ㅁ䑁䅯免祁䅁䅁睃䅉䉁䅁䅁㡁䑁䄴免ㅁ䑁䅯免穁䅁䅁䄹䅅䉁䅁䅁㡁䑁䄴免ㅁ䑁䅯免ぁ䅁䅁睺䅅䉁䅉䅁㡁䑁䄴免ㅁ䑁䅯免ぁ䑁䅙䅁䱄允䅁䅅䅁䑁䅷材硁䑁䅕杏硁䑁䅕䅁佁杁䅁杅䅁䑁䅷材硁䑁䅕杏硁䑁䅕杍䅁佁䉍䅁允䅁䅁䅐⭁䑁䅅兎㙁䑁䅅李䅁䅁䌸䅁允䅁䅁䅐⭁䑁䅅兎㙁䑁䅅睎䅁乁䉙䅁十䅁䅁䅐⭁䑁䅅兎㙁䑁䅅睎㑁䅁䅁兂䅉䉁䅉䅁㡁䑁䄴免ㅁ䑁䅯免㍁䑁䅫䅁䥁杁䅁䅅䅁䑁䅷材硁䑁䅕杏硁䑁䅧䅁婄允䅁杅䅁䑁䅷材硁䑁䅕杏硁䑁䅧䅍䅁乁䉍䅁十䅁䅁䅐⭁䑁䅅兎㙁䑁䅅䅏硁䅁䅁䄫䅅䉁䅁䅁㡁䑁䄴免ㅁ䑁䅯免㕁䅁䅁朰䅅䅁䄴䅁㡁䑁䄴免ㅁ䑁䅯杍䅁䵁䉫䅁佁䅁䅁䅐⭁䑁䅅兎㙁䑁䅍䅁啄允䅁杄䅁䑁䅷材硁䑁䅕杏ぁ䅁䅁䄵䅅䉁䅁䅁㡁䑁䄴免ㅁ䑁䅯䅎睁䅁䅁朴䅅䅁䄴䅁㡁䑁䄴免ㅁ䑁䅯兎䅁佁䉧䅁佁䅁䅁䅐⭁䑁䅅兎㙁䑁䅙䅁癄允䅁杄䅁䑁䅷材硁䑁䅕杏㍁䅁䅁末䅅䅁䄴䅁㡁䑁䄴免ㅁ䑁䅯䅏䅁偁䈴䅁佁䅁䅁䅐⭁䑁䅅兎㙁䑁䅫䅁瑄允䅁杄䅁䑁䅷材硁䑁䅯睍睁䅁䅁䅺䅙䉁䅑䅁㡁䑁䄴睍睁䑁䅁䅍穁䑁䅉兎䅁䑁䝉䅁啁䅁䅁䅐⭁䑁䅑䅍ぁ䑁䅅䅏ㅁ䑁䅣䅁乂杂䅁䅆䅁䑁䅷材ぁ䑁䅁兎ㅁ䑁䅫睍ㅁ䅁䅁睐䅙䉁䅑䅁㡁䑁䄴䅎硁䑁䅙李㍁䑁䅧兏䅁䕁䝫䅁䵁䅁䅁䅐⭁䑁䅫杏硁䅁䅁眲䅅䅁䄴䅁㡁䑁䄴兏㙁䑁䅅䅍䅁䅁䍁䅁佁䅁䅁䅐⭁䑁䅫杏硁䑁䅉䅁敄允䅁杄䅁䑁䅷材㕁䑁䅯免穁䅁䅁䅄䅉䅁䄴䅁㡁䑁䄴兏㙁䑁䅅䅎䅁偁䉫䅁允䅁䅁䅐⭁䑁䅫杏硁䑁䅑李䅁佁䉳䅁佁䅁䅁䅐⭁䑁䅫杏硁䑁䅕䅁乄允䅁䅅䅁䑁䅷材㕁䑁䅯免ㅁ䑁䅉䅁乁杁䅁杄䅁䑁䅷材㕁䑁䅯免㉁䅁䅁儶䅅䅁䄴䅁㡁䑁䄴兏㙁䑁䅅睎䅁偁䉕䅁允䅁䅁䅐⭁䑁䅫杏硁䑁䅣䅏䅁偁䉍䅁允䅁䅁䅐⭁䑁䅫杏硁䑁䅣兏䅁䅁䍍䅁佁䅁䅁䅐⭁䑁䅫杏硁䑁䅧䅁允杁䅁䅅䅁䑁䅷材㕁䑁䅯免㑁䑁䅁䅁㝄允䅁杄䅁䑁䅷材㕁䑁䅯免㕁䅁䅁朲䅅䅁䅷䅁㡁䑁䄴兏㙁䑁䅉䅁汄允䅁䅄䅁䑁䅷材㕁䑁䅯睍䅁佁䉯䅁䵁䅁䅁䅐⭁䑁䅫杏ぁ䅁䅁杺䅅䅁䄴䅁㡁䑁䄴兏㙁䑁䅑䅍䅁䵁䉯䅁䵁䅁䅁䅐⭁䑁䅫杏ㅁ䅁䅁朷䅅䅁䅷䅁㡁䑁䄴兏㙁䑁䅙䅁睄允䅁䅄䅁䑁䅷材㕁䑁䅯睎䅁乁䉕䅁䵁䅁䅁䅐⭁䑁䅫杏㑁䅁䅁眯䅅䅁䅷䅁㡁䑁䄴兏㙁䑁䅫䅁䕁杁䅁䅄䅁䑁䅷材䑂䕁䅕睔䅁䕁䜸䅁䵁䅁䅁䅐⭁䕁䅍杒偂䅁䅁䅎䅙䅁䅷䅁㡁䑁䄴睑䥂䙁䅉䅁呂杂䅁䅄䅁䑁䅷材佂䑁䅯免䅁䅁䍙䅁佁䅁䅁䅐⭁䕁䄴杏硁䑁䅁䅁晄允䅁杄䅁䑁䅷材佂䑁䅯免祁䅁䅁朵䅅䅁䄴䅁㡁䑁䄴杔㙁䑁䅅睍䅁䉁䍙䅁佁䅁䅁䅐⭁䕁䄴杏硁䑁䅑䅁㡄允䅁䅅䅁䑁䅷材佂䑁䅯免㍁䑁䅧䅁䩁杁䅁杄䅁䑁䅷材佂䑁䅯免㕁䅁䅁䅇䅉䅁䅷䅁㡁䑁䄴杔㙁䑁䅉䅁十杁䅁䅄䅁䑁䅷材佂䑁䅯睍䅁乁䉁䅁佁䅁䅁䅐⭁䕁䄴杏穁䑁䅁䅁兄杂䅁䅄䅁䑁䅷材佂䑁䅯䅎䅁偁䉅䅁佁䅁䅁䅐⭁䕁䄴杏ぁ䑁䅁䅁剁杁䅁䅄䅁䑁䅷材佂䑁䅯兎䅁䅁䍅䅁䵁䅁䅁䅐⭁䕁䄴杏㉁䅁䅁眱䅅䅁䅷䅁㡁䑁䄴杔㙁䑁䅣䅁捄允䅁䅄䅁䑁䅷材佂䑁䅯䅏䅁䉁䍑䅁䵁䅁䅁䅐⭁䕁䄴杏㕁䅁䅁朹䅅䅁䅧䅁㡁䑁䄴䅕䅁䙁䝅䅁歁䅁䅁䅐䉂䝁䅑兢灂䝁䄴兡穂䡁䅑杣桂䡁䅑兡療䝁䄴材祁䅁䅁材䅁䑁䅉䅁㡁䕁䅅杚浂䑁䅯䅉䑂䝁䅅䅣灂䡁䅑兙獂䍁䅁杔療䡁䅑党穂䑁䄴兏㙁䑁䅅䅎䅁乁䅣䅁㑁䅁䅁䅐䉂䝁䅙杚㙁䍁䅁睑療䝁䅷䅢桂䡁䅑党祂䝁䅅䅢杁䕁䅷睢桂䝁䄴督⭁䑁䅫杏硁䑁䅍䅁汄䅁䅁䅌䅁䑁䅷兑浂䝁䅙杏杁䕁䅍睢瑂䝁䄰䅉呂䡁䅑睢橂䝁䅳材㕁䑁䅯杍㕁䅁䅁兯䅁䑁䅉䅁㡁䕁䅅杚浂䑁䅯䅉䝂䝁䅫䅥癁䙁䅙兙祂䑁䅯䅉䍂䝁䄸杢歂䡁䅍材㕁䑁䅯䅎䅁乁䄸䅁㙁䅁䅁䅐䉂䝁䅙杚㙁䍁䅁杒灂䡁䅧睌坂䝁䅅杣㙁䍁䅁兔祂䡁䅑睚杁䕁䅙兤畂䝁䅑材㕁䑁䅯兎䅁佁䄰䅁⭁䅁䅁䅐䉂䝁䅙杚㙁䍁䅁杒灂䡁䅧睌坂䝁䅅杣㙁䍁䅁睔あ䝁䅧䅉䝂䝁䅫䅥杁䕁䅫杢橂䑁䄴兏㙁䑁䅙䅁剄䅁䅁䅓䅁䑁䅷兑浂䝁䅙杏杁䕁䅣兤桂䡁䅉兙畂䡁䅑党求䝁䅑䅉䝂䝁䅕䅚求䡁䅉兙獂䍁䅁䅔䩂䕁䅧䅖䑂䑁䄴兏㙁䑁䅅兎䅁佁䅣䅁䝂䅁䅁䅐䉂䝁䅙杚㙁䍁䅁睒ㅂ䝁䅅杣桂䝁䄴䅤求䝁䅕䅚杁䙁䅍䅤桂䡁䅑党杁䕁䅷兓䥂䙁䅑睑⭁䑁䅫杏硁䑁䅣兏䅁乁䅫䅁䅂䅁䅁䅐䉂䝁䅙杚㙁䍁䅁杓坂䍁䅁䅔䵂䕁䅍督㙁䍁䅁兔祂䡁䅑睚杁䕁䅷睢桂䝁䄴督⭁䑁䅫杏硁䑁䅣䅏䅁佁䅍䅁䍂䅁䅁䅐䉂䝁䅙杚㙁䍁䅁杓坂䍁䅷䅉䵂䕁䅷睑穂䑁䅯䅉䑂䝁䄸兢瑂䝁䄸杢杁䙁䅍䅤療䝁䅍睡⭁䑁䅫杏㑁䅁䅁儸䅁䑁䄴䅁㡁䕁䅅杚浂䑁䅯䅉䭂䙁䅙䅌杁䕁䅷䅔䑂䡁䅍杏杁䕁䅙兡㑂䍁䅁兓畂䝁䅍睢瑂䝁䅕材㕁䑁䅯睎䅁佁䅅䅁㉁䅁䅁䅐䉂䝁䅙杚㙁䍁䅁杓坂䍁䅷䅉䵂䕁䅷睑穂䑁䅯䅉偂䡁䅑䅡求䡁䅉材㕁䑁䅯免睁䅁䅁眸䅁䕁䅁䅁㡁䕁䅅杚浂䑁䅯䅉䭂䙁䅙䅌杁䕁䅷䅔䑂䡁䅍杏杁䙁䅉党桂䝁䅷䅉䙂䡁䅍䅤桂䡁䅑党⭁䑁䅫杏㕁䅁䅁眰䅁䍁䅙䅁㡁䕁䅅杚浂䑁䅯䅉䵂䙁䅑䅉䍂䝁䄸杢歂䑁䄴兏㙁䑁䅍䅍䅁䅁䉫䅁祁䅁䅁䅐䉂䝁䅙杚㙁䍁䅁兔灂䝁䄴党祂䝁䅅䅢杁䙁䅉兡湂䝁䅧䅤穂䑁䄴兏㙁䑁䅍䅁偄䅁䅁䅓䅁䑁䅷兑浂䝁䅙杏杁䕁䄴睢畂䍁䄰睑療䝁䄴杚療䡁䅉兢灂䝁䄴睚杁䕁䅷䅖杁䕁䅅督穂䝁䅕䅤穂䑁䄴兏㙁䑁䅑䅍䅁偁䅣䅁䥂䅁䅁䅐䉂䝁䅙杚㙁䍁䅁杔療䝁䄴兌䡂䡁䅕兙祂䝁䅅杢あ䝁䅕党歂䍁䅁杒求䝁䅑䅉䵂䕁䅫䅓啂䕁䅍材㕁䑁䅯免㉁䅁䅁儹䅁䕁䄴䅁㡁䕁䅅杚浂䑁䅯䅉佂䝁䄸杢瑁䝁䅣兤桂䡁䅉兙畂䡁䅑党求䝁䅑䅉呂䡁䅑兙あ䝁䅕䅉䵂䕁䅫䅓啂䕁䅍材㕁䑁䅯免㑁䑁䅁䅁灄䅁䅁䅑䅁䑁䅷兑浂䝁䅙杏杁䕁䄴睢畂䝁䅍睢獂䝁䅷兙あ䝁䅕杣桂䝁䅷䅉䵂䝁䄸兙畂䡁䅍材㕁䑁䅯免ㅁ䑁䅉䅁佂䅁䅁材䅁䑁䅷兑浂䝁䅙杏杁䕁䄸兡獂䍁䅁杊杁䕁䅣兙穂䍁䅁䅕祂䝁䄸䅚ㅂ䝁䅍䅤灂䝁䄸杢⭁䑁䅫杏硁䅁䅁儳䅁䑁䅷䅁㡁䕁䅅杚浂䑁䅯䅉偂䡁䅑䅡杁䙁䅍䅖杁䕁䅫杢㉂䝁䅕督あ䝁䄰党畂䡁䅑督⭁䑁䅫杏㍁䑁䅑䅁灃䅁䅁䅍䅁䑁䅷兑浂䝁䅙杏杁䕁䄸䅤潂䝁䅕杣杁䕁䅅督穂䝁䅕䅤穂䑁䄴兏㙁䑁䅅兏䅁佁䅳䅁畁䅁䅁䅐䉂䝁䅙杚㙁䍁䅁睔あ䝁䅧党祂䍁䅁䅔䩂䕁䅧䅖䑂䑁䄴兏㙁䑁䅅䅏䅁乁䅳䅁流䅁䅁䅐䉂䝁䅙杚㙁䍁䅁睕啂䍁䅁村療䝁䄴䅚⭁䑁䅫杏㍁䑁䅧䅁䡃䅁䅁杌䅁䑁䅷兑浂䝁䅙杏杁䙁䅍䅤桂䡁䅑党杁䕁䅷兓䥂䙁䅑睑⭁䑁䅫杏硁䑁䅣䅁䭂䅁䅁䅐䅁䑁䅷兑浂䝁䅙杏杁䙁䅍兤祂䡁䅁䅢ㅂ䡁䅍䅉䕂䝁䅕杙求䝁䄴䅤ㅂ䡁䅉党穂䑁䄴兏㙁䑁䅅杍䅁乁䅕䅁ぁ䅁䅁䅐䉂䝁䅙杚㙁䍁䅁䅖祂䝁䅅杢穂䡁䅁睢祂䡁䅑䅉䙂䡁䅅兤灂䡁䅁材㕁䑁䅯杍䅁䝁䅙䅁㙁䅁䅁䅐䍂䝁䅅杢牂䍁䅷䅉䩂䝁䄴督㙁䍁䅁睑療䝁䄰兢杁䙁䅍䅤療䝁䅍睡⭁䑁䅅䅍㙁䑁䅉兏䅁䍁䉧䅁捁䅁䅁䅐䍂䝁䅅杢牂䍁䅷䅉䩂䝁䄴督⭁䑁䅅䅍䅁䉁䉷䅁㉁䅁䅁䅐䍂䝁䄸杢歂䍁䅁䅒求䝁䅙䅉乂䕁䅍䅉䑂䝁䄸兢杁䕁䄰村癁䕁䅅村呂䑁䄴杍㉁䅁䅁䅔䅁䑁䅁䅁㡁䕁䅉睢畂䝁䅑䅉䕂䝁䅕杚杁䕁䄰睑杁䙁䅉党穂䍁䅁兔䍂䙁䅍材祁䑁䅑䅁慂䅁䅁李䅁䑁䅷村療䝁䄴䅚杁䕁䄸䅤潂䍁䅁兔䑂䍁䅁睑療䝁䄰䅉乂䕁䅉睌䉂䕁䅉睕⭁䑁䅉睎䅁䕁䅁䅁睁䅁䅁䅐䍂䝁䄸杢歂䍁䅁睔あ䝁䅧䅉乂䕁䅍䅉卂䝁䅕督杁䕁䄰村呂䑁䄴杍ㅁ䅁䅁村䅁䑁䅉䅁㡁䕁䅉睢畂䝁䅑䅉呂䝁䄴睚獂䍁䅁睑獂䡁䅍䅉乂䕁䅉睌䉂䕁䅉睕⭁䑁䅉睍䅁䙁䅙䅁楂䅁䅁䅐䍂䝁䄸杢歂䍁䅷䅉䑂䝁䄸兢瑂䝁䅕杣橂䝁䅫兙獂䍁䅁兔療䡁䅉䅤湂䝁䅅睚求䍁䄰村桂䝁䅍睡求䝁䅑䅉呂䝁䅕睙ㅂ䡁䅉兡あ䝁䅫党穂䑁䄴免㉁䑁䅣䅁楂䅁䅁杏䅁䑁䅷村療䝁䄴䅚獁䍁䅁兓穂䡁䅍兤求䡁䅉䅉偂䝁䅉䅢灂䝁䅣兙あ䝁䅫睢畂䡁䅍材祁䑁䅉䅁啂䅁䅁杢䅁䑁䅷村療䝁䄴䅚獁䍁䅁睔あ䝁䅧党祂䍁䅁䅔療䝁䅅杢瑁䕁䅉兙橂䝁䅳党歂䍁䅁兙畂䝁䅑䅉呂䡁䅑杣ㅂ䝁䅍䅤ㅂ䡁䅉党歂䍁䅁睕求䝁䅍兤祂䝁䅫䅤灂䝁䅕督⭁䑁䅅李㑁䅁䅁䅚䅁䝁䅑䅁㡁䕁䅉睢畂䝁䅑䅌杁䙁䅉党穂䝁䅫䅚求䝁䄴䅤灂䝁䅅䅢杁䕁䄰睢祂䡁䅑睚桂䝁䅣党瑁䕁䅉兙橂䝁䅳党歂䍁䅁睕求䝁䅍兤祂䝁䅫䅤灂䝁䅕督⭁䑁䅅李㉁䅁䅁䅡䅁䉁䅑䅁㡁䕁䅉睢畂䝁䅑督⭁䑁䅍免䅁䕁䅑䅁坁䅁䅁䅐䑂䝁䅷兙穂䡁䅍䅉硁䑁䄴䅍䅁䝁䄴䅁坁䅁䅁䅐䑂䝁䅷兙穂䡁䅍䅉祁䑁䄴免䅁䝁䄸䅁坁䅁䅁䅐䑂䝁䅷兙穂䡁䅍䅉穁䑁䄴杍䅁䡁䅁䅁坁䅁䅁䅐䑂䝁䅷兙穂䡁䅍䅉ぁ䑁䄴睍䅁䡁䅅䅁坁䅁䅁䅐䑂䝁䅷兙穂䡁䅍䅉ㅁ䑁䄴䅎䅁䡁䅉䅁坁䅁䅁䅐䑂䝁䅷兙穂䡁䅍䅉㉁䑁䄴兎䅁䡁䅍䅁㙁䅁䅁䅐䑂䡁䅉党歂䝁䅫䅤杁䙁䅑党畂䝁䅅杢あ䑁䅯䅉䵂䙁䅑䅉䍂䝁䄸杢歂䑁䄴䅏㙁䑁䅍䅍䅁䅁䈸䅁㙁䅁䅁䅐䑂䡁䅉党歂䝁䅫䅤杁䙁䅑党畂䝁䅅杢あ䑁䅯䅉呂䙁䅑䅉䍂䝁䄸杢歂䑁䄴䅏㙁䑁䅣䅏䅁䙁䅁䅁畁䅁䅁䅐䝂䝁䅣杢杁䕁䅣睢㉂䑁䅯䅉䵂䙁䅑䅉䍂䝁䄸杢歂䑁䄴杍㙁䑁䅍䅍䅁䅁䉳䅁畁䅁䅁䅐䝂䝁䅣杢杁䕁䅣睢㉂䑁䅯䅉呂䙁䅑䅉䍂䝁䄸杢歂䑁䄴杍㙁䑁䅣䅏䅁䝁䅯䅁奁䅁䅁䅐䝂䝁䄸杣杁䙁䅍兙獂䝁䅕材ぁ䅁䅁睤䅁䑁䅁䅁㡁䕁䅣睢㉂䍁䅁兑湂䝁䅍入㙁䍁䅁䅔啂䍁䅁村療䝁䄴䅚⭁䑁䅕杏穁䑁䅁䅁乁允䅁䅍䅁䑁䅷睒療䡁䅙䅉䉂䝁䅣睙㕂䑁䅯䅉呂䙁䅑䅉䍂䝁䄸杢歂䑁䄴兎㙁䑁䅣䅏䅁䕁䅙䅁睁䅁䅁䅐䥂䝁䅕兙獂䡁䅑䅡杁䕁䅍兙祂䝁䅕䅉䕂䝁䅕䅢灂䡁䅙党祂䡁䅫材硁䅁䅁䅘䅁䕁䅑䅁㡁䕁䅧入楂䡁䅉兡歂䍁䅁睕求䝁䅍兤祂䝁䅫䅤灂䝁䅕督㙁䍁䅁䅔啂䍁䅁村療䝁䄴䅚⭁䑁䅅䅏㙁䑁䅍䅍䅁䩁䅍䅁䕂䅁䅁䅐䥂䡁䅫杙祂䝁䅫䅚杁䙁䅍党橂䡁䅕杣灂䡁䅑兡求䡁䅍杏杁䙁䅍䅖杁䕁䅉睢畂䝁䅑材硁䑁䅧杏㍁䑁䅧䅁扃䅁䅁杋䅁䑁䅷兓畂䝁䅍睢瑂䝁䅕䅉兂䡁䅉睢歂䡁䅕睙あ䝁䅫睢畂䑁䄴睍䅁偁䄰䅁潁䅁䅁䅐䩂䝁䄴䅚獂䑁䅯䅉䵂䙁䅑䅉䍂䝁䄸杢歂䑁䄴睎㙁䑁䅍䅍䅁䅁䉣䅁潁䅁䅁䅐䩂䝁䄴䅚獂䑁䅯䅉呂䙁䅑䅉䍂䝁䄸杢歂䑁䄴睎㙁䑁䅣䅏䅁䭁䅍䅁㙁䅁䅁䅐䩂䝁䄴䅚ㅂ䡁䅍䅤祂䝁䅫兙獂䑁䅯䅉䑂䝁䄸兢瑂䍁䅁睕あ䝁䄸睙牂䑁䄴睎㙁䑁䅉兏䅁䍁䉁䅁捁䅁䅁䅐䩂䝁䄴䅚ㅂ䡁䅍䅤祂䝁䅫兙獂䑁䄴睎䅁䉁䉍䅁䍂䅁䅁䅐䵂䙁䅑䅉䑂䝁䄸兢杁䕁䄰杣あ䝁䅣兌䩂䝁䄴督癁䕁䅣兤桂䡁䅉杢杁䕁䅙睢祂䝁䅍䅢穂䑁䄴李㑁䅁䅁睥䅁䕁䅯䅁㡁䕁䅷䅖杁䕁䅍睢瑂䍁䅁兔祂䡁䅑睚瑁䕁䅫杢穂䍁䄸睒ㅂ䝁䅅杣畂䍁䅁睒療䝁䄸䅚杁䙁䅍䅤畂䝁䅑睚⭁䑁䅑䅎䅁䑁䉑䅁䭂䅁䅁䅐䵂䙁䅑䅉䑂䝁䄸兢杁䕁䄰杣あ䝁䅣兌䩂䝁䄴督癁䕁䅣兤桂䡁䅉杢杁䕁䄸杤求䡁䅉䅚ㅂ䝁䅕䅉㕁䑁䅁材㉁䑁䅁䅁啂允䅁䅒䅁䑁䅷䅔啂䍁䅁睑療䝁䄰䅉乂䡁䅉䅤湂䍁䄰兓畂䡁䅍睌䡂䡁䅕兙祂䝁䄴䅉卂䝁䅕督あ䡁䅉兤橂䑁䄴兎祁䅁䅁䅐䅅䑁䅙䅁㡁䕁䅷䅖杁䕁䅍睢瑂䍁䅁兔祂䡁䅑睚瑁䕁䄸䅤潂䍁䅁杒療䡁䅉睙獂䡁䅍材㉁䑁䅫䅁䙃䅁䅁材䅁䑁䅷䅔啂䍁䅁睑療䝁䄰䅉乂䡁䅉䅤湂䍁䄰睔あ䝁䅧䅉䡂䝁䄸睢歂䍁䅁睕あ䝁䄴䅚湂䑁䄴䅎ㅁ䅁䅁兆䅅䑁䄴䅁㡁䕁䅷䅖杁䕁䅍睢瑂䍁䅁兔祂䡁䅑睚瑁䕁䄸䅤潂䍁䅁睔㉂䝁䅕杣歂䡁䅕党杁䑁䅫䅍⭁䑁䅙免䅁䕁䉯䅁㑁䅁䅁䅐䵂䙁䅑䅉䑂䝁䄸兢杁䕁䄰杣あ䝁䅣兌偂䡁䅑䅡杁䙁䅉党穂䡁䅑杣ㅂ䝁䅍材ㅁ䑁䅍䅁䅂允䅁材䅁䑁䅷䅔啂䍁䅁杒桂䡁䅉兢杁䕁䄰杣あ䝁䅣䅉䡂䝁䄸睢歂䍁䅁睕あ䝁䅅杢歂䝁䅫杢湂䑁䄴䅎硁䅁䅁杍䅅䑁䅁䅁㡁䕁䅷䅖杁䕁䅙兙祂䝁䄰䅉乂䡁䅉䅤湂䍁䄰杒療䡁䅉睙獂䡁䅍材㉁䑁䅕䅁㥂䅁䅁䅏䅁䑁䅷䅔啂䍁䅁杒桂䡁䅉兢杁䕁䄰杣あ䝁䅣兌偂䡁䅙党祂䝁䅑兤求䍁䅁兏睁䑁䄴兎㍁䅁䅁杕䅅䑁䅉䅁㡁䕁䅷䅖杁䕁䅙兙祂䝁䄰䅉乂䡁䅉䅤湂䍁䄰杕求䡁䅍䅤祂䡁䅕睙⭁䑁䅑兏䅁䑁䉯䅁畁䅁䅁䅐䵂䙁䅑䅉乂䝁䅕来杁䕁䅷睢桂䝁䄴兌䝂䝁䄸杣橂䝁䅷督⭁䑁䅣䅍䅁䥁䅅䅁㉁䅁䅁䅐䵂䙁䅑䅉乂䝁䅕来杁䕁䅷睢桂䝁䄴兌䡂䝁䄸睢歂䍁䅁睕あ䝁䄴䅚湂䑁䄴䅎㉁䅁䅁䅍䅅䑁䅙䅁㡁䕁䅷䅖杁䕁䄰党㙂䍁䅁䅔療䝁䅅杢瑁䕁䄸杤求䡁䅉䅚ㅂ䝁䅕䅉㕁䑁䅁材㉁䑁䅉䅁兂允䅁䅍䅁䑁䅷䅔啂䍁䅁兔求䡁䅯䅉䵂䝁䄸兙畂䍁䄰杕求䡁䅍䅤祂䡁䅕睙⭁䑁䅕䅎䅁䕁䉙䅁㙁䅁䅁䅐䵂䙁䅑䅉乂䝁䄸杣あ䝁䅣兙湂䝁䅕督瑁䕁䅙睢祂䝁䅕睙獂䝁䄸督ㅂ䡁䅉党⭁䑁䅣杍䅁䥁䅫䅁⭁䅁䅁䅐䵂䙁䅑䅉乂䝁䄸杣あ䝁䅣兙湂䝁䅕督瑁䕁䅣睢療䝁䅑䅉呂䡁䅑兙畂䝁䅑兡畂䝁䅣材ぁ䑁䅧䅁㑁允䅁䅏䅁䑁䅷䅔啂䍁䅁兔療䡁䅉䅤湂䝁䅅睚求䡁䅍兌偂䡁䅙党祂䝁䅑兤求䍁䅁兏睁䑁䄴李ぁ䅁䅁䅔䅅䑁䅷䅁㡁䕁䅷䅖杁䕁䄰睢祂䡁䅑睚桂䝁䅣党穂䍁䄰杕求䡁䅍䅤祂䡁䅕睙あ䡁䅕杣求䝁䅑材ㅁ䑁䅙䅁䍂允䅁䅊䅁䑁䅷䅔啂䍁䅁兔祂䡁䅑睚杁䕁䅷睢桂䝁䄴督⭁䑁䅉免䅁䥁䄰䅁䍂䅁䅁䅐䵂䙁䅑䅉卂䝁䅕督杁䕁䄰杣あ䝁䅣兌䩂䝁䄴督癁䕁䅣兤桂䡁䅉杢杁䕁䅙睢祂䝁䅍䅢穂䑁䄴李㉁䅁䅁䅤䅁䕁䅯䅁㡁䕁䅷䅖杁䙁䅉党穂䍁䅁兔祂䡁䅑睚瑁䕁䅫杢穂䍁䄸睒ㅂ䝁䅅杣畂䍁䅁睒療䝁䄸䅚杁䙁䅍䅤畂䝁䅑睚⭁䑁䅑杍䅁䑁䉙䅁䭂䅁䅁䅐䵂䙁䅑䅉卂䝁䅕督杁䕁䄰杣あ䝁䅣兌䩂䝁䄴督癁䕁䅣兤桂䡁䅉杢杁䕁䄸杤求䡁䅉䅚ㅂ䝁䅕䅉㕁䑁䅁材ㅁ䑁䅧䅁䥂允䅁䅒䅁䑁䅷䅔啂䍁䅁杕求䡁䅍䅉乂䡁䅉䅤湂䍁䄰兓畂䡁䅍睌䡂䡁䅕兙祂䝁䄴䅉卂䝁䅕督あ䡁䅉兤橂䑁䄴兎睁䅁䅁杉䅅䑁䅙䅁㡁䕁䅷䅖杁䙁䅉党穂䍁䅁兔祂䡁䅑睚瑁䕁䄸䅤潂䍁䅁杒療䡁䅉睙獂䡁䅍材㉁䑁䅣䅁㕂䅁䅁材䅁䑁䅷䅔啂䍁䅁杕求䡁䅍䅉乂䡁䅉䅤湂䍁䄰睔あ䝁䅧䅉䡂䝁䄸睢歂䍁䅁睕あ䝁䄴䅚湂䑁䄴䅎穁䅁䅁杌䅅䑁䄴䅁㡁䕁䅷䅖杁䙁䅉党穂䍁䅁兔祂䡁䅑睚瑁䕁䄸䅤潂䍁䅁睔㉂䝁䅕杣歂䡁䅕党杁䑁䅫䅍⭁䑁䅕兏䅁䕁䈴䅁㑁䅁䅁䅐䵂䙁䅑䅉卂䝁䅕督杁䕁䄰杣あ䝁䅣兌偂䡁䅑䅡杁䙁䅉党穂䡁䅑杣ㅂ䝁䅍材ㅁ䑁䅅䅁䕂允䅁李䅁䑁䅷䅔啂䍁䅁兖畂䝁䅍䅢桂䡁䅍督杁䕁䄰杣あ䝁䅣兌䝂䝁䄸杣橂䝁䅷督⭁䑁䅣免䅁䡁䄸䅁⭁䅁䅁䅐䵂䙁䅑䅉噂䝁䄴睙獂䝁䅅督穂䍁䅁兔祂䡁䅑睚瑁䕁䅣睢療䝁䅑䅉呂䡁䅑杢歂䝁䅣材ぁ䑁䅣䅁癄䅁䅁材䅁䑁䅷䅔啂䍁䅁兖畂䝁䅍䅢桂䡁䅍督杁䕁䄰杣あ䝁䅣兌偂䡁䅙党祂䝁䅑兤求䍁䅁兏睁䑁䄴李穁䅁䅁杖䅅䕁䅉䅁㡁䕁䅷䅖杁䙁䅕杢橂䝁䅷兙穂䡁䅍䅉乂䡁䅉䅤湂䍁䄰杕求䡁䅍䅤祂䡁䅕睙あ䡁䅕杣求䝁䅑材ㅁ䑁䅕䅁⭁允䅁䅍䅁䑁䅷兔乂䕁䄰杒㙁䍁䅁睑療䝁䄰兢杁䙁䅍䅤療䝁䅍睡⭁䑁䅅杍㙁䑁䅉兏䅁䉁䈴䅁䅂䅁䅁䅐乂䡁䅕䅤ㅂ䝁䅅䅢杁䕁䅙兤畂䝁䅑督㙁䍁䅁睑療䝁䄰兢杁䙁䅍䅤療䝁䅍睡⭁䑁䅅免㙁䑁䅉兏䅁䍁䉑䅁奁䅁䅁䅐偂䝁䅍睙ㅂ䡁䅁兡求䝁䅑材ㅁ䅁䅁眫䅁䍁䅯䅁㡁䙁䅁兙祂䝁䅕杢あ䡁䅍䅌杁䙁䅍兤楂䍁䅷䅉䉂䝁䅙杚⭁䑁䅫䅁奁允䅁䅌䅁䑁䅷䅕ㅂ䝁䅉䅉噂䡁䅑杏杁䕁䅷䅖杁䕁䅉睢畂䝁䅑材㉁䑁䅯睍睁䅁䅁允䅅䍁䅷䅁㡁䙁䅁兤楂䍁䅁兖あ䑁䅯䅉呂䙁䅑䅉䍂䝁䄸杢歂䑁䄴李㙁䑁䅣䅏䅁䩁䅅䅁ぁ䅁䅁䅐兂䡁䅕杙杁䙁䅕䅤穂䑁䅯䅉䑂䝁䄸兢瑂䍁䅁睕あ䝁䄸睙牂䑁䄴李㙁䑁䅉兏䅁䍁䉙䅁坁䅁䅁䅐兂䡁䅕杙杁䙁䅕䅤穂䑁䄴李䅁䉁䉯䅁獁䅁䅁䅐呂䡁䅕杙杁䙁䅕睕㙁䍁䅁䅔啂䍁䅁村療䝁䄴䅚⭁䑁䅑杏穁䑁䅁䅁䙁允䅁䅌䅁䑁䅷睕ㅂ䝁䅉䅉噂䙁䅍杏杁䙁䅍䅖杁䕁䅉睢畂䝁䅑材ぁ䑁䅯睎㑁䅁䅁睧䅁䉁䅯䅁㡁䙁䅑睢あ䝁䅅䅢杁䙁䅉兒⭁䑁䅅睍䅁䙁䄴䅁睁䅁䅁䅐啂䝁䄸䅤桂䝁䅷杏杁䕁䅍睢瑂䝁䄰䅉呂䡁䅑睢橂䝁䅳材佂䑁䅯杍㕁䅁䅁杋䅅䍁䅯䅁㡁䙁䅑睢あ䝁䅅䅢㙁䍁䅁䅔啂䍁䅁村療䝁䄴䅚⭁䕁䄴杏穁䑁䅁䅁剁允䅁䅔䅁䑁䅷䅖療䡁䅑兙獂䑁䅯䅉佂䝁䄸杢瑁䕁䅍睢畂䝁䅙睢祂䝁䄰兡畂䝁䅣䅉䵂䙁䅑䅉䉂䡁䅍督求䡁䅑督⭁䕁䄴杏ぁ䑁䅁䅁㕄䅁䅁䅑䅁䑁䅷䅖療䡁䅑兙獂䑁䅯䅉偂䡁䅑䅡杁䙁䅍䅖杁䕁䅫杢㉂䝁䅕督あ䝁䄰党畂䡁䅑督⭁䕁䄴杏㍁䑁䅑䅁摃䅁䅁杋䅁䑁䅷䅖療䡁䅑兙獂䑁䅯䅉呂䙁䅑䅉䍂䝁䄸杢歂䑁䄴杔㙁䑁䅣䅏䅁䩁䅕䅁㙁䅁䅁䅐啂䝁䄸䅤桂䝁䅷杏杁䙁䅍䅖杁䕁䅍䅢穂䍁䅁睔畂䝁䅕䅉乂䕁䄰兔䝂䑁䄴杔㙁䑁䅣睎䅁䥁䅳䅁㉁䅁䅁䅐啂䝁䄸䅤桂䝁䅷杏杁䙁䅍䅖杁䕁䅕䅥瑂䡁䅁䅤杁䕁䄰兔乂䕁䅙材佂䑁䅯睎㉁䅁䅁䅢䅁䑁䅧䅁㡁䙁䅑睢あ䝁䅅䅢㙁䍁䅁睕啂䍁䅁兓畂䡁䅙党穂䡁䅑兢求䝁䄴䅤穂䑁䄴杔㙁䑁䅣兎䅁䭁䅳䅁㉁䅁䅁䅐啂䝁䄸䅤桂䝁䅷杏杁䙁䅍䅖杁䕁䄰杣あ䝁䅣䅉䵂䝁䄸兙畂䡁䅍材佂䑁䅯睎穁䅁䅁兰䅁䍁䅧䅁㡁䙁䅑睢あ䝁䅅䅢㙁䍁䅁睕あ䝁䄸睙牂䡁䅍材佂䑁䅯睍㑁䅁䅁䅌䅅䉁䅑䅁㡁䙁䅑睢あ䝁䅅䅢⭁䑁䅉兏䅁䉁䉣䅁十䅁䅁䅐啂䝁䄸䅤桂䝁䅷材㉁䅁䅁杤䅁䑁䅑䅁㡁䙁䅕睕杁䕁䅙党歂䍁䅁睒療䡁䅙杏杁䕁䅷䅖杁䕁䅉睢畂䝁䅑材硁䑁䅯睍睁䅁䅁睁䅅䑁䅑䅁㡁䙁䅕睕杁䕁䅙党歂䍁䅁睒療䡁䅙杏杁䙁䅍䅖杁䕁䅉睢畂䝁䅑材硁䑁䅯睎㑁䅁䅁杕䅁䍁䅷䅁㡁䙁䅕睕杁䙁䅁睢穂䑁䅯䅉䵂䙁䅑䅉䍂䝁䄸杢歂䑁䄴睍㙁䑁䅍䅍䅁偁䄸䅁獁䅁䅁䅐噂䙁䅍䅉兂䝁䄸督㙁䍁䅁睕啂䍁䅁村療䝁䄴䅚⭁䑁䅍杏㍁䑁䅧䅁偃䅁䅁䅏䅁䑁䅷兖畂</t>
  </si>
  <si>
    <t>䝁䅅杚浂䑁䅯䅉䑂䝁䅅䅣灂䡁䅑兙獂䍁䅁杔療䡁䅑党穂䑁䄴免ㅁ䑁䅯免ぁ䅁䅁䅙䅁䑁䄴䅁㡁䙁䅕杢桂䝁䅙杚㙁䍁䅁睑療䝁䅷䅢桂䡁䅑党祂䝁䅅䅢杁䕁䅷睢桂䝁䄴督⭁䑁䅅兎㙁䑁䅅睍䅁䵁䅫䅁㑁䅁䅁䅐噂䝁䄴兙浂䝁䅙杏杁䕁䅙兡㑂䍁䄸杖桂䡁䅉杏杁䕁䅉睢畂䝁䅑督⭁䑁䅅兎㙁䑁䅑䅁䙄䅁䅁䅑䅁䑁䅷兖畂䝁䅅杚浂䑁䅯䅉䝂䝁䅫䅥癁䙁䅙兙祂䑁䅯䅉乂䡁䅉䅤湂䍁䅁杒ㅂ䝁䄴䅚⭁䑁䅅兎㙁䑁䅕䅁塃䅁䅁䅒䅁䑁䅷兖畂䝁䅅杚浂䑁䅯䅉䝂䝁䅫䅥癁䙁䅙兙祂䑁䅯䅉偂䡁䅑䅡杁䕁䅙兡㑂䍁䅁兓畂䝁䅍材硁䑁䅕杏㉁䅁䅁具䅁䕁䄴䅁㡁䙁䅕杢桂䝁䅙杚㙁䍁䅁睒ㅂ䝁䅅杣桂䝁䄴䅤求䝁䅕䅚杁䕁䅙党歂䝁䅕杣桂䝁䅷䅉䵂䕁䅫䅓啂䕁䅍材硁䑁䅕杏硁䑁䅕䅁奂䅁䅁䅔䅁䑁䅷兖畂䝁䅅杚浂䑁䅯䅉䡂䡁䅕兙祂䝁䅅杢あ䝁䅕党歂䍁䅁睕あ䝁䅅䅤求䍁䅁䅔䩂䕁䅧䅖䑂䑁䄴免ㅁ䑁䅯免㍁䑁䅫䅁䱄䅁䅁杒䅁䑁䅷兖畂䝁䅅杚浂䑁䅯䅉䭂䙁䅙䅉䵂䕁䅷睑穂䑁䅯䅉乂䡁䅉䅤湂䍁䅁䅔療䝁䅅杢穂䑁䄴免ㅁ䑁䅯免㍁䑁䅧䅁㕃䅁䅁䅓䅁䑁䅷兖畂䝁䅅杚浂䑁䅯䅉䭂䙁䅙䅌杁䕁䅷䅔䑂䡁䅍杏杁䕁䅍睢瑂䝁䄰睢畂䍁䅁睕あ䝁䄸睙牂䑁䄴免ㅁ䑁䅯䅏䅁䩁䄸䅁䕂䅁䅁䅐噂䝁䄴兙浂䝁䅙杏杁䕁䅯杖獁䍁䅁䅔䵂䕁䅍督㙁䍁䅁杒灂䡁䅧䅉䩂䝁䄴睙療䝁䄰党⭁䑁䅅兎㙁䑁䅣䅁㝃䅁䅁䅐䅁䑁䅷兖畂䝁䅅杚浂䑁䅯䅉䭂䙁䅙䅌杁䕁䅷䅔䑂䡁䅍杏杁䕁䄸䅤潂䝁䅕杣⭁䑁䅅兎㙁䑁䅅䅍䅁䱁䅅䅁䝂䅁䅁䅐噂䝁䄴兙浂䝁䅙杏杁䕁䅯杖獁䍁䅁䅔䵂䕁䅍督㙁䍁䅁杕求䝁䅅䅢杁䕁䅕督あ䝁䅅䅤求䑁䄴免ㅁ䑁䅯兏䅁䵁䅣䅁㑁䅁䅁䅐噂䝁䄴兙浂䝁䅙杏杁䕁䄰兡畂䝁䅕杣桂䝁䅷䅉卂䝁䅫睚潂䡁䅑督⭁䑁䅅兎㙁䑁䅍䅁婃䅁䅁杔䅁䑁䅷兖畂䝁䅅杚浂䑁䅯䅉佂䝁䄸杢瑁䕁䅍睢畂䝁䅙睢祂䝁䄰兡畂䝁䅣䅉䵂䙁䅑䅉䉂䡁䅍督求䡁䅑督⭁䑁䅅兎㙁䑁䅑䅍䅁䵁䅍䅁佂䅁䅁䅐噂䝁䄴兙浂䝁䅙杏杁䕁䄴睢畂䍁䄰睒ㅂ䝁䅅杣桂䝁䄴䅤求䝁䅕䅚杁䕁䅙党歂䍁䅁䅔䩂䕁䅧䅖䑂䑁䄴免ㅁ䑁䅯免㉁䅁䅁兴䅁䙁䅑䅁㡁䙁䅕杢桂䝁䅙杚㙁䍁䅁杔療䝁䄴兌湂䡁䅕兙祂䝁䅅杢あ䝁䅕党歂䍁䅁睕あ䝁䅅䅤求䍁䅁䅔䩂䕁䅧䅖䑂䑁䄴免ㅁ䑁䅯免㑁䑁䅁䅁瑃䅁䅁杒䅁䑁䅷兖畂䝁䅅杚浂䑁䅯䅉佂䝁䄸杢橂䝁䄸䅢獂䝁䅅䅤求䡁䅉兙獂䍁䅁䅔療䝁䅅杢穂䑁䄴免ㅁ䑁䅯免ㅁ䑁䅉䅁穃䅁䅁䅒䅁䑁䅷兖畂䝁䅅杚浂䑁䅯䅉偂䝁䅫䅢杁䍁䅙䅉䡂䝁䅅督杁䙁䅁杣療䝁䅑兤橂䡁䅑兡療䝁䄴材硁䑁䅕杏硁䅁䅁睶䅁䑁䅙䅁㡁䙁䅕杢桂䝁䅙杚㙁䍁䅁睔あ䝁䅧党祂䍁䅁兑穂䡁䅍党あ䡁䅍材硁䑁䅕杏硁䑁䅫䅁㍃䅁䅁䅎䅁䑁䅷兖畂䝁䅅杚浂䑁䅯䅉偂䡁䅑䅡求䡁䅉䅉䵂䕁䅫䅓啂䕁䅍材硁䑁䅕杏硁䑁䅧䅁㥃䅁䅁䅎䅁䑁䅷兖畂䝁䅅杚浂䑁䅯䅉呂䡁䅑兙あ䝁䅕䅉䵂䕁䅫䅓啂䕁䅍材硁䑁䅕杏硁䑁䅣䅁䥂䅁䅁村䅁䑁䅷兖畂䝁䅅杚浂䑁䅯䅉呂䡁䅕杣睂䝁䅷兤穂䍁䅁䅒求䝁䅉党畂䡁䅑兤祂䝁䅕督⭁䑁䅅兎㙁䑁䅅杍䅁䭁䅣䅁㙁䅁䅁䅐噂䝁䄴兙浂䝁䅙杏杁䙁䅑杣桂䝁䄴督睂䝁䄸杣あ䍁䅁兒硂䡁䅕兡睂䑁䄴免ㅁ䑁䅯杍䅁䭁䄸䅁歂䅁䅁䅐噂䝁䄴兙浂䝁䅙杏杁䙁䅣睢祂䝁䅳兡畂䝁䅣䅉䑂䝁䅅䅣灂䡁䅑兙獂䍁䅁杒灂䝁䄴兙畂䝁䅍党杁䕁䅫杢㉂䝁䅕督あ䝁䄰党畂䡁䅑材硁䑁䅕杏硁䑁䅧免䅁䵁䄰䅁啄䅁䅁児呂䕁䄴䅔䵂䝁䅅杙求䝁䅷䅋祁䑁䅧睎獁䑁䅅免ぁ䑁䅉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䅆䅁䄱䅁䑁䄰睕佂䕁䅷䅔桂䝁䅉党獂䍁䅧杍㑁䑁䅣䅌硁䑁䅅䅎祁䑁䅅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砸䅑乁䅑䅁㥁䙁䅍杔䵂䕁䅷兙楂䝁䅕䅢潁䑁䅉䅏㍁䍁䅷免硁䑁䅑杍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啉䅁啄䅁䅁児呂䕁䄴䅔䵂䝁䅅杙求䝁䅷䅋祁䑁䅧睎獁䑁䅅免ぁ䑁䅉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ㅄ䅆䅁䄱䅁䑁䄰睕佂䕁䅷䅔桂䝁䅉党獂䍁䅧杍㑁䑁䅣䅌硁䑁䅅䅎祁䑁䅅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样䅑乁䅑䅁㥁䙁䅍杔䵂䕁䅷兙楂䝁䅕䅢潁䑁䅉䅏㍁䍁䅷免硁䑁䅑杍硁䑁䅧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啧䅁啄䅁䅁児呂䕁䄴䅔䵂䝁䅅杙求䝁䅷䅋祁䑁䅧睎獁䑁䅅免ぁ䑁䅉免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㝄䅆䅁䄱䅁䑁䄰睕佂䕁䅷䅔桂䝁䅉党獂䍁䅧杍㑁䑁䅣䅌硁䑁䅅䅎祁䑁䅉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刯䅑乁䅑䅁㥁䙁䅍杔䵂䕁䅷兙楂䝁䅕䅢潁䑁䅉䅏㍁䍁䅷免硁䑁䅑杍祁䑁䅅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唸䅁啄䅁䅁児呂䕁䄴䅔䵂䝁䅅杙求䝁䅷䅋祁䑁䅧睎獁䑁䅅免ぁ䑁䅉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㡄䅆䅁䄱䅁䑁䄰睕佂䕁䅷䅔桂䝁䅉党獂䍁䅧杍㑁䑁䅣䅌硁䑁䅅䅎祁䑁䅉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根䅑乁䅑䅁㥁䙁䅍杔䵂䕁䅷兙楂䝁䅕䅢潁䑁䅉䅏㍁䍁䅷免硁䑁䅑杍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噑䅁啄䅁䅁児呂䕁䄴䅔䵂䝁䅅杙求䝁䅷䅋祁䑁䅧睎獁䑁䅅免ぁ䑁䅉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䩁兆䅁䄱䅁䑁䄰睕佂䕁䅷䅔桂䝁䅉党獂䍁䅧杍㑁䑁䅣䅌硁䑁䅅䅎祁䑁䅉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券䅑乁䅑䅁㥁䙁䅍杔䵂䕁䅷兙楂䝁䅕䅢潁䑁䅉䅏㍁䍁䅷免硁䑁䅑杍祁䑁䅣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噧䅁啄䅁䅁児呂䕁䄴䅔䵂䝁䅅杙求䝁䅷䅋祁䑁䅧睎獁䑁䅅免ぁ䑁䅉杍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兆䅁䄱䅁䑁䄰睕佂䕁䅷䅔桂䝁䅉党獂䍁䅧杍㑁䑁䅣䅌硁䑁䅅䅎祁䑁䅉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栯䅑乁䅑䅁㥁䙁䅍杔䵂䕁䅷兙楂䝁䅕䅢潁䑁䅉䅏㍁䍁䅷免硁䑁䅑杍穁䑁䅁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噯䅁啄䅁䅁児呂䕁䄴䅔䵂䝁䅅杙求䝁䅷䅋祁䑁䅧睎獁䑁䅅免ぁ䑁䅉睍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癄䅆䅁䄱䅁䑁䄰睕佂䕁䅷䅔桂䝁䅉党獂䍁䅧杍㑁䑁䅣䅌硁䑁䅅䅎祁䑁䅍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桁䅕乁䅑䅁㥁䙁䅍杔䵂䕁䅷兙楂䝁䅕䅢潁䑁䅉䅏㍁䍁䅷免硁䑁䅑杍穁䑁䅍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啯䅁啄䅁䅁児呂䕁䄴䅔䵂䝁䅅杙求䝁䅷䅋祁䑁䅧睎獁䑁䅅免ぁ䑁䅉睍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䅁兆䅁䄱䅁䑁䄰睕佂䕁䅷䅔桂䝁䅉党獂䍁䅧杍㑁䑁䅣䅌硁䑁䅅䅎祁䑁䅍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剂䅕乁䅑䅁㥁䙁䅍杔䵂䕁䅷兙楂䝁䅕䅢潁䑁䅉䅏㍁䍁䅷免硁䑁䅑杍穁䑁䅙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啣䅁啄䅁䅁児呂䕁䄴䅔䵂䝁䅅杙求䝁䅷䅋祁䑁䅧睎獁䑁䅅免ぁ䑁䅉睍㍁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䉁兆䅁䄱䅁䑁䄰睕佂䕁䅷䅔桂䝁䅉党獂䍁䅧杍㑁䑁䅣䅌硁䑁䅅䅎祁䑁䅍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䈸䅑乁䅑䅁㥁䙁䅍杔䵂䕁䅷兙楂䝁䅕䅢潁䑁䅉䅏㍁䍁䅷免硁䑁䅑杍穁䑁䅫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啑䅁啄䅁䅁児呂䕁䄴䅔䵂䝁䅅杙求䝁䅷䅋祁䑁䅧睎獁䑁䅅免ぁ䑁䅉䅎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兆䅁䄱䅁䑁䄰睕佂䕁䅷䅔桂䝁䅉党獂䍁䅧杍㑁䑁䅣䅌硁䑁䅅䅎祁䑁䅑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硂䅕乁䅑䅁㥁䙁䅍杔䵂䕁䅷兙楂䝁䅕䅢潁䑁䅉䅏㍁䍁䅷免硁䑁䅑杍ぁ䑁䅉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啫䅁䅂䅁䅁児呂䕁䄴䅔䵂䝁䅅杙求䝁䅷䅋祁䑁䅧睎獁䑁䅅杍睁䑁䅣兏ㅁ䍁䅷䅌楁䑁䅷材硁䑁䅕杏硁䍁䅉克䅁䉁䍷䅁坄䅁䅁児呂䕁䄴䅔䵂䝁䅅杙求䝁䅷䅋祁䑁䅧睎獁䑁䅅杍睁䑁䅣兏ㅁ䍁䅷䅌楁䑁䅷材硁䑁䅕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䙫䅁䍂䅁䅁児呂䕁䄴䅔䵂䝁䅅杙求䝁䅷䅋祁䑁䅧睎獁䑁䅅杍睁䑁䅣兏ㅁ䍁䅷䅌楁䑁䅷材硁䑁䅕杏硁䑁䅁杉灁䅁䅁先䅉乁䅧䅁㥁䙁䅍杔䵂䕁䅷兙楂䝁䅕䅢潁䑁䅉䅏㍁䍁䅷免祁䑁䅁睎㕁䑁䅕䅌獁䍁䅉䅐⭁䑁䅅兎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煃兂䅁村䅁䑁䄰睕佂䕁䅷䅔桂䝁䅉党獂䍁䅧杍㑁䑁䅣䅌硁䑁䅉䅍㍁䑁䅫兎獁䍁䅷杉㡁䑁䄴免ㅁ䑁䅯免祁䍁䅉克䅁䉁䌴䅁奄䅁䅁児呂䕁䄴䅔䵂䝁䅅杙求䝁䅷䅋祁䑁䅧睎獁䑁䅅杍睁䑁䅣兏ㅁ䍁䅷䅌楁䑁䅷材硁䑁䅕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睱䅕䕁䅉䅁㥁䙁䅍杔䵂䕁䅷兙楂䝁䅕䅢潁䑁䅉䅏㍁䍁䅷免祁䑁䅁睎㕁䑁䅕䅌獁䍁䅉䅐⭁䑁䅅兎㙁䑁䅅睍楁䍁䅫䅁晁杁䅁䄲䅁䑁䄰睕佂䕁䅷䅔桂䝁䅉党獂䍁䅧杍㑁䑁䅣䅌硁䑁䅉䅍㍁䑁䅫兎獁䍁䅷杉㡁䑁䄴免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䙷䅁䍂䅁䅁児呂䕁䄴䅔䵂䝁䅅杙求䝁䅷䅋祁䑁䅧睎獁䑁䅅杍睁䑁䅣兏ㅁ䍁䅷䅌楁䑁䅷材硁䑁䅕杏硁䑁䅑杉灁䅁䅁䅉䅉乁䅧䅁㥁䙁䅍杔䵂䕁䅷兙楂䝁䅕䅢潁䑁䅉䅏㍁䍁䅷免祁䑁䅁睎㕁䑁䅕䅌獁䍁䅉䅐⭁䑁䅅兎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瑃兂䅁䅒䅁䑁䄰睕佂䕁䅷䅔桂䝁䅉党獂䍁䅧杍㑁䑁䅣䅌硁䑁䅉䅍㍁䑁䅫兎獁䍁䅷杉㡁䑁䄴免ㅁ䑁䅯免ぁ䑁䅙杉灁䅁䅁䅤䅉乁䅯䅁㥁䙁䅍杔䵂䕁䅷兙楂䝁䅕䅢潁䑁䅉䅏㍁䍁䅷免祁䑁䅁睎㕁䑁䅕䅌獁䍁䅉䅐⭁䑁䅅兎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䙑䅁䍂䅁䅁児呂䕁䄴䅔䵂䝁䅅杙求䝁䅷䅋祁䑁䅧睎獁䑁䅅杍睁䑁䅣兏ㅁ䍁䅷䅌楁䑁䅷材硁䑁䅕杏硁䑁䅕杉灁䅁䅁光䅉乁䅧䅁㥁䙁䅍杔䵂䕁䅷兙楂䝁䅕䅢潁䑁䅉䅏㍁䍁䅷免祁䑁䅁睎㕁䑁䅕䅌獁䍁䅉䅐⭁䑁䅅兎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畃兂䅁䅒䅁䑁䄰睕佂䕁䅷䅔桂䝁䅉党獂䍁䅧杍㑁䑁䅣䅌硁䑁䅉䅍㍁䑁䅫兎獁䍁䅷杉㡁䑁䄴免ㅁ䑁䅯免ㅁ䑁䅉杉灁䅁䅁兤䅉乁䅯䅁㥁䙁䅍杔䵂䕁䅷兙楂䝁䅕䅢潁䑁䅉䅏㍁䍁䅷免祁䑁䅁睎㕁䑁䅕䅌獁䍁䅉䅐⭁䑁䅅兎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䙕䅁䍂䅁䅁児呂䕁䄴䅔䵂䝁䅅杙求䝁䅷䅋祁䑁䅧睎獁䑁䅅杍睁䑁䅣兏ㅁ䍁䅷䅌楁䑁䅷材硁䑁䅕杏硁䑁䅙杉灁䅁䅁杉䅉乁䅧䅁㥁䙁䅍杔䵂䕁䅷兙楂䝁䅕䅢潁䑁䅉䅏㍁䍁䅷免祁䑁䅁睎㕁䑁䅕䅌獁䍁䅉䅐⭁䑁䅅兎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癃兂䅁村䅁䑁䄰睕佂䕁䅷䅔桂䝁䅉党獂䍁䅧杍㑁䑁䅣䅌硁䑁䅉䅍㍁䑁䅫兎獁䍁䅷杉㡁䑁䄴免ㅁ䑁䅯免㍁䍁䅉克䅁䍁䍍䅁奄䅁䅁児呂䕁䄴䅔䵂䝁䅅杙求䝁䅷䅋祁䑁䅧睎獁䑁䅅杍睁䑁䅣兏ㅁ䍁䅷䅌楁䑁䅷材硁䑁䅕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䅳䅕䕁䅑䅁㥁䙁䅍杔䵂䕁䅷兙楂䝁䅕䅢潁䑁䅉䅏㍁䍁䅷免祁䑁䅁睎㕁䑁䅕䅌獁䍁䅉䅐⭁䑁䅅兎㙁䑁䅅睎㑁䍁䅉克䅁䡁䍙䅁慄䅁䅁児呂䕁䄴䅔䵂䝁䅅杙求䝁䅷䅋祁䑁䅧睎獁䑁䅅杍睁䑁䅣兏ㅁ䍁䅷䅌楁䑁䅷材硁䑁䅕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浃兂䅁䅒䅁䑁䄰睕佂䕁䅷䅔桂䝁䅉党獂䍁䅧杍㑁䑁䅣䅌硁䑁䅉䅍㍁䑁䅫兎獁䍁䅷杉㡁䑁䄴免ㅁ䑁䅯免㍁䑁䅫杉灁䅁䅁睤䅉乁䅯䅁㥁䙁䅍杔䵂䕁䅷兙楂䝁䅕䅢潁䑁䅉䅏㍁䍁䅷免祁䑁䅁睎㕁䑁䅕䅌獁䍁䅉䅐⭁䑁䅅兎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䙣䅁䍂䅁䅁児呂䕁䄴䅔䵂䝁䅅杙求䝁䅷䅋祁䑁䅧睎獁䑁䅅杍睁䑁䅣兏ㅁ䍁䅷䅌楁䑁䅷材硁䑁䅕杏硁䑁䅧杉灁䅁䅁䅊䅉乁䅧䅁㥁䙁䅍杔䵂䕁䅷兙楂䝁䅕䅢潁䑁䅉䅏㍁䍁䅷免祁䑁䅁睎㕁䑁䅕䅌獁䍁䅉䅐⭁䑁䅅兎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硃兂䅁䅒䅁䑁䄰睕佂䕁䅷䅔桂䝁䅉党獂䍁䅧杍㑁䑁䅣䅌硁䑁䅉䅍㍁䑁䅫兎獁䍁䅷杉㡁䑁䄴免ㅁ䑁䅯免㑁䑁䅁杉灁䅁䅁䅥䅉乁䅯䅁㥁䙁䅍杔䵂䕁䅷兙楂䝁䅕䅢潁䑁䅉䅏㍁䍁䅷免祁䑁䅁睎㕁䑁䅕䅌獁䍁䅉䅐⭁䑁䅅兎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䙧䅁䕂䅁䅁児呂䕁䄴䅔䵂䝁䅅杙求䝁䅷䅋祁䑁䅧睎獁䑁䅅杍睁䑁䅣兏ㅁ䍁䅷䅌楁䑁䅷材硁䑁䅕杏硁䑁䅧免楁䍁䅫䅁㕂杁䅁朲䅁䑁䄰睕佂䕁䅷䅔桂䝁䅉党獂䍁䅧杍㑁䑁䅣䅌硁䑁䅉䅍㍁䑁䅫兎獁䍁䅷杉㡁䑁䄴免ㅁ䑁䅯免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共䅕䕁䅉䅁㥁䙁䅍杔䵂䕁䅷兙楂䝁䅕䅢潁䑁䅉䅏㍁䍁䅷免祁䑁䅁睎㕁䑁䅕䅌獁䍁䅉䅐⭁䑁䅅兎㙁䑁䅅兏楁䍁䅫䅁汁杁䅁䄲䅁䑁䄰睕佂䕁䅷䅔桂䝁䅉党獂䍁䅧杍㑁䑁䅣䅌硁䑁䅉䅍㍁䑁䅫兎獁䍁䅷杉㡁䑁䄴免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䙉䅁䅂䅁䅁児呂䕁䄴䅔䵂䝁䅅杙求䝁䅷䅋祁䑁䅧睎獁䑁䅅杍睁䑁䅣兏ㅁ䍁䅷䅌楁䑁䅷材硁䑁䅕杏祁䍁䅉克䅁䍁䍙䅁坄䅁䅁児呂䕁䄴䅔䵂䝁䅅杙求䝁䅷䅋祁䑁䅧睎獁䑁䅅杍睁䑁䅣兏ㅁ䍁䅷䅌楁䑁䅷材硁䑁䅕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䙯䅁䅂䅁䅁児呂䕁䄴䅔䵂䝁䅅杙求䝁䅷䅋祁䑁䅧睎獁䑁䅅杍睁䑁䅣兏ㅁ䍁䅷䅌楁䑁䅷材硁䑁䅕杏穁䍁䅉克䅁䙁䌸䅁坄䅁䅁児呂䕁䄴䅔䵂䝁䅅杙求䝁䅷䅋祁䑁䅧睎獁䑁䅅杍睁䑁䅣兏ㅁ䍁䅷䅌楁䑁䅷材硁䑁䅕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䙳䅁䅂䅁䅁児呂䕁䄴䅔䵂䝁䅅杙求䝁䅷䅋祁䑁䅧睎獁䑁䅅杍睁䑁䅣兏ㅁ䍁䅷䅌楁䑁䅷材硁䑁䅕杏ぁ䍁䅉克䅁䑁䍙䅁坄䅁䅁児呂䕁䄴䅔䵂䝁䅅杙求䝁䅷䅋祁䑁䅧睎獁䑁䅅杍睁䑁䅣兏ㅁ䍁䅷䅌楁䑁䅷材硁䑁䅕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䙷䅁䍂䅁䅁児呂䕁䄴䅔䵂䝁䅅杙求䝁䅷䅋祁䑁䅧睎獁䑁䅅杍睁䑁䅣兏ㅁ䍁䅷䅌楁䑁䅷材硁䑁䅕杏ぁ䑁䅁杉灁䅁䅁睎䅉乁䅧䅁㥁䙁䅍杔䵂䕁䅷兙楂䝁䅕䅢潁䑁䅉䅏㍁䍁䅷免祁䑁䅁睎㕁䑁䅕䅌獁䍁䅉䅐⭁䑁䅅兎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穃兂䅁䅑䅁䑁䄰睕佂䕁䅷䅔桂䝁䅉党獂䍁䅧杍㑁䑁䅣䅌硁䑁䅉䅍㍁䑁䅫兎獁䍁䅷杉㡁䑁䄴免ㅁ䑁䅯兎楁䍁䅫䅁灁杁䅁朱䅁䑁䄰睕佂䕁䅷䅔桂䝁䅉党獂䍁䅧杍㑁䑁䅣䅌硁䑁䅉䅍㍁䑁䅫兎獁䍁䅷杉㡁䑁䄴免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瑂兂䅁䅑䅁䑁䄰睕佂䕁䅷䅔桂䝁䅉党獂䍁䅧杍㑁䑁䅣䅌硁䑁䅉䅍㍁䑁䅫兎獁䍁䅷杉㡁䑁䄴免ㅁ䑁䅯李楁䍁䅫䅁湂杁䅁朱䅁䑁䄰睕佂䕁䅷䅔桂䝁䅉党獂䍁䅧杍㑁䑁䅣䅌硁䑁䅉䅍㍁䑁䅫兎獁䍁䅷杉㡁䑁䄴免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兂䅁䅑䅁䑁䄰睕佂䕁䅷䅔桂䝁䅉党獂䍁䅧杍㑁䑁䅣䅌硁䑁䅉䅍㍁䑁䅫兎獁䍁䅷杉㡁䑁䄴免ㅁ䑁䅯睎楁䍁䅫䅁灂杁䅁朱䅁䑁䄰睕佂䕁䅷䅔桂䝁䅉党獂䍁䅧杍㑁䑁䅣䅌硁䑁䅉䅍㍁䑁䅫兎獁䍁䅷杉㡁䑁䄴免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兂䅁䅑䅁䑁䄰睕佂䕁䅷䅔桂䝁䅉党獂䍁䅧杍㑁䑁䅣䅌硁䑁䅉䅍㍁䑁䅫兎獁䍁䅷杉㡁䑁䄴免ㅁ䑁䅯䅏楁䍁䅫䅁畂杁䅁朱䅁䑁䄰睕佂䕁䅷䅔桂䝁䅉党獂䍁䅧杍㑁䑁䅣䅌硁䑁䅉䅍㍁䑁䅫兎獁䍁䅷杉㡁䑁䄴免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睂兂䅁䅑䅁䑁䄰睕佂䕁䅷䅔桂䝁䅉党獂䍁䅧杍㑁䑁䅣䅌硁䑁䅉䅍㍁䑁䅫兎獁䍁䅷杉㡁䑁䄴免ㅁ䑁䅯兏楁䍁䅫䅁硂杁䅁朱䅁䑁䄰睕佂䕁䅷䅔桂䝁䅉党獂䍁䅧杍㑁䑁䅣䅌硁䑁䅉䅍㍁䑁䅫兎獁䍁䅷杉㡁䑁䄴免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硂兂䅁材䅁䑁䄰睕佂䕁䅷䅔桂䝁䅉党獂䍁䅧杍㑁䑁䅣䅌硁䑁䅉䅍㍁䑁䅫兎獁䍁䅷杉㡁䑁䄴兏㙁䑁䅅杉灁䅁䅁兔䅉乁䅑䅁㥁䙁䅍杔䵂䕁䅷兙楂䝁䅕䅢潁䑁䅉䅏㍁䍁䅷免祁䑁䅁睎㕁䑁䅕䅌獁䍁䅉䅐⭁䑁䅫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䙉䅁䅂䅁䅁児呂䕁䄴䅔䵂䝁䅅杙求䝁䅷䅋祁䑁䅧睎獁䑁䅅杍睁䑁䅣兏ㅁ䍁䅷䅌楁䑁䅷材㕁䑁䅯免睁䍁䅉克䅁䡁䍯䅁坄䅁䅁児呂䕁䄴䅔䵂䝁䅅杙求䝁䅷䅋祁䑁䅧睎獁䑁䅅杍睁䑁䅣兏ㅁ䍁䅷䅌楁䑁䅷材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䙉䅁䅂䅁䅁児呂䕁䄴䅔䵂䝁䅅杙求䝁䅷䅋祁䑁䅧睎獁䑁䅅杍睁䑁䅣兏ㅁ䍁䅷䅌楁䑁䅷材㕁䑁䅯免祁䍁䅉克䅁䍁䍣䅁坄䅁䅁児呂䕁䄴䅔䵂䝁䅅杙求䝁䅷䅋祁䑁䅧睎獁䑁䅅杍睁䑁䅣兏ㅁ䍁䅷䅌楁䑁䅷材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䙍䅁䅂䅁䅁児呂䕁䄴䅔䵂䝁䅅杙求䝁䅷䅋祁䑁䅧睎獁䑁䅅杍睁䑁䅣兏ㅁ䍁䅷䅌楁䑁䅷材㕁䑁䅯免穁䍁䅉克䅁䝁䍁䅁坄䅁䅁児呂䕁䄴䅔䵂䝁䅅杙求䝁䅷䅋祁䑁䅧睎獁䑁䅅杍睁䑁䅣兏ㅁ䍁䅷䅌楁䑁䅷材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䙑䅁䅂䅁䅁児呂䕁䄴䅔䵂䝁䅅杙求䝁䅷䅋祁䑁䅧睎獁䑁䅅杍睁䑁䅣兏ㅁ䍁䅷䅌楁䑁䅷材㕁䑁䅯免ぁ䍁䅉克䅁䑁䍧䅁坄䅁䅁児呂䕁䄴䅔䵂䝁䅅杙求䝁䅷䅋祁䑁䅧睎獁䑁䅅杍睁䑁䅣兏ㅁ䍁䅷䅌楁䑁䅷材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䙕䅁䍂䅁䅁児呂䕁䄴䅔䵂䝁䅅杙求䝁䅷䅋祁䑁䅧睎獁䑁䅅杍睁䑁䅣兏ㅁ䍁䅷䅌楁䑁䅷材㕁䑁䅯免ぁ䑁䅙杉灁䅁䅁兏䅉乁䅧䅁㥁䙁䅍杔䵂䕁䅷兙楂䝁䅕䅢潁䑁䅉䅏㍁䍁䅷免祁䑁䅁睎㕁䑁䅕䅌獁䍁䅉䅐⭁䑁䅫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ぃ兂䅁䅑䅁䑁䄰睕佂䕁䅷䅔桂䝁䅉党獂䍁䅧杍㑁䑁䅣䅌硁䑁䅉䅍㍁䑁䅫兎獁䍁䅷杉㡁䑁䄴兏㙁䑁䅅兎楁䍁䅫䅁煁杁䅁朱䅁䑁䄰睕佂䕁䅷䅔桂䝁䅉党獂䍁䅧杍㑁䑁䅣䅌硁䑁䅉䅍㍁䑁䅫兎獁䍁䅷杉㡁䑁䄴兏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村䅁䑁䄰睕佂䕁䅷䅔桂䝁䅉党獂䍁䅧杍㑁䑁䅣䅌硁䑁䅉䅍㍁䑁䅫兎獁䍁䅷杉㡁䑁䄴兏㙁䑁䅅兎祁䍁䅉克䅁䍁䍳䅁奄䅁䅁児呂䕁䄴䅔䵂䝁䅅杙求䝁䅷䅋祁䑁䅧睎獁䑁䅅杍睁䑁䅣兏ㅁ䍁䅷䅌楁䑁䅷材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兴䅕䕁䅁䅁㥁䙁䅍杔䵂䕁䅷兙楂䝁䅕䅢潁䑁䅉䅏㍁䍁䅷免祁䑁䅁睎㕁䑁䅕䅌獁䍁䅉䅐⭁䑁䅫杏硁䑁䅙杉灁䅁䅁䅡䅉乁䅙䅁㥁䙁䅍杔䵂䕁䅷兙楂䝁䅕䅢潁䑁䅉䅏㍁䍁䅷免祁䑁䅁睎㕁䑁䅕䅌獁䍁䅉䅐⭁䑁䅫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睤䅕䕁䅁䅁㥁䙁䅍杔䵂䕁䅷兙楂䝁䅕䅢潁䑁䅉䅏㍁䍁䅷免祁䑁䅁睎㕁䑁䅕䅌獁䍁䅉䅐⭁䑁䅫杏硁䑁䅣杉灁䅁䅁条䅉乁䅙䅁㥁䙁䅍杔䵂䕁䅷兙楂䝁䅕䅢潁䑁䅉䅏㍁䍁䅷免祁䑁䅁睎㕁䑁䅕䅌獁䍁䅉䅐⭁䑁䅫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䅥䅕䕁䅉䅁㥁䙁䅍杔䵂䕁䅷兙楂䝁䅕䅢潁䑁䅉䅏㍁䍁䅷免祁䑁䅁睎㕁䑁䅕䅌獁䍁䅉䅐⭁䑁䅫杏硁䑁䅣䅏楁䍁䅫䅁牂杁䅁䄲䅁䑁䄰睕佂䕁䅷䅔桂䝁䅉党獂䍁䅧杍㑁䑁䅣䅌硁䑁䅉䅍㍁䑁䅫兎獁䍁䅷杉㡁䑁䄴兏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䙙䅁䍂䅁䅁児呂䕁䄴䅔䵂䝁䅅杙求䝁䅷䅋祁䑁䅧睎獁䑁䅅杍睁䑁䅣兏ㅁ䍁䅷䅌楁䑁䅷材㕁䑁䅯免㍁䑁䅫杉灁䅁䅁䅢䅉乁䅧䅁㥁䙁䅍杔䵂䕁䅷兙楂䝁䅕䅢潁䑁䅉䅏㍁䍁䅷免祁䑁䅁睎㕁䑁䅕䅌獁䍁䅉䅐⭁䑁䅫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兎獁䍁䅷杉㡁䑁䄴兏㙁䑁䅅䅏楁䍁䅫䅁療杁䅁朱䅁䑁䄰睕佂䕁䅷䅔桂䝁䅉党獂䍁䅧杍㑁䑁䅣䅌硁䑁䅉䅍㍁䑁䅫兎獁䍁䅷杉㡁䑁䄴兏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㕂兂䅁村䅁䑁䄰睕佂䕁䅷䅔桂䝁䅉党獂䍁䅧杍㑁䑁䅣䅌硁䑁䅉䅍㍁䑁䅫兎獁䍁䅷杉㡁䑁䄴兏㙁䑁䅅䅏睁䍁䅉克䅁䡁䍁䅁奄䅁䅁児呂䕁䄴䅔䵂䝁䅅杙求䝁䅷䅋祁䑁䅧睎獁䑁䅅杍睁䑁䅣兏ㅁ䍁䅷䅌楁䑁䅷材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䅵䅕䕁䅁䅁㥁䙁䅍杔䵂䕁䅷兙楂䝁䅕䅢潁䑁䅉䅏㍁䍁䅷免祁䑁䅁睎㕁䑁䅕䅌獁䍁䅉䅐⭁䑁䅫杏硁䑁䅫杉灁䅁䅁杣䅉乁䅙䅁㥁䙁䅍杔䵂䕁䅷兙楂䝁䅕䅢潁䑁䅉䅏㍁䍁䅷免祁䑁䅁睎㕁䑁䅕䅌獁䍁䅉䅐⭁䑁䅫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䅕䑁䄴䅁㥁䙁䅍杔䵂䕁䅷兙楂䝁䅕䅢潁䑁䅉䅏㍁䍁䅷免祁䑁䅁睎㕁䑁䅕䅌獁䍁䅉䅐⭁䑁䅫杏祁䍁䅉克䅁䕁䌴䅁啄䅁䅁児呂䕁䄴䅔䵂䝁䅅杙求䝁䅷䅋祁䑁䅧睎獁䑁䅅杍睁䑁䅣兏ㅁ䍁䅷䅌楁䑁䅷材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䑃兂䅁材䅁䑁䄰睕佂䕁䅷䅔桂䝁䅉党獂䍁䅧杍㑁䑁䅣䅌硁䑁䅉䅍㍁䑁䅫兎獁䍁䅷杉㡁䑁䄴兏㙁䑁䅍杉灁䅁䅁睔䅉乁䅑䅁㥁䙁䅍杔䵂䕁䅷兙楂䝁䅕䅢潁䑁䅉䅏㍁䍁䅷免祁䑁䅁睎㕁䑁䅕䅌獁䍁䅉䅐⭁䑁䅫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䙑䅁⭁䅁䅁児呂䕁䄴䅔䵂䝁䅅杙求䝁䅷䅋祁䑁䅧睎獁䑁䅅杍睁䑁䅣兏ㅁ䍁䅷䅌楁䑁䅷材㕁䑁䅯䅎楁䍁䅫䅁兂杁䅁䄱䅁䑁䄰睕佂䕁䅷䅔桂䝁䅉党獂䍁䅧杍㑁䑁䅣䅌硁䑁䅉䅍㍁䑁䅫兎獁䍁䅷杉㡁䑁䄴兏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全䅕䕁䅁䅁㥁䙁䅍杔䵂䕁䅷兙楂䝁䅕䅢潁䑁䅉䅏㍁䍁䅷免祁䑁䅁睎㕁䑁䅕䅌獁䍁䅉䅐⭁䑁䅫杏ぁ䑁䅁杉灁䅁䅁睥䅉乁䅙䅁㥁䙁䅍杔䵂䕁䅷兙楂䝁䅕䅢潁䑁䅉䅏㍁䍁䅷免祁䑁䅁睎㕁䑁䅕䅌獁䍁䅉䅐⭁䑁䅫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睥䅕䑁䄴䅁㥁䙁䅍杔䵂䕁䅷兙楂䝁䅕䅢潁䑁䅉䅏㍁䍁䅷免祁䑁䅁睎㕁䑁䅕䅌獁䍁䅉䅐⭁䑁䅫杏ㅁ䍁䅉克䅁䙁䍅䅁啄䅁䅁児呂䕁䄴䅔䵂䝁䅅杙求䝁䅷䅋祁䑁䅧睎獁䑁䅅杍睁䑁䅣兏ㅁ䍁䅷䅌楁䑁䅷材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䝃兂䅁材䅁䑁䄰睕佂䕁䅷䅔桂䝁䅉党獂䍁䅧杍㑁䑁䅣䅌硁䑁䅉䅍㍁䑁䅫兎獁䍁䅷杉㡁䑁䄴兏㙁䑁䅙杉灁䅁䅁杕䅉乁䅑䅁㥁䙁䅍杔䵂䕁䅷兙楂䝁䅕䅢潁䑁䅉䅏㍁䍁䅷免祁䑁䅁睎㕁䑁䅕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䙣䅁⭁䅁䅁児呂䕁䄴䅔䵂䝁䅅杙求䝁䅷䅋祁䑁䅧睎獁䑁䅅杍睁䑁䅣兏ㅁ䍁䅷䅌楁䑁䅷材㕁䑁䅯睎楁䍁䅫䅁呂杁䅁䄱䅁䑁䄰睕佂䕁䅷䅔桂䝁䅉党獂䍁䅧杍㑁䑁䅣䅌硁䑁䅉䅍㍁䑁䅫兎獁䍁䅷杉㡁䑁䄴兏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䅩䅕䑁䄴䅁㥁䙁䅍杔䵂䕁䅷兙楂䝁䅕䅢潁䑁䅉䅏㍁䍁䅷免祁䑁䅁睎㕁䑁䅕䅌獁䍁䅉䅐⭁䑁䅫杏㑁䍁䅉克䅁䙁䍑䅁啄䅁䅁児呂䕁䄴䅔䵂䝁䅅杙求䝁䅷䅋祁䑁䅧睎獁䑁䅅杍睁䑁䅣兏ㅁ䍁䅷䅌楁䑁䅷材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䩃兂䅁材䅁䑁䄰睕佂䕁䅷䅔桂䝁䅉党獂䍁䅧杍㑁䑁䅣䅌硁䑁䅉䅍㍁䑁䅫兎獁䍁䅷杉㡁䑁䄴兏㙁䑁䅫杉灁䅁䅁兖䅉乁䅑䅁㥁䙁䅍杔䵂䕁䅷兙楂䝁䅕䅢潁䑁䅉䅏㍁䍁䅷免祁䑁䅁睎㕁䑁䅕䅌獁䍁䅉䅐⭁䑁䅫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䙯䅁⭁䅁䅁児呂䕁䄴䅔䵂䝁䅅杙求䝁䅷䅋祁䑁䅧睎獁䑁䅅杍睁䑁䅣兏ㅁ䍁䅷䅌楁䑁䅷材佂䑁䅯免楁䍁䅫䅁坂杁䅁䄱䅁䑁䄰睕佂䕁䅷䅔桂䝁䅉党獂䍁䅧杍㑁䑁䅣䅌硁䑁䅉䅍㍁䑁䅫兎獁䍁䅷杉㡁䑁䄴杔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睩䅕䕁䅁䅁㥁䙁䅍杔䵂䕁䅷兙楂䝁䅕䅢潁䑁䅉䅏㍁䍁䅷免祁䑁䅁睎㕁䑁䅕䅌獁䍁䅉䅐⭁䕁䄴杏硁䑁䅁杉灁䅁䅁䅦䅉乁䅙䅁㥁䙁䅍杔䵂䕁䅷兙楂䝁䅕䅢潁䑁䅉䅏㍁䍁䅷免祁䑁䅁睎㕁䑁䅕䅌獁䍁䅉䅐⭁䕁䄴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䅦䅕䕁䅁䅁㥁䙁䅍杔䵂䕁䅷兙楂䝁䅕䅢潁䑁䅉䅏㍁䍁䅷免祁䑁䅁睎㕁䑁䅕䅌獁䍁䅉䅐⭁䕁䄴杏硁䑁䅉杉灁䅁䅁䅋䅉乁䅙䅁㥁䙁䅍杔䵂䕁䅷兙楂䝁䅕䅢潁䑁䅉䅏㍁䍁䅷免祁䑁䅁睎㕁䑁䅕䅌獁䍁䅉䅐⭁䕁䄴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兦䅕䕁䅁䅁㥁䙁䅍杔䵂䕁䅷兙楂䝁䅕䅢潁䑁䅉䅏㍁䍁䅷免祁䑁䅁睎㕁䑁䅕䅌獁䍁䅉䅐⭁䕁䄴杏硁䑁䅍杉灁䅁䅁兙䅉乁䅙䅁㥁䙁䅍杔䵂䕁䅷兙楂䝁䅕䅢潁䑁䅉䅏㍁䍁䅷免祁䑁䅁睎㕁䑁䅕䅌獁䍁䅉䅐⭁䕁䄴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杦䅕䕁䅁䅁㥁䙁䅍杔䵂䕁䅷兙楂䝁䅕䅢潁䑁䅉䅏㍁䍁䅷免祁䑁䅁睎㕁䑁䅕䅌獁䍁䅉䅐⭁䕁䄴杏硁䑁䅑杉灁䅁䅁杏䅉乁䅙䅁㥁䙁䅍杔䵂䕁䅷兙楂䝁䅕䅢潁䑁䅉䅏㍁䍁䅷免祁䑁䅁睎㕁䑁䅕䅌獁䍁䅉䅐⭁䕁䄴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睦䅕䕁䅉䅁㥁䙁䅍杔䵂䕁䅷兙楂䝁䅕䅢潁䑁䅉䅏㍁䍁䅷免祁䑁䅁睎㕁䑁䅕䅌獁䍁䅉䅐⭁䕁䄴杏硁䑁䅣䅏楁䍁䅫䅁瑂杁䅁䄲䅁䑁䄰睕佂䕁䅷䅔桂䝁䅉党獂䍁䅧杍㑁䑁䅣䅌硁䑁䅉䅍㍁䑁䅫兎獁䍁䅷杉㡁䑁䄴杔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䙫䅁䅂䅁䅁児呂䕁䄴䅔䵂䝁䅅杙求䝁䅷䅋祁䑁䅧睎獁䑁䅅杍睁䑁䅣兏ㅁ䍁䅷䅌楁䑁䅷材佂䑁䅯免㕁䍁䅉克䅁䡁䍍䅁坄䅁䅁児呂䕁䄴䅔䵂䝁䅅杙求䝁䅷䅋祁䑁䅧睎獁䑁䅅杍睁䑁䅣兏ㅁ䍁䅷䅌楁䑁䅷材佂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䙁䅁⭁䅁䅁児呂䕁䄴䅔䵂䝁䅅杙求䝁䅷䅋祁䑁䅧睎獁䑁䅅杍睁䑁䅣兏ㅁ䍁䅷䅌楁䑁䅷材佂䑁䅯杍楁䍁䅫䅁塂杁䅁䄱䅁䑁䄰睕佂䕁䅷䅔桂䝁䅉党獂䍁䅧杍㑁䑁䅣䅌硁䑁䅉䅍㍁䑁䅫兎獁䍁䅷杉㡁䑁䄴杔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䅪䅕䑁䄴䅁㥁䙁䅍杔䵂䕁䅷兙楂䝁䅕䅢潁䑁䅉䅏㍁䍁䅷免祁䑁䅁睎㕁䑁䅕䅌獁䍁䅉䅐⭁䕁䄴杏穁䍁䅉克䅁䙁䍧䅁啄䅁䅁児呂䕁䄴䅔䵂䝁䅅杙求䝁䅷䅋祁䑁䅧睎獁䑁䅅杍睁䑁䅣兏ㅁ䍁䅷䅌楁䑁䅷材佂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乃兂䅁材䅁䑁䄰睕佂䕁䅷䅔桂䝁䅉党獂䍁䅧杍㑁䑁䅣䅌硁䑁䅉䅍㍁䑁䅫兎獁䍁䅷杉㡁䑁䄴杔㙁䑁䅑杉灁䅁䅁兗䅉乁䅑䅁㥁䙁䅍杔䵂䕁䅷兙楂䝁䅕䅢潁䑁䅉䅏㍁䍁䅷免祁䑁䅁睎㕁䑁䅕䅌獁䍁䅉䅐⭁䕁䄴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䘴䅁䅂䅁䅁児呂䕁䄴䅔䵂䝁䅅杙求䝁䅷䅋祁䑁䅧睎獁䑁䅅杍睁䑁䅣兏ㅁ䍁䅷䅌楁䑁䅷材佂䑁䅯䅎睁䍁䅉克䅁䡁䌰䅁坄䅁䅁児呂䕁䄴䅔䵂䝁䅅杙求䝁䅷䅋祁䑁䅧睎獁䑁䅅杍睁䑁䅣兏ㅁ䍁䅷䅌楁䑁䅷材佂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䙅䅁⭁䅁䅁児呂䕁䄴䅔䵂䝁䅅杙求䝁䅷䅋祁䑁䅧睎獁䑁䅅杍睁䑁䅣兏ㅁ䍁䅷䅌楁䑁䅷材佂䑁䅯兎楁䍁䅫䅁慂杁䅁䄱䅁䑁䄰睕佂䕁䅷䅔桂䝁䅉党獂䍁䅧杍㑁䑁䅣䅌硁䑁䅉䅍㍁䑁䅫兎獁䍁䅷杉㡁䑁䄴杔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睪䅕䑁䄴䅁㥁䙁䅍杔䵂䕁䅷兙楂䝁䅕䅢潁䑁䅉䅏㍁䍁䅷免祁䑁䅁睎㕁䑁䅕䅌獁䍁䅉䅐⭁䕁䄴杏㉁䍁䅉克䅁䙁䍳䅁啄䅁䅁児呂䕁䄴䅔䵂䝁䅅杙求䝁䅷䅋祁䑁䅧睎獁䑁䅅杍睁䑁䅣兏ㅁ䍁䅷䅌楁䑁䅷材佂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元兂䅁材䅁䑁䄰睕佂䕁䅷䅔桂䝁䅉党獂䍁䅧杍㑁䑁䅣䅌硁䑁䅉䅍㍁䑁䅫兎獁䍁䅷杉㡁䑁䄴杔㙁䑁䅣杉灁䅁䅁䅘䅉乁䅑䅁㥁䙁䅍杔䵂䕁䅷兙楂䝁䅕䅢潁䑁䅉䅏㍁䍁䅷免祁䑁䅁睎㕁䑁䅕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䙅䅁⭁䅁䅁児呂䕁䄴䅔䵂䝁䅅杙求䝁䅷䅋祁䑁䅧睎獁䑁䅅杍睁䑁䅣兏ㅁ䍁䅷䅌楁䑁䅷材佂䑁䅯䅏楁䍁䅫䅁摂杁䅁䄱䅁䑁䄰睕佂䕁䅷䅔桂䝁䅉党獂䍁䅧杍㑁䑁䅣䅌硁䑁䅉䅍㍁䑁䅫兎獁䍁䅷杉㡁䑁䄴杔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杫䅕䑁䄴䅁㥁䙁䅍杔䵂䕁䅷兙楂䝁䅕䅢潁䑁䅉䅏㍁䍁䅷免祁䑁䅁睎㕁䑁䅕䅌獁䍁䅉䅐⭁䕁䄴杏㕁䍁䅉克䅁䙁䌴䅁啄䅁䅁児呂䕁䄴䅔䵂䝁䅅杙求䝁䅷䅋祁䑁䅧睎獁䑁䅅杍睁䑁䅣兏ㅁ䍁䅷䅌楁䑁䅷材佂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呃兂䅁䅑䅁䑁䄰睕佂䕁䅷䅔桂䝁䅉党獂䍁䅧杍㑁䑁䅣䅌硁䑁䅉䅍㍁䑁䅫李獁䍁䅷杉㡁䑁䄴免ㅁ䑁䅯免楁䍁䅫䅁⭂杁䅁朱䅁䑁䄰睕佂䕁䅷䅔桂䝁䅉党獂䍁䅧杍㑁䑁䅣䅌硁䑁䅉䅍㍁䑁䅫李獁䍁䅷杉㡁䑁䄴免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䵄兂䅁村䅁䑁䄰睕佂䕁䅷䅔桂䝁䅉党獂䍁䅧杍㑁䑁䅣䅌硁䑁䅉䅍㍁䑁䅫李獁䍁䅷杉㡁䑁䄴免ㅁ䑁䅯免睁䍁䅉克䅁䡁䌸䅁奄䅁䅁児呂䕁䄴䅔䵂䝁䅅杙求䝁䅷䅋祁䑁䅧睎獁䑁䅅杍睁䑁䅣兏㉁䍁䅷䅌楁䑁䅷材硁䑁䅕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眹䅕䕁䅉䅁㥁䙁䅍杔䵂䕁䅷兙楂䝁䅕䅢潁䑁䅉䅏㍁䍁䅷免祁䑁䅁睎㕁䑁䅙䅌獁䍁䅉䅐⭁䑁䅅兎㙁䑁䅅杍楁䍁䅫䅁䅃杁䅁䄲䅁䑁䄰睕佂䕁䅷䅔桂䝁䅉党獂䍁䅧杍㑁䑁䅣䅌硁䑁䅉䅍㍁䑁䅫李獁䍁䅷杉㡁䑁䄴免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䙧䅁䍂䅁䅁児呂䕁䄴䅔䵂䝁䅅杙求䝁䅷䅋祁䑁䅧睎獁䑁䅅杍睁䑁䅣兏㉁䍁䅷䅌楁䑁䅷材硁䑁䅕杏硁䑁䅍杉灁䅁䅁內䅉乁䅧䅁㥁䙁䅍杔䵂䕁䅷兙楂䝁䅕䅢潁䑁䅉䅏㍁䍁䅷免祁䑁䅁睎㕁䑁䅙䅌獁䍁䅉䅐⭁䑁䅅兎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㕄兂䅁村䅁䑁䄰睕佂䕁䅷䅔桂䝁䅉党獂䍁䅧杍㑁䑁䅣䅌硁䑁䅉䅍㍁䑁䅫李獁䍁䅷杉㡁䑁䄴免ㅁ䑁䅯免ぁ䍁䅉克䅁䥁䍉䅁奄䅁䅁児呂䕁䄴䅔䵂䝁䅅杙求䝁䅷䅋祁䑁䅧睎獁䑁䅅杍睁䑁䅣兏㉁䍁䅷䅌楁䑁䅷材硁䑁䅕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末䅕䕁䅑䅁㥁䙁䅍杔䵂䕁䅷兙楂䝁䅕䅢潁䑁䅉䅏㍁䍁䅷免祁䑁䅁睎㕁䑁䅙䅌獁䍁䅉䅐⭁䑁䅅兎㙁䑁䅅䅎㉁䍁䅉克䅁䱁䌴䅁慄䅁䅁児呂䕁䄴䅔䵂䝁䅅杙求䝁䅷䅋祁䑁䅧睎獁䑁䅅杍睁䑁䅣兏㉁䍁䅷䅌楁䑁䅷材硁䑁䅕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䡁杂䅁村䅁䑁䄰睕佂䕁䅷䅔桂䝁䅉党獂䍁䅧杍㑁䑁䅣䅌硁䑁䅉䅍㍁䑁䅫李獁䍁䅷杉㡁䑁䄴免ㅁ䑁䅯免ㅁ䍁䅉克䅁䥁䍍䅁奄䅁䅁児呂䕁䄴䅔䵂䝁䅅杙求䝁䅷䅋祁䑁䅧睎獁䑁䅅杍睁䑁䅣兏㉁䍁䅷䅌楁䑁䅷材硁䑁䅕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眫䅕䕁䅑䅁㥁䙁䅍杔䵂䕁䅷兙楂䝁䅕䅢潁䑁䅉䅏㍁䍁䅷免祁䑁䅁睎㕁䑁䅙䅌獁䍁䅉䅐⭁䑁䅅兎㙁䑁䅅兎祁䍁䅉克䅁䱁䌸䅁慄䅁䅁児呂䕁䄴䅔䵂䝁䅅杙求䝁䅷䅋祁䑁䅧睎獁䑁䅅杍睁䑁䅣兏㉁䍁䅷䅌楁䑁䅷材硁䑁䅕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䥁杂䅁村䅁䑁䄰睕佂䕁䅷䅔桂䝁䅉党獂䍁䅧杍㑁䑁䅣䅌硁䑁䅉䅍㍁䑁䅫李獁䍁䅷杉㡁䑁䄴免ㅁ䑁䅯免㉁䍁䅉克䅁䥁䍑䅁奄䅁䅁児呂䕁䄴䅔䵂䝁䅅杙求䝁䅷䅋祁䑁䅧睎獁䑁䅅杍睁䑁䅣兏㉁䍁䅷䅌楁䑁䅷材硁䑁䅕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䄯䅕䕁䅉䅁㥁䙁䅍杔䵂䕁䅷兙楂䝁䅕䅢潁䑁䅉䅏㍁䍁䅷免祁䑁䅁睎㕁䑁䅙䅌獁䍁䅉䅐⭁䑁䅅兎㙁䑁䅅睎楁䍁䅫䅁䙃杁䅁䄲䅁䑁䄰睕佂䕁䅷䅔桂䝁䅉党獂䍁䅧杍㑁䑁䅣䅌硁䑁䅉䅍㍁䑁䅫李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䘰䅁䕂䅁䅁児呂䕁䄴䅔䵂䝁䅅杙求䝁䅷䅋祁䑁䅧睎獁䑁䅅杍睁䑁䅣兏㉁䍁䅷䅌楁䑁䅷材硁䑁䅕杏硁䑁䅣䅏楁䍁䅫䅁䅄杁䅁朲䅁䑁䄰睕佂䕁䅷䅔桂䝁䅉党獂䍁䅧杍㑁䑁䅣䅌硁䑁䅉䅍㍁䑁䅫李獁䍁䅷杉㡁䑁䄴免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元䅙䕁䅑䅁㥁䙁䅍杔䵂䕁䅷兙楂䝁䅕䅢潁䑁䅉䅏㍁䍁䅷免祁䑁䅁睎㕁䑁䅙䅌獁䍁䅉䅐⭁䑁䅅兎㙁䑁䅅睎㕁䍁䅉克䅁䵁䍅䅁慄䅁䅁児呂䕁䄴䅔䵂䝁䅅杙求䝁䅷䅋祁䑁䅧睎獁䑁䅅杍睁䑁䅣兏㉁䍁䅷䅌楁䑁䅷材硁䑁䅕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䭁杂䅁村䅁䑁䄰睕佂䕁䅷䅔桂䝁䅉党獂䍁䅧杍㑁䑁䅣䅌硁䑁䅉䅍㍁䑁䅫李獁䍁䅷杉㡁䑁䄴免ㅁ䑁䅯免㑁䍁䅉克䅁䥁䍙䅁奄䅁䅁児呂䕁䄴䅔䵂䝁䅅杙求䝁䅷䅋祁䑁䅧睎獁䑁䅅杍睁䑁䅣兏㉁䍁䅷䅌楁䑁䅷材硁䑁䅕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术䅕䕁䅑䅁㥁䙁䅍杔䵂䕁䅷兙楂䝁䅕䅢潁䑁䅉䅏㍁䍁䅷免祁䑁䅁睎㕁䑁䅙䅌獁䍁䅉䅐⭁䑁䅅兎㙁䑁䅅䅏睁䍁䅉克䅁䵁䍉䅁慄䅁䅁児呂䕁䄴䅔䵂䝁䅅杙求䝁䅷䅋祁䑁䅧睎獁䑁䅅杍睁䑁䅣兏㉁䍁䅷䅌楁䑁䅷材硁䑁䅕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䱁杂䅁䅒䅁䑁䄰睕佂䕁䅷䅔桂䝁䅉党獂䍁䅧杍㑁䑁䅣䅌硁䑁䅉䅍㍁䑁䅫李獁䍁䅷杉㡁䑁䄴免ㅁ䑁䅯免㑁䑁䅅杉灁䅁䅁睷䅉乁䅯䅁㥁䙁䅍杔䵂䕁䅷兙楂䝁䅕䅢潁䑁䅉䅏㍁䍁䅷免祁䑁䅁睎㕁䑁䅙䅌獁䍁䅉䅐⭁䑁䅅兎㙁䑁䅅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䝷䅁䍂䅁䅁児呂䕁䄴䅔䵂䝁䅅杙求䝁䅷䅋祁䑁䅧睎獁䑁䅅杍睁䑁䅣兏㉁䍁䅷䅌楁䑁䅷材硁䑁䅕杏硁䑁䅫杉灁䅁䅁睨䅉乁䅧䅁㥁䙁䅍杔䵂䕁䅷兙楂䝁䅕䅢潁䑁䅉䅏㍁䍁䅷免祁䑁䅁睎㕁䑁䅙䅌獁䍁䅉䅐⭁䑁䅅兎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李獁䍁䅷杉㡁䑁䄴免ㅁ䑁䅯杍楁䍁䅫䅁䥃杁䅁朱䅁䑁䄰睕佂䕁䅷䅔桂䝁䅉党獂䍁䅧杍㑁䑁䅣䅌硁䑁䅉䅍㍁䑁䅫李獁䍁䅷杉㡁䑁䄴免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乄兂䅁䅑䅁䑁䄰睕佂䕁䅷䅔桂䝁䅉党獂䍁䅧杍㑁䑁䅣䅌硁䑁䅉䅍㍁䑁䅫李獁䍁䅷杉㡁䑁䄴免ㅁ䑁䅯睍楁䍁䅫䅁摃杁䅁朱䅁䑁䄰睕佂䕁䅷䅔桂䝁䅉党獂䍁䅧杍㑁䑁䅣䅌硁䑁䅉䅍㍁䑁䅫李獁䍁䅷杉㡁䑁䄴免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佄兂䅁䅑䅁䑁䄰睕佂䕁䅷䅔桂䝁䅉党獂䍁䅧杍㑁䑁䅣䅌硁䑁䅉䅍㍁䑁䅫李獁䍁䅷杉㡁䑁䄴免ㅁ䑁䅯䅎楁䍁䅫䅁权杁䅁朱䅁䑁䄰睕佂䕁䅷䅔桂䝁䅉党獂䍁䅧杍㑁䑁䅣䅌硁䑁䅉䅍㍁䑁䅫李獁䍁䅷杉㡁䑁䄴免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偄兂䅁村䅁䑁䄰睕佂䕁䅷䅔桂䝁䅉党獂䍁䅧杍㑁䑁䅣䅌硁䑁䅉䅍㍁䑁䅫李獁䍁䅷杉㡁䑁䄴免ㅁ䑁䅯䅎睁䍁䅉克䅁䭁䍅䅁奄䅁䅁児呂䕁䄴䅔䵂䝁䅅杙求䝁䅷䅋祁䑁䅧睎獁䑁䅅杍睁䑁䅣兏㉁䍁䅷䅌楁䑁䅷材硁䑁䅕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䅁䅙䕁䅁䅁㥁䙁䅍杔䵂䕁䅷兙楂䝁䅕䅢潁䑁䅉䅏㍁䍁䅷免祁䑁䅁睎㕁䑁䅙䅌獁䍁䅉䅐⭁䑁䅅兎㙁䑁䅕杉灁䅁䅁睱䅉乁䅙䅁㥁䙁䅍杔䵂䕁䅷兙楂䝁䅕䅢潁䑁䅉䅏㍁䍁䅷免祁䑁䅁睎㕁䑁䅙䅌獁䍁䅉䅐⭁䑁䅅兎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䄰䅕䕁䅁䅁㥁䙁䅍杔䵂䕁䅷兙楂䝁䅕䅢潁䑁䅉䅏㍁䍁䅷免祁䑁䅁睎㕁䑁䅙䅌獁䍁䅉䅐⭁䑁䅅兎㙁䑁䅙杉灁䅁䅁杲䅉乁䅙䅁㥁䙁䅍杔䵂䕁䅷兙楂䝁䅕䅢潁䑁䅉䅏㍁䍁䅷免祁䑁䅁睎㕁䑁䅙䅌獁䍁䅉䅐⭁䑁䅅兎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儰䅕䕁䅁䅁㥁䙁䅍杔䵂䕁䅷兙楂䝁䅕䅢潁䑁䅉䅏㍁䍁䅷免祁䑁䅁睎㕁䑁䅙䅌獁䍁䅉䅐⭁䑁䅅兎㙁䑁䅣杉灁䅁䅁䅳䅉乁䅙䅁㥁䙁䅍杔䵂䕁䅷兙楂䝁䅕䅢潁䑁䅉䅏㍁䍁䅷免祁䑁䅁睎㕁䑁䅙䅌獁䍁䅉䅐⭁䑁䅅兎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朰䅕䕁䅁䅁㥁䙁䅍杔䵂䕁䅷兙楂䝁䅕䅢潁䑁䅉䅏㍁䍁䅷免祁䑁䅁睎㕁䑁䅙䅌獁䍁䅉䅐⭁䑁䅅兎㙁䑁䅧杉灁䅁䅁兴䅉乁䅙䅁㥁䙁䅍杔䵂䕁䅷兙楂䝁䅕䅢潁䑁䅉䅏㍁䍁䅷免祁䑁䅁睎㕁䑁䅙䅌獁䍁䅉䅐⭁䑁䅅兎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眰䅕䕁䅁䅁㥁䙁䅍杔䵂䕁䅷兙楂䝁䅕䅢潁䑁䅉䅏㍁䍁䅷免祁䑁䅁睎㕁䑁䅙䅌獁䍁䅉䅐⭁䑁䅅兎㙁䑁䅫杉灁䅁䅁䅵䅉乁䅙䅁㥁䙁䅍杔䵂䕁䅷兙楂䝁䅕䅢潁䑁䅉䅏㍁䍁䅷免祁䑁䅁睎㕁䑁䅙䅌獁䍁䅉䅐⭁䑁䅅兎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䄱䅕䑁䄴䅁㥁䙁䅍杔䵂䕁䅷兙楂䝁䅕䅢潁䑁䅉䅏㍁䍁䅷免祁䑁䅁睎㕁䑁䅙䅌獁䍁䅉䅐⭁䑁䅫杏硁䍁䅉克䅁䥁䍳䅁啄䅁䅁児呂䕁䄴䅔䵂䝁䅅杙求䝁䅷䅋祁䑁䅧睎獁䑁䅅杍睁䑁䅣兏㉁䍁䅷䅌楁䑁䅷材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汄兂䅁䅑䅁䑁䄰睕佂䕁䅷䅔桂䝁䅉党獂䍁䅧杍㑁䑁䅣䅌硁䑁䅉䅍㍁䑁䅫李獁䍁䅷杉㡁䑁䄴兏㙁䑁䅅䅍楁䍁䅫䅁䕄杁䅁朱䅁䑁䄰睕佂䕁䅷䅔桂䝁䅉党獂䍁䅧杍㑁䑁䅣䅌硁䑁䅉䅍㍁䑁䅫李獁䍁䅷杉㡁䑁䄴兏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噄兂䅁䅑䅁䑁䄰睕佂䕁䅷䅔桂䝁䅉党獂䍁䅧杍㑁䑁䅣䅌硁䑁䅉䅍㍁䑁䅫李獁䍁䅷杉㡁䑁䄴兏㙁䑁䅅杍楁䍁䅫䅁䩃杁䅁朱䅁䑁䄰睕佂䕁䅷䅔桂䝁䅉党獂䍁䅧杍㑁䑁䅣䅌硁䑁䅉䅍㍁䑁䅫李獁䍁䅷杉㡁䑁䄴兏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坄兂䅁䅑䅁䑁䄰睕佂䕁䅷䅔桂䝁䅉党獂䍁䅧杍㑁䑁䅣䅌硁䑁䅉䅍㍁䑁䅫李獁䍁䅷杉㡁䑁䄴兏㙁䑁䅅睍楁䍁䅫䅁敃杁䅁朱䅁䑁䄰睕佂䕁䅷䅔桂䝁䅉党獂䍁䅧杍㑁䑁䅣䅌硁䑁䅉䅍㍁䑁䅫李獁䍁䅷杉㡁䑁䄴兏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塄兂䅁䅑䅁䑁䄰睕佂䕁䅷䅔桂䝁䅉党獂䍁䅧杍㑁䑁䅣䅌硁䑁䅉䅍㍁䑁䅫李獁䍁䅷杉㡁䑁䄴兏㙁䑁䅅䅎楁䍁䅫䅁楃杁䅁朱䅁䑁䄰睕佂䕁䅷䅔桂䝁䅉党獂䍁䅧杍㑁䑁䅣䅌硁䑁䅉䅍㍁䑁䅫李獁䍁䅷杉㡁䑁䄴兏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奄兂䅁村䅁䑁䄰睕佂䕁䅷䅔桂䝁䅉党獂䍁䅧杍㑁䑁䅣䅌硁䑁䅉䅍㍁䑁䅫李獁䍁䅷杉㡁䑁䄴兏㙁䑁䅅䅎㉁䍁䅉克䅁䭁䍍䅁奄䅁䅁児呂䕁䄴䅔䵂䝁䅅杙求䝁䅷䅋祁䑁䅧睎獁䑁䅅杍睁䑁䅣兏㉁䍁䅷䅌楁䑁䅷材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允䅙䕁䅁䅁㥁䙁䅍杔䵂䕁䅷兙楂䝁䅕䅢潁䑁䅉䅏㍁䍁䅷免祁䑁䅁睎㕁䑁䅙䅌獁䍁䅉䅐⭁䑁䅫杏硁䑁䅕杉灁䅁䅁䅲䅉乁䅙䅁㥁䙁䅍杔䵂䕁䅷兙楂䝁䅕䅢潁䑁䅉䅏㍁䍁䅷免祁䑁䅁睎㕁䑁䅙䅌獁䍁䅉䅐⭁䑁䅫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儲䅕䕁䅉䅁㥁䙁䅍杔䵂䕁䅷兙楂䝁䅕䅢潁䑁䅉䅏㍁䍁䅷免祁䑁䅁睎㕁䑁䅙䅌獁䍁䅉䅐⭁䑁䅫杏硁䑁䅕杍楁䍁䅫䅁瑃杁䅁䄲䅁䑁䄰睕佂䕁䅷䅔桂䝁䅉党獂䍁䅧杍㑁䑁䅣䅌硁䑁䅉䅍㍁䑁䅫李獁䍁䅷杉㡁䑁䄴兏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䝉䅁䅂䅁䅁児呂䕁䄴䅔䵂䝁䅅杙求䝁䅷䅋祁䑁䅧睎獁䑁䅅杍睁䑁䅣兏㉁䍁䅷䅌楁䑁䅷材㕁䑁䅯免㉁䍁䅉克䅁䭁䌸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䙯䅁䅂䅁䅁児呂䕁䄴䅔䵂䝁䅅杙求䝁䅷䅋祁䑁䅧睎獁䑁䅅杍睁䑁䅣兏㉁䍁䅷䅌楁䑁䅷材㕁䑁䅯免㍁䍁䅉克䅁䱁䍅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䙳䅁䍂䅁䅁児呂䕁䄴䅔䵂䝁䅅杙求䝁䅷䅋祁䑁䅧睎獁䑁䅅杍睁䑁䅣兏㉁䍁䅷䅌楁䑁䅷材㕁䑁䅯免㍁䑁䅧杉灁䅁䅁杳䅉乁䅧䅁㥁䙁䅍杔䵂䕁䅷兙楂䝁䅕䅢潁䑁䅉䅏㍁䍁䅷免祁䑁䅁睎㕁䑁䅙䅌獁䍁䅉䅐⭁䑁䅫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杂䅁村䅁䑁䄰睕佂䕁䅷䅔桂䝁䅉党獂䍁䅧杍㑁䑁䅣䅌硁䑁䅉䅍㍁䑁䅫李獁䍁䅷杉㡁䑁䄴兏㙁䑁䅅睎㕁䍁䅉克䅁䱁䍍䅁奄䅁䅁児呂䕁䄴䅔䵂䝁䅅杙求䝁䅷䅋祁䑁䅧睎獁䑁䅅杍睁䑁䅣兏㉁䍁䅷䅌楁䑁䅷材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䅂䅙䕁䅁䅁㥁䙁䅍杔䵂䕁䅷兙楂䝁䅕䅢潁䑁䅉䅏㍁䍁䅷免祁䑁䅁睎㕁䑁䅙䅌獁䍁䅉䅐⭁䑁䅫杏硁䑁䅧杉灁䅁䅁杴䅉乁䅙䅁㥁䙁䅍杔䵂䕁䅷兙楂䝁䅕䅢潁䑁䅉䅏㍁䍁䅷免祁䑁䅁睎㕁䑁䅙䅌獁䍁䅉䅐⭁䑁䅫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䄳䅕䕁䅉䅁㥁䙁䅍杔䵂䕁䅷兙楂䝁䅕䅢潁䑁䅉䅏㍁䍁䅷免祁䑁䅁睎㕁䑁䅙䅌獁䍁䅉䅐⭁䑁䅫杏硁䑁䅧䅍楁䍁䅫䅁㍃杁䅁䄲䅁䑁䄰睕佂䕁䅷䅔桂䝁䅉党獂䍁䅧杍㑁䑁䅣䅌硁䑁䅉䅍㍁䑁䅫李獁䍁䅷杉㡁䑁䄴兏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䝕䅁䅂䅁䅁児呂䕁䄴䅔䵂䝁䅅杙求䝁䅷䅋祁䑁䅧睎獁䑁䅅杍睁䑁䅣兏㉁䍁䅷䅌楁䑁䅷材㕁䑁䅯免㕁䍁䅉克䅁䱁䍫䅁坄䅁䅁児呂䕁䄴䅔䵂䝁䅅杙求䝁䅷䅋祁䑁䅧睎獁䑁䅅杍睁䑁䅣兏㉁䍁䅷䅌楁䑁䅷材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䘰䅁⭁䅁䅁児呂䕁䄴䅔䵂䝁䅅杙求䝁䅷䅋祁䑁䅧睎獁䑁䅅杍睁䑁䅣兏㉁䍁䅷䅌楁䑁䅷材㕁䑁䅯杍楁䍁䅫䅁䵃杁䅁䄱䅁䑁䄰睕佂䕁䅷䅔桂䝁䅉党獂䍁䅧杍㑁䑁䅣䅌硁䑁䅉䅍㍁䑁䅫李獁䍁䅷杉㡁䑁䄴兏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朵䅕䑁䄴䅁㥁䙁䅍杔䵂䕁䅷兙楂䝁䅕䅢潁䑁䅉䅏㍁䍁䅷免祁䑁䅁睎㕁䑁䅙䅌獁䍁䅉䅐⭁䑁䅫杏穁䍁䅉克䅁䥁䌰䅁啄䅁䅁児呂䕁䄴䅔䵂䝁䅅杙求䝁䅷䅋祁䑁䅧睎獁䑁䅅杍睁䑁䅣兏㉁䍁䅷䅌楁䑁䅷材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湄兂䅁材䅁䑁䄰睕佂䕁䅷䅔桂䝁䅉党獂䍁䅧杍㑁䑁䅣䅌硁䑁䅉䅍㍁䑁䅫李獁䍁䅷杉㡁䑁䄴兏㙁䑁䅑杉灁䅁䅁杪䅉乁䅑䅁㥁䙁䅍杔䵂䕁䅷兙楂䝁䅕䅢潁䑁䅉䅏㍁䍁䅷免祁䑁䅁睎㕁䑁䅙䅌獁䍁䅉䅐⭁䑁䅫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䙧䅁䅂䅁䅁児呂䕁䄴䅔䵂䝁䅅杙求䝁䅷䅋祁䑁䅧睎獁䑁䅅杍睁䑁䅣兏㉁䍁䅷䅌楁䑁䅷材㕁䑁䅯䅎睁䍁䅉克䅁䵁䍕䅁坄䅁䅁児呂䕁䄴䅔䵂䝁䅅杙求䝁䅷䅋祁䑁䅧睎獁䑁䅅杍睁䑁䅣兏㉁䍁䅷䅌楁䑁䅷材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䘴䅁⭁䅁䅁児呂䕁䄴䅔䵂䝁䅅杙求䝁䅷䅋祁䑁䅧睎獁䑁䅅杍睁䑁䅣兏㉁䍁䅷䅌楁䑁䅷材㕁䑁䅯兎楁䍁䅫䅁偃杁䅁䄱䅁䑁䄰睕佂䕁䅷䅔桂䝁䅉党獂䍁䅧杍㑁䑁䅣䅌硁䑁䅉䅍㍁䑁䅫李獁䍁䅷杉㡁䑁䄴兏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儶䅕䑁䄴䅁㥁䙁䅍杔䵂䕁䅷兙楂䝁䅕䅢潁䑁䅉䅏㍁䍁䅷免祁䑁䅁睎㕁䑁䅙䅌獁䍁䅉䅐⭁䑁䅫杏㉁䍁䅉克䅁䩁䍁䅁啄䅁䅁児呂䕁䄴䅔䵂䝁䅅杙求䝁䅷䅋祁䑁䅧睎獁䑁䅅杍睁䑁䅣兏㉁䍁䅷䅌楁䑁䅷材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煄兂䅁材䅁䑁䄰睕佂䕁䅷䅔桂䝁䅉党獂䍁䅧杍㑁䑁䅣䅌硁䑁䅉䅍㍁䑁䅫李獁䍁䅷杉㡁䑁䄴兏㙁䑁䅣杉灁䅁䅁八䅉乁䅑䅁㥁䙁䅍杔䵂䕁䅷兙楂䝁䅕䅢潁䑁䅉䅏㍁䍁䅷免祁䑁䅁睎㕁䑁䅙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䙳䅁⭁䅁䅁児呂䕁䄴䅔䵂䝁䅅杙求䝁䅷䅋祁䑁䅧睎獁䑁䅅杍睁䑁䅣兏㉁䍁䅷䅌楁䑁䅷材㕁䑁䅯䅏楁䍁䅫䅁千杁䅁䄱䅁䑁䄰睕佂䕁䅷䅔桂䝁䅉党獂䍁䅧杍㑁䑁䅣䅌硁䑁䅉䅍㍁䑁䅫李獁䍁䅷杉㡁䑁䄴兏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䄷䅕䑁䄴䅁㥁䙁䅍杔䵂䕁䅷兙楂䝁䅕䅢潁䑁䅉䅏㍁䍁䅷免祁䑁䅁睎㕁䑁䅙䅌獁䍁䅉䅐⭁䑁䅫杏㕁䍁䅉克䅁䩁䍍䅁啄䅁䅁児呂䕁䄴䅔䵂䝁䅅杙求䝁䅷䅋祁䑁䅧睎獁䑁䅅杍睁䑁䅣兏㉁䍁䅷䅌楁䑁䅷材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兂䅁材䅁䑁䄰睕佂䕁䅷䅔桂䝁䅉党獂䍁䅧杍㑁䑁䅣䅌硁䑁䅉䅍㍁䑁䅫李獁䍁䅷杉㡁䑁䄴杔㙁䑁䅅杉灁䅁䅁䅬䅉乁䅑䅁㥁䙁䅍杔䵂䕁䅷兙楂䝁䅕䅢潁䑁䅉䅏㍁䍁䅷免祁䑁䅁睎㕁䑁䅙䅌獁䍁䅉䅐⭁䕁䄴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䘴䅁䅂䅁䅁児呂䕁䄴䅔䵂䝁䅅杙求䝁䅷䅋祁䑁䅧睎獁䑁䅅杍睁䑁䅣兏㉁䍁䅷䅌楁䑁䅷材佂䑁䅯免睁䍁䅉克䅁䵁䍙䅁坄䅁䅁児呂䕁䄴䅔䵂䝁䅅杙求䝁䅷䅋祁䑁䅧睎獁䑁䅅杍睁䑁䅣兏㉁䍁䅷䅌楁䑁䅷材佂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䘸䅁䅂䅁䅁児呂䕁䄴䅔䵂䝁䅅杙求䝁䅷䅋祁䑁䅧睎獁䑁䅅杍睁䑁䅣兏㉁䍁䅷䅌楁䑁䅷材佂䑁䅯免祁䍁䅉克䅁䥁䍯䅁坄䅁䅁児呂䕁䄴䅔䵂䝁䅅杙求䝁䅷䅋祁䑁䅧睎獁䑁䅅杍睁䑁䅣兏㉁䍁䅷䅌楁䑁䅷材佂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䙁䅁䅂䅁䅁児呂䕁䄴䅔䵂䝁䅅杙求䝁䅷䅋祁䑁䅧睎獁䑁䅅杍睁䑁䅣兏㉁䍁䅷䅌楁䑁䅷材佂䑁䅯免穁䍁䅉克䅁䩁䌸䅁坄䅁䅁児呂䕁䄴䅔䵂䝁䅅杙求䝁䅷䅋祁䑁䅧睎獁䑁䅅杍睁䑁䅣兏㉁䍁䅷䅌楁䑁䅷材佂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䙅䅁䅂䅁䅁児呂䕁䄴䅔䵂䝁䅅杙求䝁䅷䅋祁䑁䅧睎獁䑁䅅杍睁䑁䅣兏㉁䍁䅷䅌楁䑁䅷材佂䑁䅯免ぁ䍁䅉克䅁䭁䍑䅁坄䅁䅁児呂䕁䄴䅔䵂䝁䅅杙求䝁䅷䅋祁䑁䅧睎獁䑁䅅杍睁䑁䅣兏㉁䍁䅷䅌楁䑁䅷材佂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䙉䅁䍂䅁䅁児呂䕁䄴䅔䵂䝁䅅杙求䝁䅷䅋祁䑁䅧睎獁䑁䅅杍睁䑁䅣兏㉁䍁䅷䅌楁䑁䅷材佂䑁䅯免㍁䑁䅧杉灁䅁䅁䅴䅉乁䅧䅁㥁䙁䅍杔䵂䕁䅷兙楂䝁䅕䅢潁䑁䅉䅏㍁䍁䅷免祁䑁䅁睎㕁䑁䅙䅌獁䍁䅉䅐⭁䕁䄴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杂䅁䅑䅁䑁䄰睕佂䕁䅷䅔桂䝁䅉党獂䍁䅧杍㑁䑁䅣䅌硁䑁䅉䅍㍁䑁䅫李獁䍁䅷杉㡁䑁䄴杔㙁䑁䅅兏楁䍁䅫䅁㙃杁䅁朱䅁䑁䄰睕佂䕁䅷䅔桂䝁䅉党獂䍁䅧杍㑁䑁䅣䅌硁䑁䅉䅍㍁䑁䅫李獁䍁䅷杉㡁䑁䄴杔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橄兂䅁材䅁䑁䄰睕佂䕁䅷䅔桂䝁䅉党獂䍁䅧杍㑁䑁䅣䅌硁䑁䅉䅍㍁䑁䅫李獁䍁䅷杉㡁䑁䄴杔㙁䑁䅉杉灁䅁䅁公䅉乁䅑䅁㥁䙁䅍杔䵂䕁䅷兙楂䝁䅕䅢潁䑁䅉䅏㍁䍁䅷免祁䑁䅁睎㕁䑁䅙䅌獁䍁䅉䅐⭁䕁䄴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䘸䅁⭁䅁䅁児呂䕁䄴䅔䵂䝁䅅杙求䝁䅷䅋祁䑁䅧睎獁䑁䅅杍睁䑁䅣兏㉁䍁䅷䅌楁䑁䅷材佂䑁䅯睍楁䍁䅫䅁坃杁䅁䄱䅁䑁䄰睕佂䕁䅷䅔桂䝁䅉党獂䍁䅧杍㑁䑁䅣䅌硁䑁䅉䅍㍁䑁䅫李獁䍁䅷杉㡁䑁䄴杔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䄸䅕䑁䄴䅁㥁䙁䅍杔䵂䕁䅷兙楂䝁䅕䅢潁䑁䅉䅏㍁䍁䅷免祁䑁䅁睎㕁䑁䅙䅌獁䍁䅉䅐⭁䕁䄴杏ぁ䍁䅉克䅁䩁䍣䅁啄䅁䅁児呂䕁䄴䅔䵂䝁䅅杙求䝁䅷䅋祁䑁䅧睎獁䑁䅅杍睁䑁䅣兏㉁䍁䅷䅌楁䑁䅷材佂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硄兂䅁䅑䅁䑁䄰睕佂䕁䅷䅔桂䝁䅉党獂䍁䅧杍㑁䑁䅣䅌硁䑁䅉䅍㍁䑁䅫李獁䍁䅷杉㡁䑁䄴杔㙁䑁䅑䅍楁䍁䅫䅁䡄杁䅁朱䅁䑁䄰睕佂䕁䅷䅔桂䝁䅉党獂䍁䅧杍㑁䑁䅣䅌硁䑁䅉䅍㍁䑁䅫李獁䍁䅷杉㡁䑁䄴杔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歄兂䅁材䅁䑁䄰睕佂䕁䅷䅔桂䝁䅉党獂䍁䅧杍㑁䑁䅣䅌硁䑁䅉䅍㍁䑁䅫李獁䍁䅷杉㡁䑁䄴杔㙁䑁䅕杉灁䅁䅁䅭䅉乁䅑䅁㥁䙁䅍杔䵂䕁䅷兙楂䝁䅕䅢潁䑁䅉䅏㍁䍁䅷免祁䑁䅁睎㕁䑁䅙䅌獁䍁䅉䅐⭁䕁䄴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䙉䅁⭁䅁䅁児呂䕁䄴䅔䵂䝁䅅杙求䝁䅷䅋祁䑁䅧睎獁䑁䅅杍睁䑁䅣兏㉁䍁䅷䅌楁䑁䅷材佂䑁䅯李楁䍁䅫䅁婃杁䅁䄱䅁䑁䄰睕佂䕁䅷䅔桂䝁䅉党獂䍁䅧杍㑁䑁䅣䅌硁䑁䅉䅍㍁䑁䅫李獁䍁䅷杉㡁䑁䄴杔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眸䅕䑁䄴䅁㥁䙁䅍杔䵂䕁䅷兙楂䝁䅕䅢潁䑁䅉䅏㍁䍁䅷免祁䑁䅁睎㕁䑁䅙䅌獁䍁䅉䅐⭁䕁䄴杏㍁䍁䅉克䅁䩁䍯䅁啄䅁䅁児呂䕁䄴䅔䵂䝁䅅杙求䝁䅷䅋祁䑁䅧睎獁䑁䅅杍睁䑁䅣兏㉁䍁䅷䅌楁䑁䅷材佂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い兂䅁材䅁䑁䄰睕佂䕁䅷䅔桂䝁䅉党獂䍁䅧杍㑁䑁䅣䅌硁䑁䅉䅍㍁䑁䅫李獁䍁䅷杉㡁䑁䄴杔㙁䑁䅧杉灁䅁䅁睭䅉乁䅑䅁㥁䙁䅍杔䵂䕁䅷兙楂䝁䅕䅢潁䑁䅉䅏㍁䍁䅷免祁䑁䅁睎㕁䑁䅙䅌獁䍁䅉䅐⭁䕁䄴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䙕䅁⭁䅁䅁児呂䕁䄴䅔䵂䝁䅅杙求䝁䅷䅋祁䑁䅧睎獁䑁䅅杍睁䑁䅣兏㉁䍁䅷䅌楁䑁䅷材佂䑁䅯兏楁䍁䅫䅁捃杁䅁䄱䅁䑁䄰睕佂䕁䅷䅔桂䝁䅉党獂䍁䅧杍㑁䑁䅣䅌硁䑁䅉䅍㍁䑁䅫李獁䍁䅷杉㡁䑁䄴杔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朹䅕䕁䅁䅁㥁䙁䅍杔䵂䕁䅷兙楂䝁䅕䅢潁䑁䅉䅏㍁䍁䅷免祁䑁䅁睎㕁䑁䅣䅌獁䍁䅉䅐⭁䑁䅅兎㙁䑁䅅杉灁䅁䅁䅔䅍䕁䅉䅁㥁䙁䅍杔䵂䕁䅷兙楂䝁䅕䅢潁䑁䅉䅏㍁䍁䅷免祁䑁䅁睎㕁䑁䅣䅌獁䍁䅉䅐⭁䑁䅅兎㙁䑁䅅䅍楁䍁䅫䅁乂睁䅁村䅁䑁䄰睕佂䕁䅷䅔桂䝁䅉党獂䍁䅧杍㑁䑁䅣䅌硁䑁䅉䅍㍁䑁䅫睎獁䍁䅷杉㡁䑁䄴免ㅁ䑁䅯免祁䍁䅉克䅁䕁䐴䅁䍂䅁䅁児呂䕁䄴䅔䵂䝁䅅杙求䝁䅷䅋祁䑁䅧睎獁䑁䅅杍睁䑁䅣兏㍁䍁䅷䅌楁䑁䅷材硁䑁䅕杏硁䑁䅍杉灁䅁䅁睔䅍䕁䅉䅁㥁䙁䅍杔䵂䕁䅷兙楂䝁䅕䅢潁䑁䅉䅏㍁䍁䅷免祁䑁䅁睎㕁䑁䅣䅌獁䍁䅉䅐⭁䑁䅅兎㙁䑁䅅䅎楁䍁䅫䅁兂睁䅁䅒䅁䑁䄰睕佂䕁䅷䅔桂䝁䅉党獂䍁䅧杍㑁䑁䅣䅌硁䑁䅉䅍㍁䑁䅫睎獁䍁䅷杉㡁䑁䄴免ㅁ䑁䅯免ぁ䑁䅙杉灁䅁䅁杤䅍䕁䅉䅁㥁䙁䅍杔䵂䕁䅷兙楂䝁䅕䅢潁䑁䅉䅏㍁䍁䅷免祁䑁䅁睎㕁䑁䅣䅌獁䍁䅉䅐⭁䑁䅅兎㙁䑁䅅兎楁䍁䅫䅁剂睁䅁䅒䅁䑁䄰睕佂䕁䅷䅔桂䝁䅉党獂䍁䅧杍㑁䑁䅣䅌硁䑁䅉䅍㍁䑁䅫睎獁䍁䅷杉㡁䑁䄴免ㅁ䑁䅯免ㅁ䑁䅉杉灁䅁䅁睤䅍䕁䅉䅁㥁䙁䅍杔䵂䕁䅷兙楂䝁䅕䅢潁䑁䅉䅏㍁䍁䅷免祁䑁䅁睎㕁䑁䅣䅌獁䍁䅉䅐⭁䑁䅅兎㙁䑁䅅李楁䍁䅫䅁卂睁䅁村䅁䑁䄰睕佂䕁䅷䅔桂䝁䅉党獂䍁䅧杍㑁䑁䅣䅌硁䑁䅉䅍㍁䑁䅫睎獁䍁䅷杉㡁䑁䄴免ㅁ䑁䅯免㍁䍁䅉克䅁䙁䑍䅁䕂䅁䅁児呂䕁䄴䅔䵂䝁䅅杙求䝁䅷䅋祁䑁䅧睎獁䑁䅅杍睁䑁䅣兏㍁䍁䅷䅌楁䑁䅷材硁䑁䅕杏硁䑁䅣䅏楁䍁䅫䅁㑂睁䅁䅒䅁䑁䄰睕佂䕁䅷䅔桂䝁䅉党獂䍁䅧杍㑁䑁䅣䅌硁䑁䅉䅍㍁䑁䅫睎獁䍁䅷杉㡁䑁䄴免ㅁ䑁䅯免㍁䑁䅫杉灁䅁䅁入䅍䕁䅉䅁㥁䙁䅍杔䵂䕁䅷兙楂䝁䅕䅢潁䑁䅉䅏㍁䍁䅷免祁䑁䅁睎㕁䑁䅣䅌獁䍁䅉䅐⭁䑁䅅兎㙁䑁䅅䅏楁䍁䅫䅁啂睁䅁䅒䅁䑁䄰睕佂䕁䅷䅔桂䝁䅉党獂䍁䅧杍㑁䑁䅣䅌硁䑁䅉䅍㍁䑁䅫睎獁䍁䅷杉㡁䑁䄴免ㅁ䑁䅯免㑁䑁䅁杉灁䅁䅁来䅍䕁䅑䅁㥁䙁䅍杔䵂䕁䅷兙楂䝁䅕䅢潁䑁䅉䅏㍁䍁䅷免祁䑁䅁睎㕁䑁䅣䅌獁䍁䅉䅐⭁䑁䅅兎㙁䑁䅅䅏硁䍁䅉克䅁䡁䑳䅁䍂䅁䅁児呂䕁䄴䅔䵂䝁䅅杙求䝁䅷䅋祁䑁䅧睎獁䑁䅅杍睁䑁䅣兏㍁䍁䅷䅌楁䑁䅷材硁䑁䅕杏硁䑁䅫杉灁䅁䅁兖䅍䕁䅁䅁㥁䙁䅍杔䵂䕁䅷兙楂䝁䅕䅢潁䑁䅉䅏㍁䍁䅷免祁䑁䅁睎㕁䑁䅣䅌獁䍁䅉䅐⭁䑁䅅兎㙁䑁䅉杉灁䅁䅁杖䅍䕁䅁䅁㥁䙁䅍杔䵂䕁䅷兙楂䝁䅕䅢潁䑁䅉䅏㍁䍁䅷免祁䑁䅁睎㕁䑁䅣䅌獁䍁䅉䅐⭁䑁䅅兎㙁䑁䅍杉灁䅁䅁䅘䅍䕁䅁䅁㥁䙁䅍杔䵂䕁䅷兙楂䝁䅕䅢潁䑁䅉䅏㍁䍁䅷免祁䑁䅁睎㕁䑁䅣䅌獁䍁䅉䅐⭁䑁䅅兎㙁䑁䅑杉灁䅁䅁杙䅍䕁䅉䅁㥁䙁䅍杔䵂䕁䅷兙楂䝁䅕䅢潁䑁䅉䅏㍁䍁䅷免祁䑁䅁睎㕁䑁䅣䅌獁䍁䅉䅐⭁䑁䅅兎㙁䑁䅑䅍楁䍁䅫䅁橂睁䅁䅑䅁䑁䄰睕佂䕁䅷䅔桂䝁䅉党獂䍁䅧杍㑁䑁䅣䅌硁䑁䅉䅍㍁䑁䅫睎獁䍁䅷杉㡁䑁䄴免ㅁ䑁䅯兎楁䍁䅫䅁湂睁䅁䅑䅁䑁䄰睕佂䕁䅷䅔桂䝁䅉党獂䍁䅧杍㑁䑁䅣䅌硁䑁䅉䅍㍁䑁䅫睎獁䍁䅷杉㡁䑁䄴免ㅁ䑁䅯李楁䍁䅫䅁煂睁䅁䅑䅁䑁䄰睕佂䕁䅷䅔桂䝁䅉党獂䍁䅧杍㑁䑁䅣䅌硁䑁䅉䅍㍁䑁䅫睎獁䍁䅷杉㡁䑁䄴免ㅁ䑁䅯睎楁䍁䅫䅁獂睁䅁䅑䅁䑁䄰睕佂䕁䅷䅔桂䝁䅉党獂䍁䅧杍㑁䑁䅣䅌硁䑁䅉䅍㍁䑁䅫睎獁䍁䅷杉㡁䑁䄴免ㅁ䑁䅯䅏楁䍁䅫䅁㝃杁䅁䅑䅁䑁䄰睕佂䕁䅷䅔桂䝁䅉党獂䍁䅧杍㑁䑁䅣䅌硁䑁䅉䅍㍁䑁䅫睎獁䍁䅷杉㡁䑁䄴免ㅁ䑁䅯兏楁䍁䅫䅁穂睁䅁材䅁䑁䄰睕佂䕁䅷䅔桂䝁䅉党獂䍁䅧杍㑁䑁䅣䅌硁䑁䅉䅍㍁䑁䅫睎獁䍁䅷杉㡁䑁䄴兏㙁䑁䅅杉灁䅁䅁䅇䅍䕁䅁䅁㥁䙁䅍杔䵂䕁䅷兙楂䝁䅕䅢潁䑁䅉䅏㍁䍁䅷免祁䑁䅁睎㕁䑁䅣䅌獁䍁䅉䅐⭁䑁䅫杏硁䑁䅁杉灁䅁䅁䅦䅍䕁䅁䅁㥁䙁䅍杔䵂䕁䅷兙楂䝁䅕䅢潁䑁䅉䅏㍁䍁䅷免祁䑁䅁睎㕁䑁䅣䅌獁䍁䅉䅐⭁䑁䅫杏硁䑁䅉杉灁䅁䅁睖䅍䕁䅁䅁㥁䙁䅍杔䵂䕁䅷兙楂䝁䅕䅢潁䑁䅉䅏㍁䍁䅷免祁䑁䅁睎㕁䑁䅣䅌獁䍁䅉䅐⭁䑁䅫杏硁䑁䅍杉灁䅁䅁兘䅍䕁䅁䅁㥁䙁䅍杔䵂䕁䅷兙楂䝁䅕䅢潁䑁䅉䅏㍁䍁䅷免祁䑁䅁睎㕁䑁䅣䅌獁䍁䅉䅐⭁䑁䅫杏硁䑁䅑杉灁䅁䅁䅚䅍䕁䅉䅁㥁䙁䅍杔䵂䕁䅷兙楂䝁䅕䅢潁䑁䅉䅏㍁䍁䅷免祁䑁䅁睎㕁䑁䅣䅌獁䍁䅉䅐⭁䑁䅫杏硁䑁䅑李楁䍁䅫䅁求睁䅁䅑䅁䑁䄰睕佂䕁䅷䅔桂䝁䅉党獂䍁䅧杍㑁䑁䅣䅌硁䑁䅉䅍㍁䑁䅫睎獁䍁䅷杉㡁䑁䄴兏㙁䑁䅅兎楁䍁䅫䅁潂睁䅁村䅁䑁䄰睕佂䕁䅷䅔桂䝁䅉党獂䍁䅧杍㑁䑁䅣䅌硁䑁䅉䅍㍁䑁䅫睎獁䍁䅷杉㡁䑁䄴兏㙁䑁䅅兎祁䍁䅉克䅁䝁䑫䅁䅂䅁䅁児呂䕁䄴䅔䵂䝁䅅杙求䝁䅷䅋祁䑁䅧</t>
  </si>
  <si>
    <t>睎獁䑁䅅杍睁䑁䅣兏㍁䍁䅷䅌楁䑁䅷材㕁䑁䅯免㉁䍁䅉克䅁䝁䑳䅁䅂䅁䅁児呂䕁䄴䅔䵂䝁䅅杙求䝁䅷䅋祁䑁䅧睎獁䑁䅅杍睁䑁䅣兏㍁䍁䅷䅌楁䑁䅷材㕁䑁䅯免㍁䍁䅉克䅁䝁䐰䅁䍂䅁䅁児呂䕁䄴䅔䵂䝁䅅杙求䝁䅷䅋祁䑁䅧睎獁䑁䅅杍睁䑁䅣兏㍁䍁䅷䅌楁䑁䅷材㕁䑁䅯免㍁䑁䅧杉灁䅁䅁杢䅍䕁䅉䅁㥁䙁䅍杔䵂䕁䅷兙楂䝁䅕䅢潁䑁䅉䅏㍁䍁䅷免祁䑁䅁睎㕁䑁䅣䅌獁䍁䅉䅐⭁䑁䅫杏硁䑁䅣兏楁䍁䅫䅁療睁䅁䅑䅁䑁䄰睕佂䕁䅷䅔桂䝁䅉党獂䍁䅧杍㑁䑁䅣䅌硁䑁䅉䅍㍁䑁䅫睎獁䍁䅷杉㡁䑁䄴兏㙁䑁䅅䅏楁䍁䅫䅁㡃杁䅁村䅁䑁䄰睕佂䕁䅷䅔桂䝁䅉党獂䍁䅧杍㑁䑁䅣䅌硁䑁䅉䅍㍁䑁䅫睎獁䍁䅷杉㡁䑁䄴兏㙁䑁䅅䅏睁䍁䅉克䅁䱁䌰䅁䅂䅁䅁児呂䕁䄴䅔䵂䝁䅅杙求䝁䅷䅋祁䑁䅧睎獁䑁䅅杍睁䑁䅣兏㍁䍁䅷䅌楁䑁䅷材㕁䑁䅯免㕁䍁䅉克䅁䡁䑑䅁⭁䅁䅁児呂䕁䄴䅔䵂䝁䅅杙求䝁䅷䅋祁䑁䅧睎獁䑁䅅杍睁䑁䅣兏㍁䍁䅷䅌楁䑁䅷材㕁䑁䅯杍楁䍁䅫䅁婁睁䅁材䅁䑁䄰睕佂䕁䅷䅔桂䝁䅉党獂䍁䅧杍㑁䑁䅣䅌硁䑁䅉䅍㍁䑁䅫睎獁䍁䅷杉㡁䑁䄴兏㙁䑁䅍杉灁䅁䅁杇䅍䑁䄴䅁㥁䙁䅍杔䵂䕁䅷兙楂䝁䅕䅢潁䑁䅉䅏㍁䍁䅷免祁䑁䅁睎㕁䑁䅣䅌獁䍁䅉䅐⭁䑁䅫杏ぁ䍁䅉克䅁䉁䑳䅁䅂䅁䅁児呂䕁䄴䅔䵂䝁䅅杙求䝁䅷䅋祁䑁䅧睎獁䑁䅅杍睁䑁䅣兏㍁䍁䅷䅌楁䑁䅷材㕁䑁䅯䅎睁䍁䅉克䅁䡁䐰䅁⭁䅁䅁児呂䕁䄴䅔䵂䝁䅅杙求䝁䅷䅋祁䑁䅧睎獁䑁䅅杍睁䑁䅣兏㍁䍁䅷䅌楁䑁䅷材㕁䑁䅯兎楁䍁䅫䅁捁睁䅁材䅁䑁䄰睕佂䕁䅷䅔桂䝁䅉党獂䍁䅧杍㑁䑁䅣䅌硁䑁䅉䅍㍁䑁䅫睎獁䍁䅷杉㡁䑁䄴兏㙁䑁䅙杉灁䅁䅁先䅍䑁䄴䅁㥁䙁䅍杔䵂䕁䅷兙楂䝁䅕䅢潁䑁䅉䅏㍁䍁䅷免祁䑁䅁睎㕁䑁䅣䅌獁䍁䅉䅐⭁䑁䅫杏㍁䍁䅉克䅁䉁䐴䅁⭁䅁䅁児呂䕁䄴䅔䵂䝁䅅杙求䝁䅷䅋祁䑁䅧睎獁䑁䅅杍睁䑁䅣兏㍁䍁䅷䅌楁䑁䅷材㕁䑁䅯䅏楁䍁䅫䅁晁睁䅁材䅁䑁䄰睕佂䕁䅷䅔桂䝁䅉党獂䍁䅧杍㑁䑁䅣䅌硁䑁䅉䅍㍁䑁䅫睎獁䍁䅷杉㡁䑁䄴兏㙁䑁䅫杉灁䅁䅁䅉䅍䑁䄴䅁㥁䙁䅍杔䵂䕁䅷兙楂䝁䅕䅢潁䑁䅉䅏㍁䍁䅷免祁䑁䅁睎㕁䑁䅣䅌獁䍁䅉䅐⭁䕁䄴杏硁䍁䅉克䅁䍁䑅䅁䅂䅁䅁児呂䕁䄴䅔䵂䝁䅅杙求䝁䅷䅋祁䑁䅧睎獁䑁䅅杍睁䑁䅣兏㍁䍁䅷䅌楁䑁䅷材佂䑁䅯免睁䍁䅉克䅁䡁䐴䅁䅂䅁䅁児呂䕁䄴䅔䵂䝁䅅杙求䝁䅷䅋祁䑁䅧睎獁䑁䅅杍睁䑁䅣兏㍁䍁䅷䅌楁䑁䅷材佂䑁䅯免祁䍁䅉克䅁䙁䑧䅁䅂䅁䅁児呂䕁䄴䅔䵂䝁䅅杙求䝁䅷䅋祁䑁䅧睎獁䑁䅅杍睁䑁䅣兏㍁䍁䅷䅌楁䑁䅷材佂䑁䅯免穁䍁䅉克䅁䙁䐴䅁䅂䅁䅁児呂䕁䄴䅔䵂䝁䅅杙求䝁䅷䅋祁䑁䅧睎獁䑁䅅杍睁䑁䅣兏㍁䍁䅷䅌楁䑁䅷材佂䑁䅯免ぁ䍁䅉克䅁䝁䑙䅁䍂䅁䅁児呂䕁䄴䅔䵂䝁䅅杙求䝁䅷䅋祁䑁䅧睎獁䑁䅅杍睁䑁䅣兏㍁䍁䅷䅌楁䑁䅷材佂䑁䅯免㍁䑁䅧杉灁䅁䅁䅣䅍䕁䅁䅁㥁䙁䅍杔䵂䕁䅷兙楂䝁䅕䅢潁䑁䅉䅏㍁䍁䅷免祁䑁䅁睎㕁䑁䅣䅌獁䍁䅉䅐⭁䕁䄴杏硁䑁䅫杉灁䅁䅁兤䅍䑁䄴䅁㥁䙁䅍杔䵂䕁䅷兙楂䝁䅕䅢潁䑁䅉䅏㍁䍁䅷免祁䑁䅁睎㕁䑁䅣䅌獁䍁䅉䅐⭁䕁䄴杏祁䍁䅉克䅁䍁䑉䅁⭁䅁䅁児呂䕁䄴䅔䵂䝁䅅杙求䝁䅷䅋祁䑁䅧睎獁䑁䅅杍睁䑁䅣兏㍁䍁䅷䅌楁䑁䅷材佂䑁䅯睍楁䍁䅫䅁橁睁䅁材䅁䑁䄰睕佂䕁䅷䅔桂䝁䅉党獂䍁䅧杍㑁䑁䅣䅌硁䑁䅉䅍㍁䑁䅫睎獁䍁䅷杉㡁䑁䄴杔㙁䑁䅑杉灁䅁䅁䅊䅍䕁䅁䅁㥁䙁䅍杔䵂䕁䅷兙楂䝁䅕䅢潁䑁䅉䅏㍁䍁䅷免祁䑁䅁睎㕁䑁䅣䅌獁䍁䅉䅐⭁䕁䄴杏ぁ䑁䅁杉灁䅁䅁睦䅍䑁䄴䅁㥁䙁䅍杔䵂䕁䅷兙楂䝁䅕䅢潁䑁䅉䅏㍁䍁䅷免祁䑁䅁睎㕁䑁䅣䅌獁䍁䅉䅐⭁䕁䄴杏ㅁ䍁䅉克䅁䍁䑕䅁⭁䅁䅁児呂䕁䄴䅔䵂䝁䅅杙求䝁䅷䅋祁䑁䅧睎獁䑁䅅杍睁䑁䅣兏㍁䍁䅷䅌楁䑁䅷材佂䑁䅯李楁䍁䅫䅁流睁䅁材䅁䑁䄰睕佂䕁䅷䅔桂䝁䅉党獂䍁䅧杍㑁䑁䅣䅌硁䑁䅉䅍㍁䑁䅫睎獁䍁䅷杉㡁䑁䄴杔㙁䑁䅣杉灁䅁䅁睊䅍䑁䄴䅁㥁䙁䅍杔䵂䕁䅷兙楂䝁䅕䅢潁䑁䅉䅏㍁䍁䅷免祁䑁䅁睎㕁䑁䅣䅌獁䍁䅉䅐⭁䕁䄴杏㑁䍁䅉克䅁䍁䑧䅁⭁䅁䅁児呂䕁䄴䅔䵂䝁䅅杙求䝁䅷䅋祁䑁䅧睎獁䑁䅅杍睁䑁䅣兏㍁䍁䅷䅌楁䑁䅷材佂䑁䅯兏楁䍁䅫䅁灁睁䅁䅑䅁䑁䄰睕佂䕁䅷䅔桂䝁䅉党獂䍁䅧杍㑁䑁䅣䅌硁䑁䅉䅍㍁䑁䅫䅏獁䍁䅷杉㡁䑁䄴免ㅁ䑁䅯免楁䍁䅫䅁䑃睁䅁村䅁䑁䄰睕佂䕁䅷䅔桂䝁䅉党獂䍁䅧杍㑁䑁䅣䅌硁䑁䅉䅍㍁䑁䅫䅏獁䍁䅷杉㡁䑁䄴免ㅁ䑁䅯免睁䍁䅉克䅁䥁䑑䅁䍂䅁䅁児呂䕁䄴䅔䵂䝁䅅杙求䝁䅷䅋祁䑁䅧睎獁䑁䅅杍睁䑁䅣兏㑁䍁䅷䅌楁䑁䅷材硁䑁䅕杏硁䑁䅉杉灁䅁䅁全䅍䕁䅉䅁㥁䙁䅍杔䵂䕁䅷兙楂䝁䅕䅢潁䑁䅉䅏㍁䍁䅷免祁䑁䅁睎㕁䑁䅧䅌獁䍁䅉䅐⭁䑁䅅兎㙁䑁䅅睍楁䍁䅫䅁䝃睁䅁村䅁䑁䄰睕佂䕁䅷䅔桂䝁䅉党獂䍁䅧杍㑁䑁䅣䅌硁䑁䅉䅍㍁䑁䅫䅏獁䍁䅷杉㡁䑁䄴免ㅁ䑁䅯免ぁ䍁䅉克䅁䥁䑣䅁䕂䅁䅁児呂䕁䄴䅔䵂䝁䅅杙求䝁䅷䅋祁䑁䅧睎獁䑁䅅杍睁䑁䅣兏㑁䍁䅷䅌楁䑁䅷材硁䑁䅕杏硁䑁䅑李楁䍁䅫䅁汃杁䅁村䅁䑁䄰睕佂䕁䅷䅔桂䝁䅉党獂䍁䅧杍㑁䑁䅣䅌硁䑁䅉䅍㍁䑁䅫䅏獁䍁䅷杉㡁䑁䄴免ㅁ䑁䅯免ㅁ䍁䅉克䅁䥁䑧䅁䕂䅁䅁児呂䕁䄴䅔䵂䝁䅅杙求䝁䅷䅋祁䑁䅧睎獁䑁䅅杍睁䑁䅣兏㑁䍁䅷䅌楁䑁䅷材硁䑁䅕杏硁䑁䅕杍楁䍁䅫䅁浃杁䅁村䅁䑁䄰睕佂䕁䅷䅔桂䝁䅉党獂䍁䅧杍㑁䑁䅣䅌硁䑁䅉䅍㍁䑁䅫䅏獁䍁䅷杉㡁䑁䄴免ㅁ䑁䅯免㉁䍁䅉克䅁䥁䑫䅁䍂䅁䅁児呂䕁䄴䅔䵂䝁䅅杙求䝁䅷䅋祁䑁䅧睎獁䑁䅅杍睁䑁䅣兏㑁䍁䅷䅌楁䑁䅷材硁䑁䅕杏硁䑁䅣杉灁䅁䅁杩䅍䕁䅑䅁㥁䙁䅍杔䵂䕁䅷兙楂䝁䅕䅢潁䑁䅉䅏㍁䍁䅷免祁䑁䅁睎㕁䑁䅧䅌獁䍁䅉䅐⭁䑁䅅兎㙁䑁䅅睎㑁䍁䅉克䅁䭁䍣䅁䕂䅁䅁児呂䕁䄴䅔䵂䝁䅅杙求䝁䅷䅋祁䑁䅧睎獁䑁䅅杍睁䑁䅣兏㑁䍁䅷䅌楁䑁䅷材硁䑁䅕杏硁䑁䅣兏楁䍁䅫䅁潃杁䅁村䅁䑁䄰睕佂䕁䅷䅔桂䝁䅉党獂䍁䅧杍㑁䑁䅣䅌硁䑁䅉䅍㍁䑁䅫䅏獁䍁䅷杉㡁䑁䄴免ㅁ䑁䅯免㑁䍁䅉克䅁䥁䑳䅁䕂䅁䅁児呂䕁䄴䅔䵂䝁䅅杙求䝁䅷䅋祁䑁䅧睎獁䑁䅅杍睁䑁䅣兏㑁䍁䅷䅌楁䑁䅷材硁䑁䅕杏硁䑁䅧䅍楁䍁䅫䅁灃杁䅁䅒䅁䑁䄰睕佂䕁䅷䅔桂䝁䅉党獂䍁䅧杍㑁䑁䅣䅌硁䑁䅉䅍㍁䑁䅫䅏獁䍁䅷杉㡁䑁䄴免ㅁ䑁䅯免㑁䑁䅅杉灁䅁䅁東䅉䕁䅉䅁㥁䙁䅍杔䵂䕁䅷兙楂䝁䅕䅢潁䑁䅉䅏㍁䍁䅷免祁䑁䅁睎㕁䑁䅧䅌獁䍁䅉䅐⭁䑁䅅兎㙁䑁䅅兏楁䍁䅫䅁䵃睁䅁䅑䅁䑁䄰睕佂䕁䅷䅔桂䝁䅉党獂䍁䅧杍㑁䑁䅣䅌硁䑁䅉䅍㍁䑁䅫䅏獁䍁䅷杉㡁䑁䄴免ㅁ䑁䅯杍楁䍁䅫䅁楃睁䅁䅑䅁䑁䄰睕佂䕁䅷䅔桂䝁䅉党獂䍁䅧杍㑁䑁䅣䅌硁䑁䅉䅍㍁䑁䅫䅏獁䍁䅷杉㡁䑁䄴免ㅁ䑁䅯睍楁䍁䅫䅁汃睁䅁䅑䅁䑁䄰睕佂䕁䅷䅔桂䝁䅉党獂䍁䅧杍㑁䑁䅣䅌硁䑁䅉䅍㍁䑁䅫䅏獁䍁䅷杉㡁䑁䄴免ㅁ䑁䅯䅎楁䍁䅫䅁潃睁䅁村䅁䑁䄰睕佂䕁䅷䅔桂䝁䅉党獂䍁䅧杍㑁䑁䅣䅌硁䑁䅉䅍㍁䑁䅫䅏獁䍁䅷杉㡁䑁䄴免ㅁ䑁䅯䅎睁䍁䅉克䅁䭁䑫䅁䅂䅁䅁児呂䕁䄴䅔䵂䝁䅅杙求䝁䅷䅋祁䑁䅧睎獁䑁䅅杍睁䑁䅣兏㑁䍁䅷䅌楁䑁䅷材硁䑁䅕杏ㅁ䍁䅉克䅁䭁䐰䅁䅂䅁䅁児呂䕁䄴䅔䵂䝁䅅杙求䝁䅷䅋祁䑁䅧睎獁䑁䅅杍睁䑁䅣兏㑁䍁䅷䅌楁䑁䅷材硁䑁䅕杏㉁䍁䅉克䅁䱁䑁䅁䅂䅁䅁児呂䕁䄴䅔䵂䝁䅅杙求䝁䅷䅋祁䑁䅧睎獁䑁䅅杍睁䑁䅣兏㑁䍁䅷䅌楁䑁䅷材硁䑁䅕杏㍁䍁䅉克䅁䱁䑉䅁䅂䅁䅁児呂䕁䄴䅔䵂䝁䅅杙求䝁䅷䅋祁䑁䅧睎獁䑁䅅杍睁䑁䅣兏㑁䍁䅷䅌楁䑁䅷材硁䑁䅕杏㑁䍁䅉克䅁䥁䐰䅁䅂䅁䅁児呂䕁䄴䅔䵂䝁䅅杙求䝁䅷䅋祁䑁䅧睎獁䑁䅅杍睁䑁䅣兏㑁䍁䅷䅌楁䑁䅷材硁䑁䅕杏㕁䍁䅉克䅁䱁䑣䅁⭁䅁䅁児呂䕁䄴䅔䵂䝁䅅杙求䝁䅷䅋祁䑁䅧睎獁䑁䅅杍睁䑁䅣兏㑁䍁䅷䅌楁䑁䅷材㕁䑁䅯免楁䍁䅫䅁佃睁䅁䅑䅁䑁䄰睕佂䕁䅷䅔桂䝁䅉党獂䍁䅧杍㑁䑁䅣䅌硁䑁䅉䅍㍁䑁䅫䅏獁䍁䅷杉㡁䑁䄴兏㙁䑁䅅䅍楁䍁䅫䅁煄杁䅁䅑䅁䑁䄰睕佂䕁䅷䅔桂䝁䅉党獂䍁䅧杍㑁䑁䅣䅌硁䑁䅉䅍㍁䑁䅫䅏獁䍁䅷杉㡁䑁䄴兏㙁䑁䅅杍楁䍁䅫䅁橃睁䅁䅑䅁䑁䄰睕佂䕁䅷䅔桂䝁䅉党獂䍁䅧杍㑁䑁䅣䅌硁䑁䅉䅍㍁䑁䅫䅏獁䍁䅷杉㡁䑁䄴兏㙁䑁䅅睍楁䍁䅫䅁浃睁䅁䅑䅁䑁䄰睕佂䕁䅷䅔桂䝁䅉党獂䍁䅧杍㑁䑁䅣䅌硁䑁䅉䅍㍁䑁䅫䅏獁䍁䅷杉㡁䑁䄴兏㙁䑁䅅䅎楁䍁䅫䅁煃睁䅁村䅁䑁䄰睕佂䕁䅷䅔桂䝁䅉党獂䍁䅧杍㑁䑁䅣䅌硁䑁䅉䅍㍁䑁䅫䅏獁䍁䅷杉㡁䑁䄴兏㙁䑁䅅䅎㉁䍁䅉克䅁䭁䑳䅁䅂䅁䅁児呂䕁䄴䅔䵂䝁䅅杙求䝁䅷䅋祁䑁䅧睎獁䑁䅅杍睁䑁䅣兏㑁䍁䅷䅌楁䑁䅷材㕁䑁䅯免ㅁ䍁䅉克䅁䭁䐴䅁䍂䅁䅁児呂䕁䄴䅔䵂䝁䅅杙求䝁䅷䅋祁䑁䅧睎獁䑁䅅杍睁䑁䅣兏㑁䍁䅷䅌楁䑁䅷材㕁䑁䅯免ㅁ䑁䅉杉灁䅁䅁睲䅍䕁䅁䅁㥁䙁䅍杔䵂䕁䅷兙楂䝁䅕䅢潁䑁䅉䅏㍁䍁䅷免祁䑁䅁睎㕁䑁䅧䅌獁䍁䅉䅐⭁䑁䅫杏硁䑁䅙杉灁䅁䅁关䅍䕁䅁䅁㥁䙁䅍杔䵂䕁䅷兙楂䝁䅕䅢潁䑁䅉䅏㍁䍁䅷免祁䑁䅁睎㕁䑁䅧䅌獁䍁䅉䅐⭁䑁䅫杏硁䑁䅣杉灁䅁䅁睳䅍䕁䅉䅁㥁䙁䅍杔䵂䕁䅷兙楂䝁䅕䅢潁䑁䅉䅏㍁䍁䅷免祁䑁䅁睎㕁䑁䅧䅌獁䍁䅉䅐⭁䑁䅫杏硁䑁䅣䅏楁䍁䅫䅁ぃ睁䅁村䅁䑁䄰睕佂䕁䅷䅔桂䝁䅉党獂䍁䅧杍㑁䑁䅣䅌硁䑁䅉䅍㍁䑁䅫䅏獁䍁䅷杉㡁䑁䄴兏㙁䑁䅅睎㕁䍁䅉克䅁䱁䑕䅁䅂䅁䅁児呂䕁䄴䅔䵂䝁䅅杙求䝁䅷䅋祁䑁䅧睎獁䑁䅅杍睁䑁䅣兏㑁䍁䅷䅌楁䑁䅷材㕁䑁䅯免㑁䍁䅉克䅁䥁䐸䅁䍂䅁䅁児呂䕁䄴䅔䵂䝁䅅杙求䝁䅷䅋祁䑁䅧睎獁䑁䅅杍睁䑁䅣兏㑁䍁䅷䅌楁䑁䅷材㕁䑁䅯免㑁䑁䅁杉灁䅁䅁䅫䅍䕁䅁䅁㥁䙁䅍杔䵂䕁䅷兙楂䝁䅕䅢潁䑁䅉䅏㍁䍁䅷免祁䑁䅁睎㕁䑁䅧䅌獁䍁䅉䅐⭁䑁䅫杏硁䑁䅫杉灁䅁䅁䅵䅍䑁䄴䅁㥁䙁䅍杔䵂䕁䅷兙楂䝁䅕䅢潁䑁䅉䅏㍁䍁䅷免祁䑁䅁睎㕁䑁䅧䅌獁䍁䅉䅐⭁䑁䅫杏祁䍁䅉克䅁䩁䑅䅁⭁䅁䅁児呂䕁䄴䅔䵂䝁䅅杙求䝁䅷䅋祁䑁䅧睎獁䑁䅅杍睁䑁䅣兏㑁䍁䅷䅌楁䑁䅷材㕁䑁䅯睍楁䍁䅫䅁千睁䅁材䅁䑁䄰睕佂䕁䅷䅔桂䝁䅉党獂䍁䅧杍㑁䑁䅣䅌硁䑁䅉䅍㍁䑁䅫䅏獁䍁䅷杉㡁䑁䄴兏㙁䑁䅑杉灁䅁䅁睫䅍䕁䅁䅁㥁䙁䅍杔䵂䕁䅷兙楂䝁䅕䅢潁䑁䅉䅏㍁䍁䅷免祁䑁䅁睎㕁䑁䅧䅌獁䍁䅉䅐⭁䑁䅫杏ぁ䑁䅁杉灁䅁䅁眶䅉䑁䄴䅁㥁䙁䅍杔䵂䕁䅷兙楂䝁䅕䅢潁䑁䅉䅏㍁䍁䅷免祁䑁䅁睎㕁䑁䅧䅌獁䍁䅉䅐⭁䑁䅫杏ㅁ䍁䅉克䅁䩁䑑䅁⭁䅁䅁児呂䕁䄴䅔䵂䝁䅅杙求䝁䅷䅋祁䑁䅧睎獁䑁䅅杍睁䑁䅣兏㑁䍁䅷䅌楁䑁䅷材㕁䑁䅯李楁䍁䅫䅁噃睁䅁材䅁䑁䄰睕佂䕁䅷䅔桂䝁䅉党獂䍁䅧杍㑁䑁䅣䅌硁䑁䅉䅍㍁䑁䅫䅏獁䍁䅷杉㡁䑁䄴兏㙁䑁䅣杉灁䅁䅁杬䅍䑁䄴䅁㥁䙁䅍杔䵂䕁䅷兙楂䝁䅕䅢潁䑁䅉䅏㍁䍁䅷免祁䑁䅁睎㕁䑁䅧䅌獁䍁䅉䅐⭁䑁䅫杏㑁䍁䅉克䅁䩁䑣䅁⭁䅁䅁児呂䕁䄴䅔䵂䝁䅅杙求䝁䅷䅋祁䑁䅧睎獁䑁䅅杍睁䑁䅣兏㑁䍁䅷䅌楁䑁䅷材㕁䑁䅯兏楁䍁䅫䅁奃睁䅁材䅁䑁䄰睕佂䕁䅷䅔桂䝁䅉党獂䍁䅧杍㑁䑁䅣䅌硁䑁䅉䅍㍁䑁䅫䅏獁䍁䅷杉㡁䑁䄴杔㙁䑁䅅杉灁䅁䅁六䅍䕁䅁䅁㥁䙁䅍杔䵂䕁䅷兙楂䝁䅕䅢潁䑁䅉䅏㍁䍁䅷免祁䑁䅁睎㕁䑁䅧䅌獁䍁䅉䅐⭁䕁䄴杏硁䑁䅁杉灁䅁䅁䄷䅉䕁䅁䅁㥁䙁䅍杔䵂䕁䅷兙楂䝁䅕䅢潁䑁䅉䅏㍁䍁䅷免祁䑁䅁睎㕁䑁䅧䅌獁䍁䅉䅐⭁䕁䄴杏硁䑁䅉杉灁䅁䅁䅰䅍䕁䅁䅁㥁䙁䅍杔䵂䕁䅷兙楂䝁䅕䅢潁䑁䅉䅏㍁䍁䅷免祁䑁䅁睎㕁䑁䅧䅌獁䍁䅉䅐⭁䕁䄴杏硁䑁䅍杉灁䅁䅁睰䅍䕁䅁䅁㥁䙁䅍杔䵂䕁䅷兙楂䝁䅕䅢潁䑁䅉䅏㍁䍁䅷免祁䑁䅁睎㕁䑁䅧䅌獁䍁䅉䅐⭁䕁䄴杏硁䑁䅑杉灁䅁䅁䅲䅍䕁䅉䅁㥁䙁䅍杔䵂䕁䅷兙楂䝁䅕䅢潁䑁䅉䅏㍁䍁䅷免祁䑁䅁睎㕁䑁䅧䅌獁䍁䅉䅐⭁䕁䄴杏硁䑁䅣䅏楁䍁䅫䅁㉃睁䅁䅑䅁䑁䄰睕佂䕁䅷䅔桂䝁䅉党獂䍁䅧杍㑁䑁䅣䅌硁䑁䅉䅍㍁䑁䅫䅏獁䍁䅷杉㡁䑁䄴杔㙁䑁䅅兏楁䍁䅫䅁㕃睁䅁材䅁䑁䄰睕佂䕁䅷䅔桂䝁䅉党獂䍁䅧杍㑁䑁䅣䅌硁䑁䅉䅍㍁䑁䅫䅏獁䍁䅷杉㡁䑁䄴杔㙁䑁䅉杉灁䅁䅁杭䅍䑁䄴䅁㥁䙁䅍杔䵂䕁䅷兙楂䝁䅕䅢潁䑁䅉䅏㍁䍁䅷免祁䑁䅁睎㕁䑁䅧䅌獁䍁䅉䅐⭁䕁䄴杏穁䍁䅉克䅁䩁䑳䅁⭁䅁䅁児呂䕁䄴䅔䵂䝁䅅杙求䝁䅷䅋祁䑁䅧睎獁䑁䅅杍睁䑁䅣兏㑁䍁䅷䅌楁䑁䅷材佂䑁䅯䅎楁䍁䅫䅁捃睁䅁䅑䅁䑁䄰睕佂䕁䅷䅔桂䝁䅉党獂䍁䅧杍㑁䑁䅣䅌硁䑁䅉䅍㍁䑁䅫䅏獁䍁䅷杉㡁䑁䄴杔㙁䑁䅑䅍楁䍁䅫䅁瑄杁䅁材䅁䑁䄰睕佂䕁䅷䅔桂䝁䅉党獂䍁䅧杍㑁䑁䅣䅌硁䑁䅉䅍㍁䑁䅫䅏獁䍁䅷杉㡁䑁䄴杔㙁䑁䅕杉灁䅁䅁兮䅍䑁䄴䅁㥁䙁䅍杔䵂䕁䅷兙楂䝁䅕䅢潁䑁䅉䅏㍁䍁䅷免祁䑁䅁睎㕁䑁䅧䅌獁䍁䅉䅐⭁䕁䄴杏㉁䍁䅉克䅁䩁䐴䅁⭁䅁䅁児呂䕁䄴䅔䵂䝁䅅杙求䝁䅷䅋祁䑁䅧睎獁䑁䅅杍睁䑁䅣兏㑁䍁䅷䅌楁䑁䅷材佂䑁䅯睎楁䍁䅫䅁晃睁䅁材䅁䑁䄰睕佂䕁䅷䅔桂䝁䅉党獂䍁䅧杍㑁䑁䅣䅌硁䑁䅉䅍㍁䑁䅫䅏獁䍁䅷杉㡁䑁䄴杔㙁䑁䅧杉灁䅁䅁䅯䅍䑁䄴䅁㥁䙁䅍杔䵂䕁䅷兙楂䝁䅕䅢潁䑁䅉䅏㍁䍁䅷免祁䑁䅁睎㕁䑁䅧䅌獁䍁䅉䅐⭁䕁䄴杏㕁䍁䅉克䅁䭁䑅䅁䅂䅁䅁児呂䕁䄴䅔䵂䝁䅅杙求䝁䅷䅋祁䑁䅧睎獁䑁䅅杍睁䑁䅣兏㕁䍁䅷䅌楁䑁䅷材硁䑁䅕杏硁䍁䅉克䅁䑁䘰䅁䍂䅁䅁児呂䕁䄴䅔䵂䝁䅅杙求䝁䅷䅋祁䑁䅧睎獁䑁䅅杍睁䑁䅣兏㕁䍁䅷䅌楁䑁䅷材硁䑁䅕杏硁䑁䅁杉灁䅁䅁材䅕䕁䅉䅁㥁䙁䅍杔䵂䕁䅷兙楂䝁䅕䅢潁䑁䅉䅏㍁䍁䅷免祁䑁䅁睎㕁䑁䅫䅌獁䍁䅉䅐⭁䑁䅅兎㙁䑁䅅杍楁䍁䅫䅁⽁兂䅁村䅁䑁䄰睕佂䕁䅷䅔桂䝁䅉党獂䍁䅧杍㑁䑁䅣䅌硁䑁䅉䅍㍁䑁䅫兏獁䍁䅷杉㡁䑁䄴免ㅁ䑁䅯免穁䍁䅉克䅁䕁䙁䅁䍂䅁䅁児呂䕁䄴䅔䵂䝁䅅杙求䝁䅷䅋祁䑁䅧睎獁䑁䅅杍睁䑁䅣兏㕁䍁䅷䅌楁䑁䅷材硁䑁䅕杏硁䑁䅑杉灁䅁䅁兑䅕䕁䅑䅁㥁䙁䅍杔䵂䕁䅷兙楂䝁䅕䅢潁䑁䅉䅏㍁䍁䅷免祁䑁䅁睎㕁䑁䅫䅌獁䍁䅉䅐⭁䑁䅅兎㙁䑁䅅䅎㉁䍁䅉克䅁䙁䘸䅁䍂䅁䅁児呂䕁䄴䅔䵂䝁䅅杙求䝁䅷䅋祁䑁䅧睎獁䑁䅅杍睁䑁䅣兏㕁䍁䅷䅌楁䑁䅷材硁䑁䅕杏硁䑁䅕杉灁䅁䅁村䅕䕁䅑䅁㥁䙁䅍杔䵂䕁䅷兙楂䝁䅕䅢潁䑁䅉䅏㍁䍁䅷免祁䑁䅁睎㕁䑁䅫䅌獁䍁䅉䅐⭁䑁䅅兎㙁䑁䅅兎祁䍁䅉克䅁䝁䙁䅁䍂䅁䅁児呂䕁䄴䅔䵂䝁䅅杙求䝁䅷䅋祁䑁䅧睎獁䑁䅅杍睁䑁䅣兏㕁䍁䅷䅌楁䑁䅷材硁䑁䅕杏硁䑁䅙杉灁䅁䅁睑䅕䕁䅉䅁㥁䙁䅍杔䵂䕁䅷兙楂䝁䅕䅢潁䑁䅉䅏㍁䍁䅷免祁䑁䅁睎㕁䑁䅫䅌獁䍁䅉䅐⭁䑁䅅兎㙁䑁䅅睎楁䍁䅫䅁䕂兂䅁䅒䅁䑁䄰睕佂䕁䅷䅔桂䝁䅉党獂䍁䅧杍㑁䑁䅣䅌硁䑁䅉䅍㍁䑁䅫兏獁䍁䅷杉㡁䑁䄴免ㅁ䑁䅯免㍁䑁䅧杉灁䅁䅁兙䅕䕁䅑䅁㥁䙁䅍杔䵂䕁䅷兙楂䝁䅕䅢潁䑁䅉䅏㍁䍁䅷免祁䑁䅁睎㕁䑁䅫䅌獁䍁䅉䅐⭁䑁䅅兎㙁䑁䅅睎㕁䍁䅉克䅁䝁䙉䅁䍂䅁䅁児呂䕁䄴䅔䵂䝁䅅杙求䝁䅷䅋祁䑁䅧睎獁䑁䅅杍睁䑁䅣兏㕁䍁䅷䅌楁䑁䅷材硁䑁䅕杏硁䑁䅧杉灁䅁䅁兒䅕䕁䅑䅁㥁䙁䅍杔䵂䕁䅷兙楂䝁䅕䅢潁䑁䅉䅏㍁䍁䅷免祁䑁䅁睎㕁䑁䅫䅌獁䍁䅉䅐⭁䑁䅅兎㙁䑁䅅䅏睁䍁䅉克䅁䝁䙍䅁䕂䅁䅁児呂䕁䄴䅔䵂䝁䅅杙求䝁䅷䅋祁䑁䅧睎獁䑁䅅杍睁䑁䅣兏㕁䍁䅷䅌楁䑁䅷材硁䑁䅕杏硁䑁䅧免楁䍁䅫䅁歂兂䅁村䅁䑁䄰睕佂䕁䅷䅔桂䝁䅉党獂䍁䅧杍㑁䑁䅣䅌硁䑁䅉䅍㍁䑁䅫兏獁䍁䅷杉㡁䑁䄴免ㅁ䑁䅯免㕁䍁䅉克䅁䕁䙙䅁䅂䅁䅁児呂䕁䄴䅔䵂䝁䅅杙求䝁䅷䅋祁䑁䅧睎獁䑁䅅杍睁䑁䅣兏㕁䍁䅷䅌楁䑁䅷材硁䑁䅕杏祁䍁䅉克䅁䉁䕑䅁䅂䅁䅁児呂䕁䄴䅔䵂䝁䅅杙求䝁䅷䅋祁䑁䅧睎獁䑁䅅杍睁䑁䅣兏㕁䍁䅷䅌楁䑁䅷材硁䑁䅕杏穁䍁䅉克䅁䕁䙣䅁䅂䅁䅁児呂䕁䄴䅔䵂䝁䅅杙求䝁䅷䅋祁䑁䅧睎獁䑁䅅杍睁䑁䅣兏㕁䍁䅷䅌楁䑁䅷材硁䑁䅕杏ぁ䍁䅉克䅁䕁䙯䅁䍂䅁䅁児呂䕁䄴䅔䵂䝁䅅杙求䝁䅷䅋祁䑁䅧睎獁䑁䅅杍睁䑁䅣兏㕁䍁䅷䅌楁䑁䅷材硁䑁䅕杏ぁ䑁䅁杉灁䅁䅁睓䅕䕁䅁䅁㥁䙁䅍杔䵂䕁䅷兙楂䝁䅕䅢潁䑁䅉䅏㍁䍁䅷免祁䑁䅁睎㕁䑁䅫䅌獁䍁䅉䅐⭁䑁䅅兎㙁䑁䅕杉灁䅁䅁睔䅕䕁䅁䅁㥁䙁䅍杔䵂䕁䅷兙楂䝁䅕䅢潁䑁䅉䅏㍁䍁䅷免祁䑁䅁睎㕁䑁䅫䅌獁䍁䅉䅐⭁䑁䅅兎㙁䑁䅙杉灁䅁䅁杕䅕䕁䅁䅁㥁䙁䅍杔䵂䕁䅷兙楂䝁䅕䅢潁䑁䅉䅏㍁䍁䅷免祁䑁䅁睎㕁䑁䅫䅌獁䍁䅉䅐⭁䑁䅅兎㙁䑁䅣杉灁䅁䅁䅖䅕䕁䅁䅁㥁䙁䅍杔䵂䕁䅷兙楂䝁䅕䅢潁䑁䅉䅏㍁䍁䅷免祁䑁䅁睎㕁䑁䅫䅌獁䍁䅉䅐⭁䑁䅅兎㙁䑁䅧杉灁䅁䅁兗䅕䕁䅁䅁㥁䙁䅍杔䵂䕁䅷兙楂䝁䅕䅢潁䑁䅉䅏㍁䍁䅷免祁䑁䅁睎㕁䑁䅫䅌獁䍁䅉䅐⭁䑁䅅兎㙁䑁䅫杉灁䅁䅁䅘䅕䑁䄴䅁㥁䙁䅍杔䵂䕁䅷兙楂䝁䅕䅢潁䑁䅉䅏㍁䍁䅷免祁䑁䅁睎㕁䑁䅫䅌獁䍁䅉䅐⭁䑁䅫杏硁䍁䅉克䅁䉁䕷䅁䅂䅁䅁児呂䕁䄴䅔䵂䝁䅅杙求䝁䅷䅋祁䑁䅧睎獁䑁䅅杍睁䑁䅣兏㕁䍁䅷䅌楁䑁䅷材㕁䑁䅯免睁䍁䅉克䅁䝁䙕䅁䅂䅁䅁児呂䕁䄴䅔䵂䝁䅅杙求䝁䅷䅋祁䑁䅧睎獁䑁䅅杍睁䑁䅣兏㕁䍁䅷䅌楁䑁䅷材㕁䑁䅯免祁䍁䅉克䅁䉁䕕䅁䅂䅁䅁児呂䕁䄴䅔䵂䝁䅅杙求䝁䅷䅋祁䑁䅧睎獁䑁䅅杍睁䑁䅣兏㕁䍁䅷䅌楁䑁䅷材㕁䑁䅯免穁䍁䅉克䅁䕁䙧䅁䅂䅁䅁児呂䕁䄴䅔䵂䝁䅅杙求䝁䅷䅋祁䑁䅧睎獁䑁䅅杍睁䑁䅣兏㕁䍁䅷䅌楁䑁䅷材㕁䑁䅯免ぁ䍁䅉克䅁䕁䙷䅁䍂䅁䅁児呂䕁䄴䅔䵂䝁䅅杙求䝁䅷䅋祁䑁䅧睎獁䑁䅅杍睁䑁䅣兏㕁䍁䅷䅌楁䑁䅷材㕁䑁䅯免ぁ䑁䅙杉灁䅁䅁兔䅕䕁䅁䅁㥁䙁䅍杔䵂䕁䅷兙楂䝁䅕䅢潁䑁䅉䅏㍁䍁䅷免祁䑁䅁睎㕁䑁䅫䅌獁䍁䅉䅐⭁䑁䅫杏硁䑁䅕杉灁䅁䅁䅕䅕䕁䅉䅁㥁䙁䅍杔䵂䕁䅷兙楂䝁䅕䅢潁䑁䅉䅏㍁䍁䅷免祁䑁䅁睎㕁䑁䅫䅌獁䍁䅉䅐⭁䑁䅫杏硁䑁䅕杍楁䍁䅫䅁剂兂䅁䅑䅁䑁䄰睕佂䕁䅷䅔桂䝁䅉党獂䍁䅧杍㑁䑁䅣䅌硁䑁䅉䅍㍁䑁䅫兏獁䍁䅷杉㡁䑁䄴兏㙁䑁䅅李楁䍁䅫䅁呂兂䅁䅑䅁䑁䄰睕佂䕁䅷䅔桂䝁䅉党獂䍁䅧杍㑁䑁䅣䅌硁䑁䅉䅍㍁䑁䅫兏獁䍁䅷杉㡁䑁䄴兏㙁䑁䅅睎楁䍁䅫䅁噂兂䅁村䅁䑁䄰睕佂䕁䅷䅔桂䝁䅉党獂䍁䅧杍㑁䑁䅣䅌硁䑁䅉䅍㍁䑁䅫兏獁䍁䅷杉㡁䑁䄴兏㙁䑁䅅睎㑁䍁䅉克䅁䙁䙙䅁䍂䅁䅁児呂䕁䄴䅔䵂䝁䅅杙求䝁䅷䅋祁䑁䅧睎獁䑁䅅杍睁䑁䅣兏㕁䍁䅷䅌楁䑁䅷材㕁䑁䅯免㍁䑁䅫杉灁䅁䅁睖䅕䕁䅁䅁㥁䙁䅍杔䵂䕁䅷兙楂䝁䅕䅢潁䑁䅉䅏㍁䍁䅷免祁䑁䅁睎㕁䑁䅫䅌獁䍁䅉䅐⭁䑁䅫杏硁䑁䅧杉灁䅁䅁杗䅕䕁䅉䅁㥁䙁䅍杔䵂䕁䅷兙楂䝁䅕䅢潁䑁䅉䅏㍁䍁䅷免祁䑁䅁睎㕁䑁䅫䅌獁䍁䅉䅐⭁䑁䅫杏硁䑁䅧䅍楁䍁䅫䅁扂兂䅁䅑䅁䑁䄰睕佂䕁䅷䅔桂䝁䅉党獂䍁䅧杍㑁䑁䅣䅌硁䑁䅉䅍㍁䑁䅫兏獁䍁䅷杉㡁䑁䄴兏㙁䑁䅅兏楁䍁䅫䅁摂兂䅁材䅁䑁䄰睕佂䕁䅷䅔桂䝁䅉党獂䍁䅧杍㑁䑁䅣䅌硁䑁䅉䅍㍁䑁䅫兏獁䍁䅷杉㡁䑁䄴兏㙁䑁䅉杉灁䅁䅁先䅑䑁䄴䅁㥁䙁䅍杔䵂䕁䅷兙楂䝁䅕䅢潁䑁䅉䅏㍁䍁䅷免祁䑁䅁睎㕁䑁䅫䅌獁䍁䅉䅐⭁䑁䅫杏穁䍁䅉克䅁䉁䔴䅁⭁䅁䅁児呂䕁䄴䅔䵂䝁䅅杙求䝁䅷䅋祁䑁䅧睎獁䑁䅅杍睁䑁䅣兏㕁䍁䅷䅌楁䑁䅷材㕁䑁䅯䅎楁䍁䅫䅁晁䅂䅁䅑䅁䑁䄰睕佂䕁䅷䅔桂䝁䅉党獂䍁䅧杍㑁䑁䅣䅌硁䑁䅉䅍㍁䑁䅫兏獁䍁䅷杉㡁䑁䄴兏㙁䑁䅑䅍楁䍁䅫䅁浂兂䅁材䅁䑁䄰睕佂䕁䅷䅔桂䝁䅉党獂䍁䅧杍㑁䑁䅣䅌硁䑁䅉䅍㍁䑁䅫兏獁䍁䅷杉㡁䑁䄴兏㙁䑁䅕杉灁䅁䅁䅉䅑䑁䄴䅁㥁䙁䅍杔䵂䕁䅷兙楂䝁䅕䅢潁䑁䅉䅏㍁䍁䅷免祁䑁䅁睎㕁䑁䅫䅌獁䍁䅉䅐⭁䑁䅫杏㉁䍁䅉克䅁䍁䕅䅁⭁䅁䅁児呂䕁䄴䅔䵂䝁䅅杙求䝁䅷䅋祁䑁䅧睎獁䑁䅅杍睁䑁䅣兏㕁䍁䅷䅌楁䑁䅷材㕁䑁䅯睎楁䍁䅫䅁楁䅂䅁材䅁䑁䄰睕佂䕁䅷䅔桂䝁䅉党獂䍁䅧杍㑁䑁䅣䅌硁䑁䅉䅍㍁䑁䅫兏獁䍁䅷杉㡁䑁䄴兏㙁䑁䅧杉灁䅁䅁睉䅑䑁䄴䅁㥁䙁䅍杔䵂䕁䅷兙楂䝁䅕䅢潁䑁䅉䅏㍁䍁䅷免祁䑁䅁睎㕁䑁䅫䅌獁䍁䅉䅐⭁䑁䅫杏㕁䍁䅉克䅁䍁䕑䅁⭁䅁䅁児呂䕁䄴䅔䵂䝁䅅杙求䝁䅷䅋祁䑁䅧睎獁䑁䅅杍睁䑁䅣兏㕁䍁䅷䅌楁䑁䅷材佂䑁䅯免楁䍁䅫䅁汁䅂䅁䅑䅁䑁䄰睕佂䕁䅷䅔桂䝁䅉党獂䍁䅧杍㑁䑁䅣䅌硁䑁䅉䅍㍁䑁䅫兏獁䍁䅷杉㡁䑁䄴杔㙁䑁䅅䅍楁䍁䅫䅁湂兂䅁䅑䅁䑁䄰睕佂䕁䅷䅔桂䝁䅉党獂䍁䅧杍㑁䑁䅣䅌硁䑁䅉䅍㍁䑁䅫兏獁䍁䅷杉㡁䑁䄴杔㙁䑁䅅杍楁䍁䅫䅁坁䅂䅁䅑䅁䑁䄰睕佂䕁䅷䅔桂䝁䅉党獂䍁䅧杍㑁䑁䅣䅌硁䑁䅉䅍㍁䑁䅫兏獁䍁䅷杉㡁䑁䄴杔㙁䑁䅅睍楁䍁䅫䅁䩂兂䅁䅑䅁䑁䄰睕佂䕁䅷䅔桂䝁䅉党獂䍁䅧杍㑁䑁䅣䅌硁䑁䅉䅍㍁䑁䅫兏獁䍁䅷杉㡁䑁䄴杔㙁䑁䅅䅎楁䍁䅫䅁佂兂䅁村䅁䑁䄰睕佂䕁䅷䅔桂䝁䅉党獂䍁䅧杍㑁䑁䅣䅌硁䑁䅉䅍㍁䑁䅫兏獁䍁䅷杉㡁䑁䄴杔㙁䑁䅅睎㑁䍁䅉克䅁䙁䙧䅁䅂䅁䅁児呂䕁䄴䅔䵂䝁䅅杙求䝁䅷䅋祁䑁䅧睎獁䑁䅅杍睁䑁䅣兏㕁䍁䅷䅌楁䑁䅷材佂䑁䅯免㕁䍁䅉克䅁䙁䘴䅁⭁䅁䅁児呂䕁䄴䅔䵂䝁䅅杙求䝁䅷䅋祁䑁䅧睎獁䑁䅅杍睁䑁䅣兏㕁䍁䅷䅌楁䑁䅷材佂䑁䅯杍楁䍁䅫䅁流䅂䅁材䅁䑁䄰睕佂䕁䅷䅔桂䝁䅉党獂䍁䅧杍㑁䑁䅣䅌硁䑁䅉䅍㍁䑁䅫兏獁䍁䅷杉㡁䑁䄴杔㙁䑁䅍杉灁䅁䅁睊䅑䑁䄴䅁㥁䙁䅍杔䵂䕁䅷兙楂䝁䅕䅢潁䑁䅉䅏㍁䍁䅷免祁䑁䅁睎㕁䑁䅫䅌獁䍁䅉䅐⭁䕁䄴杏ぁ䍁䅉克䅁䍁䕧䅁䅂䅁䅁児呂䕁䄴䅔䵂䝁䅅杙求䝁䅷䅋祁䑁䅧睎獁䑁䅅杍睁䑁䅣兏㕁䍁䅷䅌楁䑁䅷材佂䑁䅯䅎睁䍁䅉克䅁䝁䙧䅁⭁䅁䅁児呂䕁䄴䅔䵂䝁䅅杙求䝁䅷䅋祁䑁䅧睎獁䑁䅅杍睁䑁䅣兏㕁䍁䅷䅌楁䑁䅷材佂䑁䅯兎楁䍁䅫䅁灁䅂䅁材䅁䑁䄰睕佂䕁䅷䅔桂䝁䅉党獂䍁䅧杍㑁䑁䅣䅌硁䑁䅉䅍㍁䑁䅫兏獁䍁䅷杉㡁䑁䄴杔㙁䑁䅙杉灁䅁䅁杋䅑䑁䄴䅁㥁䙁䅍杔䵂䕁䅷兙楂䝁䅕䅢潁䑁䅉䅏㍁䍁䅷免祁䑁䅁睎㕁䑁䅫䅌獁䍁䅉䅐⭁䕁䄴杏㍁䍁䅉克䅁䍁䕳䅁⭁䅁䅁児呂䕁䄴䅔䵂䝁䅅杙求䝁䅷䅋祁䑁䅧睎獁䑁䅅杍睁䑁䅣兏㕁䍁䅷䅌楁䑁䅷材佂䑁䅯䅏楁䍁䅫䅁獁䅂䅁材䅁䑁䄰睕佂䕁䅷䅔桂䝁䅉党獂䍁䅧杍㑁䑁䅣䅌硁䑁䅉䅍㍁䑁䅫兏獁䍁䅷杉㡁䑁䄴杔㙁䑁䅫杉灁䅁䅁兌䅑乁䅉䅁㥁䙁䅍杔䵂䕁䅷兙楂䝁䅕䅢潁䑁䅉䅏㍁䍁䅷免祁䑁䅅䅏睁䑁䅧䅌楁䑁䅷材䑂䕁䅕睔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坂杂䅁朰䅁䑁䄰睕佂䕁䅷䅔桂䝁䅉党獂䍁䅧杍㑁䑁䅣䅌硁䑁䅉免㑁䑁䅁䅏獁䍁䅉䅐⭁䕁䅍杒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䝧䅁卄䅁䅁児呂䕁䄴䅔䵂䝁䅅杙求䝁䅷䅋祁䑁䅧睎獁䑁䅅杍硁䑁䅧䅍㑁䍁䅷杉㡁䑁䄴睑䥂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杗䅙䵁䄴䅁㥁䙁䅍杔䵂䕁䅷兙楂䝁䅕䅢潁䑁䅉䅏㍁䍁䅷免祁䑁䅅䅏睁䑁䅧䅌楁䑁䅷材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䝳䅁奄䅁䅁児呂䕁䄴䅔䵂䝁䅅杙求䝁䅷䅋祁䑁䅧睎獁䑁䅅杍硁䑁䅧免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兙䅙乁䅯䅁㥁䙁䅍杔䵂䕁䅷兙楂䝁䅕䅢潁䑁䅉䅏㍁䍁䅷免祁䑁䅅䅏硁䑁䅍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䜰䅁慄䅁䅁児呂䕁䄴䅔䵂䝁䅅杙求䝁䅷䅋祁䑁䅧睎獁䑁䅅杍硁䑁䅧免穁䍁䅷杉㡁䑁䄴䅎睁䑁䅑免㑁䑁䅕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敂杂䅁朲䅁䑁䄰睕佂䕁䅷䅔桂䝁䅉党獂䍁䅧杍㑁䑁䅣䅌硁䑁䅉免㑁䑁䅅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睘䅙乁䅯䅁㥁䙁䅍杔䵂䕁䅷兙楂䝁䅕䅢潁䑁䅉䅏㍁䍁䅷免祁䑁䅅䅏硁䑁䅍䅌楁䑁䅷材ぁ䑁䅅李㉁䑁䅣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䝁䅁奄䅁䅁児呂䕁䄴䅔䵂䝁䅅杙求䝁䅷䅋祁䑁䅧睎獁䑁䅅杍硁䑁䅧免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党䅙乁䅯䅁㥁䙁䅍杔䵂䕁䅷兙楂䝁䅕䅢潁䑁䅉䅏㍁䍁䅷免祁䑁䅅䅏硁䑁䅑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䝉䅁慄䅁䅁児呂䕁䄴䅔䵂䝁䅅杙求䝁䅷䅋祁䑁䅧睎獁䑁䅅杍硁䑁䅧免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橂杂䅁朲䅁䑁䄰睕佂䕁䅷䅔桂䝁䅉党獂䍁䅧杍㑁䑁䅣䅌硁䑁䅉免㑁䑁䅅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䅚䅙乁䅧䅁㥁䙁䅍杔䵂䕁䅷兙楂䝁䅕䅢潁䑁䅉䅏㍁䍁䅷免祁䑁䅅䅏硁䑁䅕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杂䅁朲䅁䑁䄰睕佂䕁䅷䅔桂䝁䅉党獂䍁䅧杍㑁䑁䅣䅌硁䑁䅉免㑁䑁䅅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条䅙乁䅯䅁㥁䙁䅍杔䵂䕁䅷兙楂䝁䅕䅢潁䑁䅉䅏㍁䍁䅷免祁䑁䅅䅏硁䑁䅕䅌楁䑁䅷材ぁ䑁䅁䅎硁䑁䅧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䝳䅁慄䅁䅁児呂䕁䄴䅔䵂䝁䅅杙求䝁䅷䅋祁䑁䅧睎獁䑁䅅杍硁䑁䅧免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獂杂䅁朲䅁䑁䄰睕佂䕁䅷䅔桂䝁䅉党獂䍁䅧杍㑁䑁䅣䅌硁䑁䅉免㑁䑁䅅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兢䅙乁䅧䅁㥁䙁䅍杔䵂䕁䅷兙楂䝁䅕䅢潁䑁䅉䅏㍁䍁䅷免祁䑁䅅䅏硁䑁䅙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灂杂䅁朲䅁䑁䄰睕佂䕁䅷䅔桂䝁䅉党獂䍁䅧杍㑁䑁䅣䅌硁䑁䅉免㑁䑁䅅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杚䅙乁䅯䅁㥁䙁䅍杔䵂䕁䅷兙楂䝁䅕䅢潁䑁䅉䅏㍁䍁䅷免祁䑁䅅䅏硁䑁䅙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䝣䅁慄䅁䅁児呂䕁䄴䅔䵂䝁䅅杙求䝁䅷䅋祁䑁䅧睎獁䑁䅅杍硁䑁䅧免㉁䍁䅷杉㡁䑁䄴䅎硁䑁䅙李㍁䑁䅧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潂杂䅁䄲䅁䑁䄰睕佂䕁䅷䅔桂䝁䅉党獂䍁䅧杍㑁䑁䅣䅌硁䑁䅉免㑁䑁䅅睎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䝍䅁慄䅁䅁児呂䕁䄴䅔䵂䝁䅅杙求䝁䅷䅋祁䑁䅧睎獁䑁䅅杍硁䑁䅧免㍁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杂䅁朲䅁䑁䄰睕佂䕁䅷䅔桂䝁䅉党獂䍁䅧杍㑁䑁䅣䅌硁䑁䅉免㑁䑁䅅睎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兣䅙乁䅧䅁㥁䙁䅍杔䵂䕁䅷兙楂䝁䅕䅢潁䑁䅉䅏㍁䍁䅷免祁䑁䅅䅏硁䑁䅧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杂䅁朲䅁䑁䄰睕佂䕁䅷䅔桂䝁䅉党獂䍁䅧杍㑁䑁䅣䅌硁䑁䅉免㑁䑁䅅䅏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䅤䅙乁䅯䅁㥁䙁䅍杔䵂䕁䅷兙楂䝁䅕䅢潁䑁䅉䅏㍁䍁䅷免祁䑁䅅䅏硁䑁䅧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䝙䅁奄䅁䅁児呂䕁䄴䅔䵂䝁䅅杙求䝁䅷䅋祁䑁䅧睎獁䑁䅅杍硁䑁䅧免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䅘䅙乁䅯䅁㥁䙁䅍杔䵂䕁䅷兙楂䝁䅕䅢潁䑁䅉䅏㍁䍁䅷免祁䑁䅅䅏硁䑁䅫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䝷䅁慄䅁䅁児呂䕁䄴䅔䵂䝁䅅杙求䝁䅷䅋祁䑁䅧睎獁䑁䅅杍硁䑁䅧免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㥂杂䅁䄲䅁䑁䄰睕佂䕁䅷䅔桂䝁䅉党獂䍁䅧杍㑁䑁䅣䅌硁䑁䅉免㑁䑁䅉䅍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䝳䅁慄䅁䅁児呂䕁䄴䅔䵂䝁䅅杙求䝁䅷䅋祁䑁䅧睎獁䑁䅅杍硁䑁䅧杍睁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㑂杂䅁朲䅁䑁䄰睕佂䕁䅷䅔桂䝁䅉党獂䍁䅧杍㑁䑁䅣䅌硁䑁䅉免㑁䑁䅉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䅙䕁䅁䅁㥁䙁䅍杔䵂䕁䅷兙楂䝁䅕䅢潁䑁䅉䅏㍁䍁䅷免祁䑁䅉䅏㍁䑁䅧䅌獁䍁䅉䅐⭁䑁䅅兎㙁䑁䅅杉灁䅁䅁䅹䅉乁䅙䅁㥁䙁䅍杔䵂䕁䅷兙楂䝁䅕䅢潁䑁䅉䅏㍁䍁䅷免祁䑁䅉䅏㍁䑁䅧䅌獁䍁䅉䅐⭁䑁䅅兎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兄䅙䕁䅉䅁㥁䙁䅍杔䵂䕁䅷兙楂䝁䅕䅢潁䑁䅉䅏㍁䍁䅷免祁䑁䅉䅏㍁䑁䅧䅌獁䍁䅉䅐⭁䑁䅅兎㙁䑁䅅䅍楁䍁䅫䅁䩄杁䅁䄲䅁䑁䄰睕佂䕁䅷䅔桂䝁䅉党獂䍁䅧杍㑁䑁䅣䅌硁䑁䅉杍㑁䑁䅣䅏獁䍁䅷杉㡁䑁䄴免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䙑䅁䍂䅁䅁児呂䕁䄴䅔䵂䝁䅅杙求䝁䅷䅋祁䑁䅧睎獁䑁䅅杍祁䑁䅧睎㑁䍁䅷䅌楁䑁䅷材硁䑁䅕杏硁䑁䅉杉灁䅁䅁杹䅉乁䅧䅁㥁䙁䅍杔䵂䕁䅷兙楂䝁䅕䅢潁䑁䅉䅏㍁䍁䅷免祁䑁䅉䅏㍁䑁䅧䅌獁䍁䅉䅐⭁䑁䅅兎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噃兂䅁村䅁䑁䄰睕佂䕁䅷䅔桂䝁䅉党獂䍁䅧杍㑁䑁䅣䅌硁䑁䅉杍㑁䑁䅣䅏獁䍁䅷杉㡁䑁䄴免ㅁ䑁䅯免穁䍁䅉克䅁䵁䍳䅁奄䅁䅁児呂䕁䄴䅔䵂䝁䅅杙求䝁䅷䅋祁䑁䅧睎獁䑁䅅杍祁䑁䅧睎㑁䍁䅷䅌楁䑁䅷材硁䑁䅕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杬䅕䕁䅉䅁㥁䙁䅍杔䵂䕁䅷兙楂䝁䅕䅢潁䑁䅉䅏㍁䍁䅷免祁䑁䅉䅏㍁䑁䅧䅌獁䍁䅉䅐⭁䑁䅅兎㙁䑁䅅䅎楁䍁䅫䅁䵄杁䅁䄲䅁䑁䄰睕佂䕁䅷䅔桂䝁䅉党獂䍁䅧杍㑁䑁䅣䅌硁䑁䅉杍㑁䑁䅣䅏獁䍁䅷杉㡁䑁䄴免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䙣䅁䕂䅁䅁児呂䕁䄴䅔䵂䝁䅅杙求䝁䅷䅋祁䑁䅧睎獁䑁䅅杍祁䑁䅧睎㑁䍁䅷䅌楁䑁䅷材硁䑁䅕杏硁䑁䅑李楁䍁䅫䅁䑁睁䅁朲䅁䑁䄰睕佂䕁䅷䅔桂䝁䅉党獂䍁䅧杍㑁䑁䅣䅌硁䑁䅉杍㑁䑁䅣䅏獁䍁䅷杉㡁䑁䄴免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杊䅙䕁䅉䅁㥁䙁䅍杔䵂䕁䅷兙楂䝁䅕䅢潁䑁䅉䅏㍁䍁䅷免祁䑁䅉䅏㍁䑁䅧䅌獁䍁䅉䅐⭁䑁䅅兎㙁䑁䅅兎楁䍁䅫䅁乄杁䅁䄲䅁䑁䄰睕佂䕁䅷䅔桂䝁䅉党獂䍁䅧杍㑁䑁䅣䅌硁䑁䅉杍㑁䑁䅣䅏獁䍁䅷杉㡁䑁䄴免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䙧䅁䕂䅁䅁児呂䕁䄴䅔䵂䝁䅅杙求䝁䅷䅋祁䑁䅧睎獁䑁䅅杍祁䑁䅧睎㑁䍁䅷䅌楁䑁䅷材硁䑁䅕杏硁䑁䅕杍楁䍁䅫䅁䕁睁䅁朲䅁䑁䄰睕佂䕁䅷䅔桂䝁䅉党獂䍁䅧杍㑁䑁䅣䅌硁䑁䅉杍㑁䑁䅣䅏獁䍁䅷杉㡁䑁䄴免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睊䅙䕁䅉䅁㥁䙁䅍杔䵂䕁䅷兙楂䝁䅕䅢潁䑁䅉䅏㍁䍁䅷免祁䑁䅉䅏㍁䑁䅧䅌獁䍁䅉䅐⭁䑁䅅兎㙁䑁䅅李楁䍁䅫䅁佄杁䅁䄲䅁䑁䄰睕佂䕁䅷䅔桂䝁䅉党獂䍁䅧杍㑁䑁䅣䅌硁䑁䅉杍㑁䑁䅣䅏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䙫䅁䍂䅁䅁児呂䕁䄴䅔䵂䝁䅅杙求䝁䅷䅋祁䑁䅧睎獁䑁䅅杍祁䑁䅧睎㑁䍁䅷䅌楁䑁䅷材硁䑁䅕杏硁䑁䅣杉灁䅁䅁睺䅉乁䅧䅁㥁䙁䅍杔䵂䕁䅷兙楂䝁䅕䅢潁䑁䅉䅏㍁䍁䅷免祁䑁䅉䅏㍁䑁䅧䅌獁䍁䅉䅐⭁䑁䅅兎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慃兂䅁䅒䅁䑁䄰睕佂䕁䅷䅔桂䝁䅉党獂䍁䅧杍㑁䑁䅣䅌硁䑁䅉杍㑁䑁䅣䅏獁䍁䅷杉㡁䑁䄴免ㅁ䑁䅯免㍁䑁䅧杉灁䅁䅁兂䅍乁䅯䅁㥁䙁䅍杔䵂䕁䅷兙楂䝁䅕䅢潁䑁䅉䅏㍁䍁䅷免祁䑁䅉䅏㍁䑁䅧䅌獁䍁䅉䅐⭁䑁䅅兎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䍁䝧䅁䕂䅁䅁児呂䕁䄴䅔䵂䝁䅅杙求䝁䅷䅋祁䑁䅧睎獁䑁䅅杍祁䑁䅧睎㑁䍁䅷䅌楁䑁䅷材硁䑁䅕杏硁䑁䅣兏楁䍁䅫䅁䝁睁䅁朲䅁䑁䄰睕佂䕁䅷䅔桂䝁䅉党獂䍁䅧杍㑁䑁䅣䅌硁䑁䅉杍㑁䑁䅣䅏獁䍁䅷杉㡁䑁䄴免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克䅙䕁䅉䅁㥁䙁䅍杔䵂䕁䅷兙楂䝁䅕䅢潁䑁䅉䅏㍁䍁䅷免祁䑁䅉䅏㍁䑁䅧䅌獁䍁䅉䅐⭁䑁䅅兎㙁䑁䅅䅏楁䍁䅫䅁兄杁䅁䄲䅁䑁䄰睕佂䕁䅷䅔桂䝁䅉党獂䍁䅧杍㑁䑁䅣䅌硁䑁䅉杍㑁䑁䅣䅏獁䍁䅷杉㡁䑁䄴免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䙳䅁䕂䅁䅁児呂䕁䄴䅔䵂䝁䅅杙求䝁䅷䅋祁䑁䅧睎獁䑁䅅杍祁䑁䅧睎㑁䍁䅷䅌楁䑁䅷材硁䑁䅕杏硁䑁䅧䅍楁䍁䅫䅁䡁睁䅁朲䅁䑁䄰睕佂䕁䅷䅔桂䝁䅉党獂䍁䅧杍㑁䑁䅣䅌硁䑁䅉杍㑁䑁䅣䅏獁䍁䅷杉㡁䑁䄴免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杋䅙䕁䅑䅁㥁䙁䅍杔䵂䕁䅷兙楂䝁䅕䅢潁䑁䅉䅏㍁䍁䅷免祁䑁䅉䅏㍁䑁䅧䅌獁䍁䅉䅐⭁䑁䅅兎㙁䑁䅅䅏硁䍁䅉克䅁䅁䑧䅁慄䅁䅁児呂䕁䄴䅔䵂䝁䅅杙求䝁䅷䅋祁䑁䅧睎獁䑁䅅杍祁䑁䅧睎㑁䍁䅷䅌楁䑁䅷材硁䑁䅕杏硁䑁䅧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牁杂䅁村䅁䑁䄰睕佂䕁䅷䅔桂䝁䅉党獂䍁䅧杍㑁䑁䅣䅌硁䑁䅉杍㑁䑁䅣䅏獁䍁䅷杉㡁䑁䄴免ㅁ䑁䅯免㕁䍁䅉克䅁乁䍅䅁奄䅁䅁児呂䕁䄴䅔䵂䝁䅅杙求䝁䅷䅋祁䑁䅧睎獁䑁䅅杍祁䑁䅧睎㑁䍁䅷䅌楁䑁䅷材硁䑁䅕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䅮䅕䕁䅁䅁㥁䙁䅍杔䵂䕁䅷兙楂䝁䅕䅢潁䑁䅉䅏㍁䍁䅷免祁䑁䅉䅏㍁䑁䅧䅌獁䍁䅉䅐⭁䑁䅅兎㙁䑁䅉杉灁䅁䅁䄵䅉乁䅙䅁㥁䙁䅍杔䵂䕁䅷兙楂䝁䅕䅢潁䑁䅉䅏㍁䍁䅷免祁䑁䅉䅏㍁䑁䅧䅌獁䍁䅉䅐⭁䑁䅅兎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杄䅙䕁䅁䅁㥁䙁䅍杔䵂䕁䅷兙楂䝁䅕䅢潁䑁䅉䅏㍁䍁䅷免祁䑁䅉䅏㍁䑁䅧䅌獁䍁䅉䅐⭁䑁䅅兎㙁䑁䅍杉灁䅁䅁眵䅉乁䅙䅁㥁䙁䅍杔䵂䕁䅷兙楂䝁䅕䅢潁䑁䅉䅏㍁䍁䅷免祁䑁䅉䅏㍁䑁䅧䅌獁䍁䅉䅐⭁䑁䅅兎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睄䅙䕁䅁䅁㥁䙁䅍杔䵂䕁䅷兙楂䝁䅕䅢潁䑁䅉䅏㍁䍁䅷免祁䑁䅉䅏㍁䑁䅧䅌獁䍁䅉䅐⭁䑁䅅兎㙁䑁䅑杉灁䅁䅁朷䅉乁䅙䅁㥁䙁䅍杔䵂䕁䅷兙楂䝁䅕䅢潁䑁䅉䅏㍁䍁䅷免祁䑁䅉䅏㍁䑁䅧䅌獁䍁䅉䅐⭁䑁䅅兎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䅅䅙䕁䅉䅁㥁䙁䅍杔䵂䕁䅷兙楂䝁䅕䅢潁䑁䅉䅏㍁䍁䅷免祁䑁䅉䅏㍁䑁䅧䅌獁䍁䅉䅐⭁䑁䅅兎㙁䑁䅑䅍楁䍁䅫䅁癄杁䅁䄲䅁䑁䄰睕佂䕁䅷䅔桂䝁䅉党獂䍁䅧杍㑁䑁䅣䅌硁䑁䅉杍㑁䑁䅣䅏獁䍁䅷杉㡁䑁䄴免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䘰䅁䅂䅁䅁児呂䕁䄴䅔䵂䝁䅅杙求䝁䅷䅋祁䑁䅧睎獁䑁䅅杍祁䑁䅧睎㑁䍁䅷䅌楁䑁䅷材硁䑁䅕杏ㅁ䍁䅉克䅁偁䍍䅁坄䅁䅁児呂䕁䄴䅔䵂䝁䅅杙求䝁䅷䅋祁䑁䅧睎獁䑁䅅杍祁䑁䅧睎㑁䍁䅷䅌楁䑁䅷材硁䑁䅕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䝅䅁䅂䅁䅁児呂䕁䄴䅔䵂䝁䅅杙求䝁䅷䅋祁䑁䅧睎獁䑁䅅杍祁䑁䅧睎㑁䍁䅷䅌楁䑁䅷材硁䑁䅕杏㉁䍁䅉克䅁偁䍙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䝉䅁䅂䅁䅁児呂䕁䄴䅔䵂䝁䅅杙求䝁䅷䅋祁䑁䅧睎獁䑁䅅杍祁䑁䅧睎㑁䍁䅷䅌楁䑁䅷材硁䑁䅕杏㍁䍁䅉克䅁偁䍧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䝍䅁䅂䅁䅁児呂䕁䄴䅔䵂䝁䅅杙求䝁䅷䅋祁䑁䅧睎獁䑁䅅杍祁䑁䅧睎㑁䍁䅷䅌楁䑁䅷材硁䑁䅕杏㑁䍁䅉克䅁偁䌰䅁坄䅁䅁児呂䕁䄴䅔䵂䝁䅅杙求䝁䅷䅋祁䑁䅧睎獁䑁䅅杍祁䑁䅧睎㑁䍁䅷䅌楁䑁䅷材硁䑁䅕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䝑䅁䅂䅁䅁児呂䕁䄴䅔䵂䝁䅅杙求䝁䅷䅋祁䑁䅧睎獁䑁䅅杍祁䑁䅧睎㑁䍁䅷䅌楁䑁䅷材硁䑁䅕杏㕁䍁䅉克䅁䅁䑁䅁坄䅁䅁児呂䕁䄴䅔䵂䝁䅅杙求䝁䅷䅋祁䑁䅧睎獁䑁䅅杍祁䑁䅧睎㑁䍁䅷䅌楁䑁䅷材硁䑁䅕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䝕䅁⭁䅁䅁児呂䕁䄴䅔䵂䝁䅅杙求䝁䅷䅋祁䑁䅧睎獁䑁䅅杍祁䑁䅧睎㑁䍁䅷䅌楁䑁䅷材㕁䑁䅯免楁䍁䅫䅁卄杁䅁䄱䅁䑁䄰睕佂䕁䅷䅔桂䝁䅉党獂䍁䅧杍㑁䑁䅣䅌硁䑁䅉杍㑁䑁䅣䅏獁䍁䅷杉㡁䑁䄴兏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杵䅕䕁䅁䅁㥁䙁䅍杔䵂䕁䅷兙楂䝁䅕䅢潁䑁䅉䅏㍁䍁䅷免祁䑁䅉䅏㍁䑁䅧䅌獁䍁䅉䅐⭁䑁䅫杏硁䑁䅁杉灁䅁䅁元䅍乁䅙䅁㥁䙁䅍杔䵂䕁䅷兙楂䝁䅕䅢潁䑁䅉䅏㍁䍁䅷免祁䑁䅉䅏㍁䑁䅧䅌獁䍁䅉䅐⭁䑁䅫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杆䅙䕁䅁䅁㥁䙁䅍杔䵂䕁䅷兙楂䝁䅕䅢潁䑁䅉䅏㍁䍁䅷免祁䑁䅉䅏㍁䑁䅧䅌獁䍁䅉䅐⭁䑁䅫杏硁䑁䅉杉灁䅁䅁儵䅉乁䅙䅁㥁䙁䅍杔䵂䕁䅷兙楂䝁䅕䅢潁䑁䅉䅏㍁䍁䅷免祁䑁䅉䅏㍁䑁䅧䅌獁䍁䅉䅐⭁䑁䅫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睆䅙䕁䅁䅁㥁䙁䅍杔䵂䕁䅷兙楂䝁䅕䅢潁䑁䅉䅏㍁䍁䅷免祁䑁䅉䅏㍁䑁䅧䅌獁䍁䅉䅐⭁䑁䅫杏硁䑁䅍杉灁䅁䅁䄶䅉乁䅙䅁㥁䙁䅍杔䵂䕁䅷兙楂䝁䅕䅢潁䑁䅉䅏㍁䍁䅷免祁䑁䅉䅏㍁䑁䅧䅌獁䍁䅉䅐⭁䑁䅫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䅇䅙䕁䅁䅁㥁䙁䅍杔䵂䕁䅷兙楂䝁䅕䅢潁䑁䅉䅏㍁䍁䅷免祁䑁䅉䅏㍁䑁䅧䅌獁䍁䅉䅐⭁䑁䅫杏硁䑁䅑杉灁䅁䅁䄸䅉乁䅙䅁㥁䙁䅍杔䵂䕁䅷兙楂䝁䅕䅢潁䑁䅉䅏㍁䍁䅷免祁䑁䅉䅏㍁䑁䅧䅌獁䍁䅉䅐⭁䑁䅫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兇䅙䕁䅉䅁㥁䙁䅍杔䵂䕁䅷兙楂䝁䅕䅢潁䑁䅉䅏㍁䍁䅷免祁䑁䅉䅏㍁䑁䅧䅌獁䍁䅉䅐⭁䑁䅫杏硁䑁䅑李楁䍁䅫䅁硄杁䅁䄲䅁䑁䄰睕佂䕁䅷䅔桂䝁䅉党獂䍁䅧杍㑁䑁䅣䅌硁䑁䅉杍㑁䑁䅣䅏獁䍁䅷杉㡁䑁䄴兏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䘴䅁䅂䅁䅁児呂䕁䄴䅔䵂䝁䅅杙求䝁䅷䅋祁䑁䅧睎獁䑁䅅杍祁䑁䅧睎㑁䍁䅷䅌楁䑁䅷材㕁䑁䅯免ㅁ䍁䅉克䅁偁䍑䅁坄䅁䅁児呂䕁䄴䅔䵂䝁䅅杙求䝁䅷䅋祁䑁䅧睎獁䑁䅅杍祁䑁䅧睎㑁䍁䅷䅌楁䑁䅷材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䝯䅁䍂䅁䅁児呂䕁䄴䅔䵂䝁䅅杙求䝁䅷䅋祁䑁䅧睎獁䑁䅅杍祁䑁䅧睎㑁䍁䅷䅌楁䑁䅷材㕁䑁䅯免ㅁ䑁䅉杉灁䅁䅁儹䅉乁䅧䅁㥁䙁䅍杔䵂䕁䅷兙楂䝁䅕䅢潁䑁䅉䅏㍁䍁䅷免祁䑁䅉䅏㍁䑁䅧䅌獁䍁䅉䅐⭁䑁䅫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晃兂䅁䅑䅁䑁䄰睕佂䕁䅷䅔桂䝁䅉党獂䍁䅧杍㑁䑁䅣䅌硁䑁䅉杍㑁䑁䅣䅏獁䍁䅷杉㡁䑁䄴兏㙁䑁䅅李楁䍁䅫䅁㍄杁䅁朱䅁䑁䄰睕佂䕁䅷䅔桂䝁䅉党獂䍁䅧杍㑁䑁䅣䅌硁䑁䅉杍㑁䑁䅣䅏獁䍁䅷杉㡁䑁䄴兏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扁杂䅁䅑䅁䑁䄰睕佂䕁䅷䅔桂䝁䅉党獂䍁䅧杍㑁䑁䅣䅌硁䑁䅉杍㑁䑁䅣䅏獁䍁䅷杉㡁䑁䄴兏㙁䑁䅅睎楁䍁䅫䅁㕄杁䅁朱䅁䑁䄰睕佂䕁䅷䅔桂䝁䅉党獂䍁䅧杍㑁䑁䅣䅌硁䑁䅉杍㑁䑁䅣䅏獁䍁䅷杉㡁䑁䄴兏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捁杂䅁村䅁䑁䄰睕佂䕁䅷䅔桂䝁䅉党獂䍁䅧杍㑁䑁䅣䅌硁䑁䅉杍㑁䑁䅣䅏獁䍁䅷杉㡁䑁䄴兏㙁䑁䅅睎㑁䍁䅉克䅁偁䍯䅁奄䅁䅁児呂䕁䄴䅔䵂䝁䅅杙求䝁䅷䅋祁䑁䅧睎獁䑁䅅杍祁䑁䅧睎㑁䍁䅷䅌楁䑁䅷材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䅯䅕䕁䅉䅁㥁䙁䅍杔䵂䕁䅷兙楂䝁䅕䅢潁䑁䅉䅏㍁䍁䅷免祁䑁䅉䅏㍁䑁䅧䅌獁䍁䅉䅐⭁䑁䅫杏硁䑁䅣兏楁䍁䅫䅁㝄杁䅁䄲䅁䑁䄰睕佂䕁䅷䅔桂䝁䅉党獂䍁䅧杍㑁䑁䅣䅌硁䑁䅉杍㑁䑁䅣䅏獁䍁䅷杉㡁䑁䄴兏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䙅䅁䅂䅁䅁児呂䕁䄴䅔䵂䝁䅅杙求䝁䅷䅋祁䑁䅧睎獁䑁䅅杍祁䑁䅧睎㑁䍁䅷䅌楁䑁䅷材㕁䑁䅯免㑁䍁䅉克䅁偁䌴䅁坄䅁䅁児呂䕁䄴䅔䵂䝁䅅杙求䝁䅷䅋祁䑁䅧睎獁䑁䅅杍祁䑁䅧睎㑁䍁䅷䅌楁䑁䅷材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䜰䅁䍂䅁䅁児呂䕁䄴䅔䵂䝁䅅杙求䝁䅷䅋祁䑁䅧睎獁䑁䅅杍祁䑁䅧睎㑁䍁䅷䅌楁䑁䅷材㕁䑁䅯免㑁䑁䅁杉灁䅁䅁眯䅉乁䅧䅁㥁䙁䅍杔䵂䕁䅷兙楂䝁䅕䅢潁䑁䅉䅏㍁䍁䅷免祁䑁䅉䅏㍁䑁䅧䅌獁䍁䅉䅐⭁䑁䅫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楃兂䅁䅑䅁䑁䄰睕佂䕁䅷䅔桂䝁䅉党獂䍁䅧杍㑁䑁䅣䅌硁䑁䅉杍㑁䑁䅣䅏獁䍁䅷杉㡁䑁䄴兏㙁䑁䅅兏楁䍁䅫䅁䉁睁䅁朱䅁䑁䄰睕佂䕁䅷䅔桂䝁䅉党獂䍁䅧杍㑁䑁䅣䅌硁䑁䅉杍㑁䑁䅣䅏獁䍁䅷杉㡁䑁䄴兏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敁杂䅁材䅁䑁䄰睕佂䕁䅷䅔桂䝁䅉党獂䍁䅧杍㑁䑁䅣䅌硁䑁䅉杍㑁䑁䅣䅏獁䍁䅷杉㡁䑁䄴兏㙁䑁䅉杉灁䅁䅁眰䅉乁䅑䅁㥁䙁䅍杔䵂䕁䅷兙楂䝁䅕䅢潁䑁䅉䅏㍁䍁䅷免祁䑁䅉䅏㍁䑁䅧䅌獁䍁䅉䅐⭁䑁䅫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䙳䅁⭁䅁䅁児呂䕁䄴䅔䵂䝁䅅杙求䝁䅷䅋祁䑁䅧睎獁䑁䅅杍祁䑁䅧睎㑁䍁䅷䅌楁䑁䅷材㕁䑁䅯睍楁䍁䅫䅁啄杁䅁䄱䅁䑁䄰睕佂䕁䅷䅔桂䝁䅉党獂䍁䅧杍㑁䑁䅣䅌硁䑁䅉杍㑁䑁䅣䅏獁䍁䅷杉㡁䑁䄴兏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䅶䅕䑁䄴䅁㥁䙁䅍杔䵂䕁䅷兙楂䝁䅕䅢潁䑁䅉䅏㍁䍁䅷免祁䑁䅉䅏㍁䑁䅧䅌獁䍁䅉䅐⭁䑁䅫杏ぁ䍁䅉克䅁乁䍕䅁啄䅁䅁児呂䕁䄴䅔䵂䝁䅅杙求䝁䅷䅋祁䑁䅧睎獁䑁䅅杍祁䑁䅧睎㑁䍁䅷䅌楁䑁䅷材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㥃兂䅁䅑䅁䑁䄰睕佂䕁䅷䅔桂䝁䅉党獂䍁䅧杍㑁䑁䅣䅌硁䑁䅉杍㑁䑁䅣䅏獁䍁䅷杉㡁䑁䄴兏㙁䑁䅑䅍楁䍁䅫䅁䭁睁䅁朱䅁䑁䄰睕佂䕁䅷䅔桂䝁䅉党獂䍁䅧杍㑁䑁䅣䅌硁䑁䅉杍㑁䑁䅣䅏獁䍁䅷杉㡁䑁䄴兏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晁杂䅁材䅁䑁䄰睕佂䕁䅷䅔桂䝁䅉党獂䍁䅧杍㑁䑁䅣䅌硁䑁䅉杍㑁䑁䅣䅏獁䍁䅷杉㡁䑁䄴兏㙁䑁䅕杉灁䅁䅁朱䅉乁䅑䅁㥁䙁䅍杔䵂䕁䅷兙楂䝁䅕䅢潁䑁䅉䅏㍁䍁䅷免祁䑁䅉䅏㍁䑁䅧䅌獁䍁䅉䅐⭁䑁䅫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䘴䅁⭁䅁䅁児呂䕁䄴䅔䵂䝁䅅杙求䝁䅷䅋祁䑁䅧睎獁䑁䅅杍祁䑁䅧睎㑁䍁䅷䅌楁䑁䅷材㕁䑁䅯李楁䍁䅫䅁塄杁䅁䄱䅁䑁䄰睕佂䕁䅷䅔桂䝁䅉党獂䍁䅧杍㑁䑁䅣䅌硁䑁䅉杍㑁䑁䅣䅏獁䍁䅷杉㡁䑁䄴兏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睶䅕䑁䄴䅁㥁䙁䅍杔䵂䕁䅷兙楂䝁䅕䅢潁䑁䅉䅏㍁䍁䅷免祁䑁䅉䅏㍁䑁䅧䅌獁䍁䅉䅐⭁䑁䅫杏㍁䍁䅉克䅁乁䍧䅁啄䅁䅁児呂䕁䄴䅔䵂䝁䅅杙求䝁䅷䅋祁䑁䅧睎獁䑁䅅杍祁䑁䅧睎㑁䍁䅷䅌楁䑁䅷材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䅄兂䅁材䅁䑁䄰睕佂䕁䅷䅔桂䝁䅉党獂䍁䅧杍㑁䑁䅣䅌硁䑁䅉杍㑁䑁䅣䅏獁䍁䅷杉㡁䑁䄴兏㙁䑁䅧杉灁䅁䅁儲䅉乁䅑䅁㥁䙁䅍杔䵂䕁䅷兙楂䝁䅕䅢潁䑁䅉䅏㍁䍁䅷免祁䑁䅉䅏㍁䑁䅧䅌獁䍁䅉䅐⭁䑁䅫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䙅䅁⭁䅁䅁児呂䕁䄴䅔䵂䝁䅅杙求䝁䅷䅋祁䑁䅧睎獁䑁䅅杍祁䑁䅧睎㑁䍁䅷䅌楁䑁䅷材㕁䑁䅯兏楁䍁䅫䅁慄杁䅁䄱䅁䑁䄰睕佂䕁䅷䅔桂䝁䅉党獂䍁䅧杍㑁䑁䅣䅌硁䑁䅉杍㑁䑁䅣䅏獁䍁䅷杉㡁䑁䄴兏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杷䅕䑁䄴䅁㥁䙁䅍杔䵂䕁䅷兙楂䝁䅕䅢潁䑁䅉䅏㍁䍁䅷免祁䑁䅉䅏㍁䑁䅧䅌獁䍁䅉䅐⭁䕁䄴杏硁䍁䅉克䅁乁䍳䅁啄䅁䅁児呂䕁䄴䅔䵂䝁䅅杙求䝁䅷䅋祁䑁䅧睎獁䑁䅅杍祁䑁䅧睎㑁䍁䅷䅌楁䑁䅷材佂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䑄兂䅁䅑䅁䑁䄰睕佂䕁䅷䅔桂䝁䅉党獂䍁䅧杍㑁䑁䅣䅌硁䑁䅉杍㑁䑁䅣䅏獁䍁䅷杉㡁䑁䄴杔㙁䑁䅅䅍楁䍁䅫䅁䱁睁䅁朱䅁䑁䄰睕佂䕁䅷䅔桂䝁䅉党獂䍁䅧杍㑁䑁䅣䅌硁䑁䅉杍㑁䑁䅣䅏獁䍁䅷杉㡁䑁䄴杔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杁杂䅁䅑䅁䑁䄰睕佂䕁䅷䅔桂䝁䅉党獂䍁䅧杍㑁䑁䅣䅌硁䑁䅉杍㑁䑁䅣䅏獁䍁䅷杉㡁䑁䄴杔㙁䑁䅅杍楁䍁䅫䅁浄杁䅁朱䅁䑁䄰睕佂䕁䅷䅔桂䝁䅉党獂䍁䅧杍㑁䑁䅣䅌硁䑁䅉杍㑁䑁䅣䅏獁䍁䅷杉㡁䑁䄴杔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桁杂䅁䅑䅁䑁䄰睕佂䕁䅷䅔桂䝁䅉党獂䍁䅧杍㑁䑁䅣䅌硁䑁䅉杍㑁䑁䅣䅏獁䍁䅷杉㡁䑁䄴杔㙁䑁䅅睍楁䍁䅫䅁灄杁䅁朱䅁䑁䄰睕佂䕁䅷䅔桂䝁䅉党獂䍁䅧杍㑁䑁䅣䅌硁䑁䅉杍㑁䑁䅣䅏獁䍁䅷杉㡁䑁䄴杔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楁杂䅁䅑䅁䑁䄰睕佂䕁䅷䅔桂䝁䅉党獂䍁䅧杍㑁䑁䅣䅌硁䑁䅉杍㑁䑁䅣䅏獁䍁䅷杉㡁䑁䄴杔㙁䑁䅅䅎楁䍁䅫䅁祄杁䅁朱䅁䑁䄰睕佂䕁䅷䅔桂䝁䅉党獂䍁䅧杍㑁䑁䅣䅌硁䑁䅉杍㑁䑁䅣䅏獁䍁䅷杉㡁䑁䄴杔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橁杂䅁村䅁䑁䄰睕佂䕁䅷䅔桂䝁䅉党獂䍁䅧杍㑁䑁䅣䅌硁䑁䅉杍㑁䑁䅣䅏獁䍁䅷杉㡁䑁䄴杔㙁䑁䅅睎㑁䍁䅉克䅁偁䍷䅁奄䅁䅁児呂䕁䄴䅔䵂䝁䅅杙求䝁䅷䅋祁䑁䅧睎獁䑁䅅杍祁䑁䅧睎㑁䍁䅷䅌楁䑁䅷材佂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睯䅕䕁䅁䅁㥁䙁䅍杔䵂䕁䅷兙楂䝁䅕䅢潁䑁䅉䅏㍁䍁䅷免祁䑁䅉䅏㍁䑁䅧䅌獁䍁䅉䅐⭁䕁䄴杏硁䑁䅫杉灁䅁䅁杁䅍乁䅙䅁㥁䙁䅍杔䵂䕁䅷兙楂䝁䅕䅢潁䑁䅉䅏㍁䍁䅷免祁䑁䅉䅏㍁䑁䅧䅌獁䍁䅉䅐⭁䕁䄴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䅊䅙䑁䄴䅁㥁䙁䅍杔䵂䕁䅷兙楂䝁䅕䅢潁䑁䅉䅏㍁䍁䅷免祁䑁䅉䅏㍁䑁䅧䅌獁䍁䅉䅐⭁䕁䄴杏祁䍁䅉克䅁乁䍷䅁啄䅁䅁児呂䕁䄴䅔䵂䝁䅅杙求䝁䅷䅋祁䑁䅧睎獁䑁䅅杍祁䑁䅧睎㑁䍁䅷䅌楁䑁䅷材佂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䕄兂䅁材䅁䑁䄰睕佂䕁䅷䅔桂䝁䅉党獂䍁䅧杍㑁䑁䅣䅌硁䑁䅉杍㑁䑁䅣䅏獁䍁䅷杉㡁䑁䄴杔㙁䑁䅍杉灁䅁䅁儳䅉乁䅑䅁㥁䙁䅍杔䵂䕁䅷兙楂䝁䅕䅢潁䑁䅉䅏㍁䍁䅷免祁䑁䅉䅏㍁䑁䅧䅌獁䍁䅉䅐⭁䕁䄴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䙕䅁⭁䅁䅁児呂䕁䄴䅔䵂䝁䅅杙求䝁䅷䅋祁䑁䅧睎獁䑁䅅杍祁䑁䅧睎㑁䍁䅷䅌楁䑁䅷材佂䑁䅯䅎楁䍁䅫䅁敄杁䅁䄱䅁䑁䄰睕佂䕁䅷䅔桂䝁䅉党獂䍁䅧杍㑁䑁䅣䅌硁䑁䅉杍㑁䑁䅣䅏獁䍁䅷杉㡁䑁䄴杔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杸䅕䕁䅁䅁㥁䙁䅍杔䵂䕁䅷兙楂䝁䅕䅢潁䑁䅉䅏㍁䍁䅷免祁䑁䅉䅏㍁䑁䅧䅌獁䍁䅉䅐⭁䕁䄴杏ぁ䑁䅁杉灁䅁䅁䅄䅍乁䅙䅁㥁䙁䅍杔䵂䕁䅷兙楂䝁䅕䅢潁䑁䅉䅏㍁䍁䅷免祁䑁䅉䅏㍁䑁䅧䅌獁䍁䅉䅐⭁䕁䄴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兊䅙䑁䄴䅁㥁䙁䅍杔䵂䕁䅷兙楂䝁䅕䅢潁䑁䅉䅏㍁䍁䅷免祁䑁䅉䅏㍁䑁䅧䅌獁䍁䅉䅐⭁䕁䄴杏ㅁ䍁䅉克䅁乁䌸䅁啄䅁䅁児呂䕁䄴䅔䵂䝁䅅杙求䝁䅷䅋祁䑁䅧睎獁䑁䅅杍祁䑁䅧睎㑁䍁䅷䅌楁䑁䅷材佂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䡄兂䅁材䅁䑁䄰睕佂䕁䅷䅔桂䝁䅉党獂䍁䅧杍㑁䑁䅣䅌硁䑁䅉杍㑁䑁䅣䅏獁䍁䅷杉㡁䑁䄴杔㙁䑁䅙杉灁䅁䅁䄴䅉乁䅑䅁㥁䙁䅍杔䵂䕁䅷兙楂䝁䅕䅢潁䑁䅉䅏㍁䍁䅷免祁䑁䅉䅏㍁䑁䅧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䙧䅁⭁䅁䅁児呂䕁䄴䅔䵂䝁䅅杙求䝁䅷䅋祁䑁䅧睎獁䑁䅅杍祁䑁䅧睎㑁䍁䅷䅌楁䑁䅷材佂䑁䅯睎楁䍁䅫䅁桄杁䅁䄱䅁䑁䄰睕佂䕁䅷䅔桂䝁䅉党獂䍁䅧杍㑁䑁䅣䅌硁䑁䅉杍㑁䑁䅣䅏獁䍁䅷杉㡁䑁䄴杔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兹䅕䑁䄴䅁㥁䙁䅍杔䵂䕁䅷兙楂䝁䅕䅢潁䑁䅉䅏㍁䍁䅷免祁䑁䅉䅏㍁䑁䅧䅌獁䍁䅉䅐⭁䕁䄴杏㑁䍁䅉克䅁佁䍉䅁啄䅁䅁児呂䕁䄴䅔䵂䝁䅅杙求䝁䅷䅋祁䑁䅧睎獁䑁䅅杍祁䑁䅧睎㑁䍁䅷䅌楁䑁䅷材佂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䭄兂䅁材䅁䑁䄰睕佂䕁䅷䅔桂䝁䅉党獂䍁䅧杍㑁䑁䅣䅌硁䑁䅉杍㑁䑁䅣䅏獁䍁䅷杉㡁䑁䄴杔㙁䑁䅫杉灁䅁䅁眴䅉乁䅑䅁㥁䙁䅍杔䵂䕁䅷兙楂䝁䅕䅢潁䑁䅉䅏㍁䍁䅷免祁䑁䅉䅏㍁䑁䅧䅌獁䍁䅉䅐⭁䕁䄴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䙳䅁䅂䅁䅁児呂䕁䄴䅔䵂䝁䅅杙求䝁䅷䅋祁䑁䅧睎獁䑁䅅杍祁䑁䅧睎㕁䍁䅷䅌楁䑁䅷材硁䑁䅕杏硁䍁䅉克䅁䍁䍷䅁䍂䅁䅁児呂䕁䄴䅔䵂䝁䅅杙求䝁䅷䅋祁䑁䅧睎獁䑁䅅杍祁䑁䅧睎㕁䍁䅷䅌楁䑁䅷材硁䑁䅕杏硁䑁䅁杉灁䅁䅁兌䅉䕁䅉䅁㥁䙁䅍杔䵂䕁䅷兙楂䝁䅕䅢潁䑁䅉䅏㍁䍁䅷免祁䑁䅉䅏㍁䑁䅫䅌獁䍁䅉䅐⭁䑁䅅兎㙁䑁䅅杍楁䍁䅫䅁畁杁䅁村䅁䑁䄰睕佂䕁䅷䅔桂䝁䅉党獂䍁䅧杍㑁䑁䅣䅌硁䑁䅉杍㑁䑁䅣兏獁䍁䅷杉㡁䑁䄴免ㅁ䑁䅯免穁䍁䅉克䅁䍁䌸䅁䍂䅁䅁児呂䕁䄴䅔䵂䝁䅅杙求䝁䅷䅋祁䑁䅧睎獁䑁䅅杍祁䑁䅧睎㕁䍁䅷䅌楁䑁䅷材硁䑁䅕杏硁䑁䅑杉灁䅁䅁䅍䅉䕁䅑䅁㥁䙁䅍杔䵂䕁䅷兙楂䝁䅕䅢潁䑁䅉䅏㍁䍁䅷免祁䑁䅉䅏㍁䑁䅫䅌獁䍁䅉䅐⭁䑁䅅兎㙁䑁䅅䅎㉁䍁䅉克䅁䕁䑉䅁䍂䅁䅁児呂䕁䄴䅔䵂䝁䅅杙求䝁䅷䅋祁䑁䅧睎獁䑁䅅杍祁䑁䅧睎㕁䍁䅷䅌楁䑁䅷材硁䑁䅕杏硁䑁䅕杉灁䅁䅁免䅉䕁䅑䅁㥁䙁䅍杔䵂䕁䅷兙楂䝁䅕䅢潁䑁䅉䅏㍁䍁䅷免祁䑁䅉䅏㍁䑁䅫䅌獁䍁䅉䅐⭁䑁䅅兎㙁䑁䅅兎祁䍁䅉克䅁䕁䑍䅁䍂䅁䅁児呂䕁䄴䅔䵂䝁䅅杙求䝁䅷䅋祁䑁䅧睎獁䑁䅅杍祁䑁䅧睎㕁䍁䅷䅌楁䑁䅷材硁䑁䅕杏硁䑁䅙杉灁䅁䅁杍䅉䕁䅉䅁㥁䙁䅍杔䵂䕁䅷兙楂䝁䅕䅢潁䑁䅉䅏㍁䍁䅷免祁䑁䅉䅏㍁䑁䅫䅌獁䍁䅉䅐⭁䑁䅅兎㙁䑁䅅睎楁䍁䅫䅁穁杁䅁䅒䅁䑁䄰睕佂䕁䅷䅔桂䝁䅉党獂䍁䅧杍㑁䑁䅣䅌硁䑁䅉杍㑁䑁䅣兏獁䍁䅷杉㡁䑁䄴免ㅁ䑁䅯免㍁䑁䅧杉灁䅁䅁䅒䅍䕁䅑䅁㥁䙁䅍杔䵂䕁䅷兙楂䝁䅕䅢潁䑁䅉䅏㍁䍁䅷免祁䑁䅉䅏㍁䑁䅫䅌獁䍁䅉䅐⭁䑁䅅兎㙁䑁䅅睎㕁䍁䅉克䅁䕁䑕䅁䍂䅁䅁児呂䕁䄴䅔䵂䝁䅅杙求䝁䅷䅋祁䑁䅧睎獁䑁䅅杍祁䑁䅧睎㕁䍁䅷䅌楁䑁䅷材硁䑁䅕杏硁䑁䅧杉灁䅁䅁䅎䅉䕁䅑䅁㥁䙁䅍杔䵂䕁䅷兙楂䝁䅕䅢潁䑁䅉䅏㍁䍁䅷免祁䑁䅉䅏㍁䑁䅫䅌獁䍁䅉䅐⭁䑁䅅兎㙁䑁䅅䅏睁䍁䅉克䅁䕁䑙䅁䕂䅁䅁児呂䕁䄴䅔䵂䝁䅅杙求䝁䅷䅋祁䑁䅧睎獁䑁䅅杍祁䑁䅧睎㕁䍁䅷䅌楁䑁䅷材硁䑁䅕杏硁䑁䅧免楁䍁䅫䅁䡂睁䅁村䅁䑁䄰睕佂䕁䅷䅔桂䝁䅉党獂䍁䅧杍㑁䑁䅣䅌硁䑁䅉杍㑁䑁䅣兏獁䍁䅷杉㡁䑁䄴免ㅁ䑁䅯免㕁䍁䅉克䅁䑁䍕䅁䅂䅁䅁児呂䕁䄴䅔䵂䝁䅅杙求䝁䅷䅋祁䑁䅧睎獁䑁䅅杍祁䑁䅧睎㕁䍁䅷䅌楁䑁䅷材硁䑁䅕杏祁䍁䅉克䅁䅁䐰䅁䅂䅁䅁児呂䕁䄴䅔䵂䝁䅅杙求䝁䅷䅋祁䑁䅧睎獁䑁䅅杍祁䑁䅧睎㕁䍁䅷䅌楁䑁䅷材硁䑁䅕杏穁䍁䅉克䅁䉁䑁䅁䅂䅁䅁児呂䕁䄴䅔䵂䝁䅅杙求䝁䅷䅋祁䑁䅧睎獁䑁䅅杍祁䑁䅧睎㕁䍁䅷䅌楁䑁䅷材硁䑁䅕杏ぁ䍁䅉克䅁䍁䑯䅁䍂䅁䅁児呂䕁䄴䅔䵂䝁䅅杙求䝁䅷䅋祁䑁䅧睎獁䑁䅅杍祁䑁䅧睎㕁䍁䅷䅌楁䑁䅷材硁䑁䅕杏ぁ䑁䅁杉灁䅁䅁睋䅍䕁䅁䅁㥁䙁䅍杔䵂䕁䅷兙楂䝁䅕䅢潁䑁䅉䅏㍁䍁䅷免祁䑁䅉䅏㍁䑁䅫䅌獁䍁䅉䅐⭁䑁䅅兎㙁䑁䅕杉灁䅁䅁睌䅍䕁䅁䅁㥁䙁䅍杔䵂䕁䅷兙楂䝁䅕䅢潁䑁䅉䅏㍁䍁䅷免祁䑁䅉䅏㍁䑁䅫䅌獁䍁䅉䅐⭁䑁䅅兎㙁䑁䅙杉灁䅁䅁杍䅍䕁䅁䅁㥁䙁䅍杔䵂䕁䅷兙楂䝁䅕䅢潁䑁䅉䅏㍁䍁䅷免祁䑁䅉䅏㍁䑁䅫䅌獁䍁䅉䅐⭁䑁䅅兎㙁䑁䅣杉灁䅁䅁䅎䅍䕁䅁䅁㥁䙁䅍杔䵂䕁䅷兙楂䝁䅕䅢潁䑁䅉䅏㍁䍁䅷免祁䑁䅉䅏㍁䑁䅫䅌獁䍁䅉䅐⭁䑁䅅兎㙁䑁䅧杉灁䅁䅁兏䅍䕁䅁䅁㥁䙁䅍杔䵂䕁䅷兙楂䝁䅕䅢潁䑁䅉䅏㍁䍁䅷免祁䑁䅉䅏㍁䑁䅫䅌獁䍁䅉䅐⭁䑁䅅兎㙁䑁䅫杉灁䅁䅁䅐䅍䑁䄴䅁㥁䙁䅍杔䵂䕁䅷兙楂䝁䅕䅢潁䑁䅉䅏㍁䍁䅷免祁䑁䅉䅏㍁䑁䅫䅌獁䍁䅉䅐⭁䑁䅫杏硁䍁䅉克䅁䑁䍳䅁䅂䅁䅁児呂䕁䄴䅔䵂䝁䅅杙求䝁䅷䅋祁䑁䅧睎獁䑁䅅杍祁䑁䅧睎㕁䍁䅷䅌楁䑁䅷材㕁䑁䅯免睁䍁䅉克䅁䕁䑧䅁䅂䅁䅁児呂䕁䄴䅔䵂䝁䅅杙求䝁䅷䅋祁䑁䅧睎獁䑁䅅杍祁䑁䅧睎㕁䍁䅷䅌楁䑁䅷材㕁䑁䅯免祁䍁䅉克䅁䅁䐴䅁䅂䅁䅁児呂䕁䄴䅔䵂䝁䅅杙求䝁䅷䅋祁䑁䅧睎獁䑁䅅杍祁䑁䅧睎㕁䍁䅷䅌楁䑁䅷材㕁䑁䅯免穁䍁䅉克䅁䉁䑅䅁䅂䅁䅁児呂䕁䄴䅔䵂䝁䅅杙求䝁䅷䅋祁䑁䅧睎獁䑁䅅杍祁䑁䅧睎㕁䍁䅷䅌楁䑁䅷材㕁䑁䅯免ぁ䍁䅉克䅁䍁䑷䅁䍂䅁䅁児呂䕁䄴䅔䵂䝁䅅杙求䝁䅷䅋祁䑁䅧睎獁䑁䅅杍祁䑁䅧睎㕁䍁䅷䅌楁䑁䅷材㕁䑁䅯免ぁ䑁䅙杉灁䅁䅁兌䅍䕁䅁䅁㥁䙁䅍杔䵂䕁䅷兙楂䝁䅕䅢潁䑁䅉䅏㍁䍁䅷免祁䑁䅉䅏㍁䑁䅫䅌獁䍁䅉䅐⭁䑁䅫杏硁䑁䅕杉灁䅁䅁䅍䅍䕁䅉䅁㥁䙁䅍杔䵂䕁䅷兙楂䝁䅕䅢潁䑁䅉䅏㍁䍁䅷免祁䑁䅉䅏㍁䑁䅫䅌獁䍁䅉䅐⭁䑁䅫杏硁䑁䅕杍楁䍁䅫䅁硁睁䅁䅑䅁䑁䄰睕佂䕁䅷䅔桂䝁䅉党獂䍁䅧杍㑁䑁䅣䅌硁䑁䅉杍㑁䑁䅣兏獁䍁䅷杉㡁䑁䄴兏㙁䑁䅅李楁䍁䅫䅁穁睁䅁䅑䅁䑁䄰睕佂䕁䅷䅔桂䝁䅉党獂䍁䅧杍㑁䑁䅣䅌硁䑁䅉杍㑁䑁䅣兏獁䍁䅷杉㡁䑁䄴兏㙁䑁䅅睎楁䍁䅫䅁ㅁ睁䅁村䅁䑁䄰睕佂䕁䅷䅔桂䝁䅉党獂䍁䅧杍㑁䑁䅣䅌硁䑁䅉杍㑁䑁䅣兏獁䍁䅷杉㡁䑁䄴兏㙁䑁䅅睎㑁䍁䅉克䅁䑁䑙䅁䍂䅁䅁児呂䕁䄴䅔䵂䝁䅅杙求䝁䅷䅋祁䑁䅧睎獁䑁䅅杍祁䑁䅧睎㕁䍁䅷䅌楁䑁䅷材㕁䑁䅯免㍁䑁䅫杉灁䅁䅁睎䅍䕁䅁䅁㥁䙁䅍杔䵂䕁䅷兙楂䝁䅕䅢潁䑁䅉䅏㍁䍁䅷免祁䑁䅉䅏㍁䑁䅫䅌獁䍁䅉䅐⭁䑁䅫杏硁䑁䅧杉灁䅁䅁杏䅍䕁䅉䅁㥁䙁䅍杔䵂䕁䅷兙楂䝁䅕䅢潁䑁䅉䅏㍁䍁䅷免祁䑁䅉䅏㍁䑁䅫䅌獁䍁䅉䅐⭁䑁䅫杏硁䑁䅧䅍楁䍁䅫䅁㝁睁䅁䅑䅁䑁䄰睕佂䕁䅷䅔桂䝁䅉党獂䍁䅧杍㑁䑁䅣䅌硁䑁䅉杍㑁䑁䅣兏獁䍁䅷杉㡁䑁䄴兏㙁䑁䅅兏楁䍁䅫䅁㥁睁䅁材䅁䑁䄰睕佂䕁䅷䅔桂䝁䅉党獂䍁䅧杍㑁䑁䅣䅌硁䑁䅉杍㑁䑁䅣兏獁䍁䅷杉㡁䑁䄴兏㙁䑁䅉杉灁䅁䅁䅐䅉䑁䄴䅁㥁䙁䅍杔䵂䕁䅷兙楂䝁䅕䅢潁䑁䅉䅏㍁䍁䅷免祁䑁䅉䅏㍁䑁䅫䅌獁䍁䅉䅐⭁䑁䅫杏穁䍁䅉克䅁䑁䌰䅁⭁䅁䅁児呂䕁䄴䅔䵂䝁䅅杙求䝁䅷䅋祁䑁䅧睎獁䑁䅅杍祁䑁䅧睎㕁䍁䅷䅌楁䑁䅷材㕁䑁䅯䅎楁䍁䅫䅁⭁杁䅁䅑䅁䑁䄰睕佂䕁䅷䅔桂䝁䅉党獂䍁䅧杍㑁䑁䅣䅌硁䑁䅉杍㑁䑁䅣兏獁䍁䅷杉㡁䑁䄴兏㙁䑁䅑䅍楁䍁䅫䅁䩂睁䅁材䅁䑁䄰睕佂䕁䅷䅔桂䝁䅉党獂䍁䅧杍㑁䑁䅣䅌硁䑁䅉杍㑁䑁䅣兏獁䍁䅷杉㡁䑁䄴兏㙁䑁䅕杉灁䅁䅁睐䅉䑁䄴䅁㥁䙁䅍杔䵂䕁䅷兙楂䝁䅕䅢潁䑁䅉䅏㍁䍁䅷免祁䑁䅉䅏㍁䑁䅫䅌獁䍁䅉䅐⭁䑁䅫杏㉁䍁䅉克䅁䕁䍁䅁⭁䅁䅁児呂䕁䄴䅔䵂䝁䅅杙求䝁䅷䅋祁䑁䅧睎獁䑁䅅杍祁䑁䅧睎㕁䍁䅷䅌楁䑁䅷材㕁䑁䅯睎楁䍁䅫䅁䉂杁䅁材䅁䑁䄰睕佂䕁䅷䅔桂䝁䅉党獂䍁䅧杍㑁䑁䅣䅌硁䑁䅉杍㑁䑁䅣兏獁䍁䅷杉㡁䑁䄴兏㙁䑁䅧杉灁䅁䅁村䅉䑁䄴䅁㥁䙁䅍杔䵂䕁䅷兙楂䝁䅕䅢潁䑁䅉䅏㍁䍁䅷免祁䑁䅉䅏㍁䑁䅫䅌獁䍁䅉䅐⭁䑁䅫杏㕁䍁䅉克䅁䕁䍍䅁⭁䅁䅁児呂䕁䄴䅔䵂䝁䅅杙求䝁䅷䅋祁䑁䅧睎獁䑁䅅杍祁䑁䅧睎㕁䍁䅷䅌楁䑁䅷材佂䑁䅯免楁䍁䅫䅁䕂杁䅁䅑䅁䑁䄰睕佂䕁䅷䅔桂䝁䅉党獂䍁䅧杍㑁䑁䅣䅌硁䑁䅉杍㑁䑁䅣兏獁䍁䅷杉㡁䑁䄴杔㙁䑁䅅䅍楁䍁䅫䅁䭂睁䅁䅑䅁䑁䄰睕佂䕁䅷䅔桂䝁䅉党獂䍁䅧杍㑁䑁䅣䅌硁䑁䅉杍㑁䑁䅣兏獁䍁䅷杉㡁䑁䄴杔㙁䑁䅅杍楁䍁䅫䅁偁睁䅁䅑䅁䑁䄰睕佂䕁䅷䅔桂䝁䅉党獂䍁䅧杍㑁䑁䅣䅌硁䑁䅉杍㑁䑁䅣兏獁䍁䅷杉㡁䑁䄴杔㙁䑁䅅睍楁䍁䅫䅁十睁䅁䅑䅁䑁䄰睕佂䕁䅷䅔桂䝁䅉党獂䍁䅧杍㑁䑁䅣䅌硁䑁䅉杍㑁䑁䅣兏獁䍁䅷杉㡁䑁䄴杔㙁䑁䅅䅎楁䍁䅫䅁畁睁䅁村䅁䑁䄰睕佂䕁䅷䅔桂䝁䅉党獂䍁䅧杍㑁䑁䅣䅌硁䑁䅉杍㑁䑁䅣兏獁䍁䅷杉㡁䑁䄴杔㙁䑁䅅睎㑁䍁䅉克䅁䑁䑧䅁䅂䅁䅁児呂䕁䄴䅔䵂䝁䅅杙求䝁䅷䅋祁䑁䅧睎獁䑁䅅杍祁䑁䅧睎㕁䍁䅷䅌楁䑁䅷材佂䑁䅯免㕁䍁䅉克䅁䑁䐴䅁⭁䅁䅁児呂䕁䄴䅔䵂䝁䅅杙求䝁䅷䅋祁䑁䅧睎獁䑁䅅杍祁䑁䅧睎㕁䍁䅷䅌楁䑁䅷材佂䑁䅯杍楁䍁䅫䅁䙂杁䅁材䅁䑁䄰睕佂䕁䅷䅔桂䝁䅉党獂䍁䅧杍㑁䑁䅣䅌硁䑁䅉杍㑁䑁䅣兏獁䍁䅷杉㡁䑁䄴杔㙁䑁䅍杉灁䅁䅁杒䅉䑁䄴䅁㥁䙁䅍杔䵂䕁䅷兙楂䝁䅕䅢潁䑁䅉䅏㍁䍁䅷免祁䑁䅉䅏㍁䑁䅫䅌獁䍁䅉䅐⭁䕁䄴杏ぁ䍁䅉克䅁䕁䍣䅁䅂䅁䅁児呂䕁䄴䅔䵂䝁䅅杙求䝁䅷䅋祁䑁䅧睎獁䑁䅅杍祁䑁䅧睎㕁䍁䅷䅌楁䑁䅷材佂䑁䅯䅎睁䍁䅉克䅁䕁䑳䅁⭁䅁䅁児呂䕁䄴䅔䵂䝁䅅杙求䝁䅷䅋祁䑁䅧睎獁䑁䅅杍祁䑁䅧睎㕁䍁䅷䅌楁䑁䅷材佂䑁䅯兎楁䍁䅫䅁䥂杁䅁材䅁䑁䄰睕佂䕁䅷䅔桂䝁䅉党獂䍁䅧杍㑁䑁䅣䅌硁䑁䅉杍㑁䑁䅣兏獁䍁䅷杉㡁䑁䄴杔㙁䑁䅙杉灁䅁䅁兓䅉䑁䄴䅁㥁䙁䅍杔䵂䕁䅷兙楂䝁䅕䅢潁䑁䅉䅏㍁䍁䅷免祁䑁䅉䅏㍁䑁䅫䅌獁䍁䅉䅐⭁䕁䄴杏㍁䍁䅉克䅁䕁䍯䅁⭁䅁䅁児呂䕁䄴䅔䵂䝁䅅杙求䝁䅷䅋祁䑁䅧睎獁䑁䅅杍祁䑁䅧睎㕁䍁䅷䅌楁䑁䅷材佂䑁䅯䅏楁䍁䅫䅁䱂杁䅁材䅁䑁䄰睕佂䕁䅷䅔桂䝁䅉党獂䍁䅧杍㑁䑁䅣䅌硁䑁䅉杍㑁䑁䅣兏獁䍁䅷杉㡁䑁䄴杔㙁䑁䅫杉灁䅁䅁䅔䅉䕁䅁䅁㥁䙁䅍杔䵂䕁䅷兙楂䝁䅕䅢潁䑁䅉䅏㍁䍁䅷免祁䑁䅉䅏㑁䑁䅁䅌獁䍁䅉䅐⭁䑁䅅兎㙁䑁䅅杉灁䅁䅁睵䅑䕁䅉䅁㥁䙁䅍杔䵂䕁䅷兙楂䝁䅕䅢潁䑁䅉䅏㍁䍁䅷免祁䑁䅉䅏㑁䑁䅁䅌獁䍁䅉䅐⭁䑁䅅兎㙁䑁䅅䅍楁䍁䅫䅁㡃䅂䅁村䅁䑁䄰睕佂䕁䅷䅔桂䝁䅉党獂䍁䅧杍㑁䑁䅣䅌硁䑁䅉杍㑁䑁䅧䅍獁䍁䅷杉㡁䑁䄴免ㅁ䑁䅯免祁䍁䅉克䅁䱁䔰䅁䍂䅁䅁児呂䕁䄴䅔䵂䝁䅅杙求䝁䅷䅋祁䑁䅧睎獁䑁䅅杍祁䑁䅧䅏睁䍁䅷䅌楁䑁䅷材硁䑁䅕杏硁䑁䅍杉灁䅁䅁杶䅑䕁䅉䅁㥁䙁䅍杔䵂䕁䅷兙楂䝁䅕䅢潁䑁䅉䅏㍁䍁䅷免祁䑁䅉䅏㑁䑁䅁䅌獁䍁䅉䅐⭁䑁䅅兎㙁䑁䅅䅎楁䍁䅫䅁⽃䅂䅁䅒䅁䑁䄰睕佂䕁䅷䅔桂䝁䅉党獂䍁䅧杍㑁䑁䅣䅌硁䑁䅉杍㑁䑁䅧䅍獁䍁䅷杉㡁䑁䄴免ㅁ䑁䅯免ぁ䑁䅙杉灁䅁䅁朸䅑䕁䅉䅁㥁䙁䅍杔䵂䕁䅷兙楂䝁䅕䅢潁䑁䅉䅏㍁䍁䅷免祁䑁䅉䅏㑁䑁䅁䅌獁䍁䅉䅐⭁䑁䅅兎㙁䑁䅅兎楁䍁䅫䅁䅄䅂䅁䅒䅁䑁䄰睕佂䕁䅷䅔桂䝁䅉党獂䍁䅧杍㑁䑁䅣䅌硁䑁䅉杍㑁䑁䅧䅍獁䍁䅷杉㡁䑁䄴免ㅁ䑁䅯免ㅁ䑁䅉杉灁䅁䅁眸䅑䕁䅉䅁㥁䙁䅍杔䵂䕁䅷兙楂䝁䅕䅢潁䑁䅉䅏㍁䍁䅷免祁䑁䅉䅏㑁䑁䅁䅌獁䍁䅉䅐⭁䑁䅅兎㙁䑁䅅李楁䍁䅫䅁䉄䅂䅁村䅁䑁䄰睕佂䕁䅷䅔桂䝁䅉党獂䍁䅧杍㑁䑁䅣䅌硁䑁䅉杍㑁䑁䅧䅍獁䍁䅷杉㡁䑁䄴免ㅁ䑁䅯免㍁䍁䅉克䅁䵁䕉䅁䕂䅁䅁児呂䕁䄴䅔䵂䝁䅅杙求䝁䅷䅋祁䑁䅧睎獁䑁䅅杍祁䑁䅧䅏睁䍁䅷䅌楁䑁䅷材硁䑁䅕杏硁䑁䅣䅏楁䍁䅫䅁い䅂䅁䅒䅁䑁䄰睕佂䕁䅷䅔桂䝁䅉党獂䍁䅧杍㑁䑁䅣䅌硁䑁䅉杍㑁䑁䅧䅍獁䍁䅷杉㡁䑁䄴免ㅁ䑁䅯免㍁䑁䅫杉灁䅁䅁儹䅑䕁䅉䅁㥁䙁䅍杔䵂䕁䅷兙楂䝁䅕䅢潁䑁䅉䅏㍁䍁䅷免祁䑁䅉䅏㑁䑁䅁䅌獁䍁䅉䅐⭁䑁䅅兎㙁䑁䅅䅏楁䍁䅫䅁䑄䅂䅁䅒䅁䑁䄰睕佂䕁䅷䅔桂䝁䅉党獂䍁䅧杍㑁䑁䅣䅌硁䑁䅉杍㑁䑁䅧䅍獁䍁䅷杉㡁䑁䄴免ㅁ䑁䅯免㑁䑁䅁杉灁䅁䅁朹䅑䕁䅑䅁㥁䙁䅍杔䵂䕁䅷兙楂䝁䅕䅢潁䑁䅉䅏㍁䍁䅷免祁䑁䅉䅏㑁䑁䅁䅌獁䍁䅉䅐⭁䑁䅅兎㙁䑁䅅䅏硁䍁䅉克䅁偁䕣䅁䍂䅁䅁児呂䕁䄴䅔䵂䝁䅅杙求䝁䅷䅋祁䑁䅧睎獁䑁䅅杍祁䑁䅧䅏睁䍁䅷䅌楁䑁䅷材硁䑁䅕杏硁䑁䅫杉灁䅁䅁䅸䅑䕁䅁䅁㥁䙁䅍杔䵂䕁䅷兙楂䝁䅕䅢潁䑁䅉䅏㍁䍁䅷免祁䑁䅉䅏㑁䑁䅁䅌獁䍁䅉䅐⭁䑁䅅兎㙁䑁䅉杉灁䅁䅁眱䅑䕁䅁䅁㥁䙁䅍杔䵂䕁䅷兙楂䝁䅕䅢潁䑁䅉䅏㍁䍁䅷免祁䑁䅉䅏㑁䑁䅁䅌獁䍁䅉䅐⭁䑁䅅兎㙁䑁䅍杉灁䅁䅁朲䅑䕁䅁䅁㥁䙁䅍杔䵂䕁䅷兙楂䝁䅕䅢潁䑁䅉䅏㍁䍁䅷免祁䑁䅉䅏㑁䑁䅁䅌獁䍁䅉䅐⭁䑁䅅兎㙁䑁䅑杉灁䅁䅁儳䅑䕁䅉䅁㥁䙁䅍杔䵂䕁䅷兙楂䝁䅕䅢潁䑁䅉䅏㍁䍁䅷免祁䑁䅉䅏㑁䑁䅁䅌獁䍁䅉䅐⭁䑁䅅兎㙁䑁䅑䅍楁䍁䅫䅁敄䅂䅁䅑䅁䑁䄰睕佂䕁䅷䅔桂䝁䅉党獂䍁䅧杍㑁䑁䅣䅌硁䑁䅉杍㑁䑁䅧䅍獁䍁䅷杉㡁䑁䄴免ㅁ䑁䅯兎楁䍁䅫䅁楄䅂䅁䅑䅁䑁䄰睕佂䕁䅷䅔桂䝁䅉党獂䍁䅧杍㑁䑁䅣䅌硁䑁䅉杍㑁䑁䅧䅍獁䍁䅷杉㡁䑁䄴免ㅁ䑁䅯李楁䍁䅫䅁汄䅂䅁䅑䅁䑁䄰睕佂䕁䅷䅔桂䝁䅉党獂䍁䅧杍㑁䑁䅣䅌硁䑁䅉杍㑁䑁䅧䅍獁䍁䅷杉㡁䑁䄴免ㅁ䑁䅯睎楁䍁䅫䅁湄䅂䅁䅑䅁䑁䄰睕佂䕁䅷䅔桂䝁䅉党獂䍁䅧杍㑁䑁䅣䅌硁䑁䅉杍㑁䑁䅧䅍獁䍁䅷杉㡁䑁䄴免ㅁ䑁䅯䅏楁䍁䅫䅁獄䅂䅁䅑䅁䑁䄰睕佂䕁䅷䅔桂䝁䅉党獂䍁䅧杍㑁䑁䅣䅌硁䑁䅉杍㑁䑁䅧䅍獁䍁䅷杉㡁䑁䄴免ㅁ䑁䅯兏楁䍁䅫䅁癄䅂䅁材䅁䑁䄰睕佂䕁䅷䅔桂䝁䅉党獂䍁䅧杍㑁䑁䅣䅌硁䑁䅉杍㑁䑁䅧䅍獁䍁䅷杉㡁䑁䄴兏㙁䑁䅅杉灁䅁䅁典䅑䕁䅁䅁㥁䙁䅍杔䵂䕁䅷兙楂䝁䅕䅢潁䑁䅉䅏㍁䍁䅷免祁䑁䅉䅏㑁䑁䅁䅌獁䍁䅉䅐⭁䑁䅫杏硁䑁䅁杉灁䅁䅁䄫䅑䕁䅁䅁㥁䙁䅍杔䵂䕁䅷兙楂䝁䅕䅢潁䑁䅉䅏㍁䍁䅷免祁䑁䅉䅏㑁䑁䅁䅌獁䍁䅉䅐⭁䑁䅫杏硁䑁䅉杉灁䅁䅁䄲䅑䕁䅁䅁㥁䙁䅍杔䵂䕁䅷兙楂䝁䅕䅢潁䑁䅉䅏㍁䍁䅷免祁䑁䅉䅏㑁䑁䅁䅌獁䍁䅉䅐⭁䑁䅫杏硁䑁䅍杉灁䅁䅁眲䅑䕁䅁䅁㥁䙁䅍杔䵂䕁䅷兙楂䝁䅕䅢潁䑁䅉䅏㍁䍁䅷免祁䑁䅉䅏㑁䑁䅁䅌獁䍁䅉䅐⭁䑁䅫杏硁䑁䅑杉灁䅁䅁眳䅑䕁䅉䅁㥁䙁䅍杔䵂䕁䅷兙楂䝁䅕䅢潁䑁䅉䅏㍁䍁䅷免祁䑁䅉䅏㑁䑁䅁䅌獁䍁䅉䅐⭁䑁䅫杏硁䑁䅑李楁䍁䅫䅁杄䅂䅁䅑䅁䑁䄰睕佂䕁䅷䅔桂䝁䅉党獂䍁䅧杍㑁䑁䅣䅌硁䑁䅉杍㑁䑁䅧䅍獁䍁䅷杉㡁䑁䄴兏㙁䑁䅅兎楁䍁䅫䅁橄䅂䅁村䅁䑁䄰睕佂䕁䅷䅔桂䝁䅉党獂䍁䅧杍㑁䑁䅣䅌硁䑁䅉杍㑁䑁䅧䅍獁䍁䅷杉㡁䑁䄴兏㙁䑁䅅兎祁䍁䅉克䅁佁䕑䅁䅂䅁䅁児呂䕁䄴䅔䵂䝁䅅杙求䝁䅷䅋祁䑁䅧睎獁䑁䅅杍祁䑁䅧䅏睁䍁䅷䅌楁䑁䅷材㕁䑁䅯免㉁䍁䅉克䅁佁䕙䅁䅂䅁䅁児呂䕁䄴䅔䵂䝁䅅杙求䝁䅷䅋祁䑁䅧睎獁䑁䅅杍祁䑁䅧䅏睁䍁䅷䅌楁䑁䅷材㕁䑁䅯免㍁䍁䅉克䅁佁䕧䅁䍂䅁䅁児呂䕁䄴䅔䵂䝁䅅杙求䝁䅷䅋祁䑁䅧睎獁䑁䅅杍祁䑁䅧䅏睁䍁䅷䅌楁䑁䅷材㕁䑁䅯免㍁䑁䅧杉灁䅁䅁儶䅑䕁䅉䅁㥁䙁䅍杔䵂䕁䅷兙楂䝁䅕䅢潁䑁䅉䅏㍁䍁䅷免祁䑁䅉䅏㑁䑁䅁䅌獁䍁䅉䅐⭁䑁䅫杏硁䑁䅣兏楁䍁䅫䅁煄䅂䅁䅑䅁䑁䄰睕佂䕁䅷䅔桂䝁䅉党獂䍁䅧杍㑁䑁䅣䅌硁䑁䅉杍㑁䑁䅧䅍獁䍁䅷杉㡁䑁䄴兏㙁䑁䅅䅏楁䍁䅫䅁瑄䅂䅁村䅁䑁䄰睕佂䕁䅷䅔桂䝁䅉党獂䍁䅧杍㑁䑁䅣䅌硁䑁䅉杍㑁䑁䅧䅍獁䍁䅷杉㡁䑁䄴兏㙁䑁䅅䅏睁䍁䅉克䅁佁䔴䅁䅂䅁䅁児呂䕁䄴䅔䵂䝁䅅杙求䝁䅷䅋祁䑁䅧睎獁䑁䅅杍祁䑁䅧䅏睁䍁䅷䅌楁䑁䅷材㕁䑁䅯免㕁䍁䅉克䅁偁䕁䅁⭁䅁䅁児呂䕁䄴䅔䵂䝁䅅杙求䝁䅷䅋祁䑁䅧睎獁䑁䅅杍祁䑁䅧䅏睁䍁䅷䅌楁䑁䅷材㕁䑁䅯杍楁䍁䅫䅁䝄䅂䅁材䅁䑁䄰睕佂䕁䅷䅔桂䝁䅉党獂䍁䅧杍㑁䑁䅣䅌硁䑁䅉杍㑁䑁䅧䅍獁䍁䅷杉㡁䑁䄴兏㙁䑁䅍杉灁䅁䅁睸䅑䑁䄴䅁㥁䙁䅍杔䵂䕁䅷兙楂䝁䅕䅢潁䑁䅉䅏㍁䍁䅷免祁䑁䅉䅏㑁䑁䅁䅌獁䍁䅉䅐⭁䑁䅫杏ぁ䍁䅉克䅁䵁䕧䅁䅂䅁䅁児呂䕁䄴䅔䵂䝁䅅杙求䝁䅷䅋祁䑁䅧睎獁䑁䅅杍祁䑁䅧䅏睁䍁䅷䅌楁䑁䅷材㕁䑁䅯䅎睁䍁䅉克䅁偁䕫䅁⭁䅁䅁児呂䕁䄴䅔䵂䝁䅅杙求䝁䅷䅋祁䑁䅧睎獁䑁䅅杍祁䑁䅧䅏睁䍁䅷䅌楁䑁䅷材㕁䑁䅯兎楁䍁䅫䅁䩄䅂䅁材䅁䑁䄰睕佂䕁䅷䅔桂䝁䅉党獂䍁䅧杍㑁䑁䅣䅌硁䑁䅉杍㑁䑁䅧䅍獁䍁䅷杉㡁䑁䄴兏㙁䑁䅙杉灁䅁䅁杹䅑䑁䄴䅁㥁䙁䅍杔䵂䕁䅷兙楂䝁䅕䅢潁䑁䅉䅏㍁䍁䅷免祁䑁䅉䅏㑁䑁䅁䅌獁䍁䅉䅐⭁䑁䅫杏㍁䍁䅉克䅁䵁䕳䅁⭁䅁䅁児呂䕁䄴䅔䵂䝁䅅杙求䝁䅷䅋祁䑁䅧睎獁䑁䅅杍祁䑁䅧䅏睁䍁䅷䅌楁䑁䅷材㕁䑁䅯䅏楁䍁䅫䅁䵄䅂䅁材䅁䑁䄰睕佂䕁䅷䅔桂䝁䅉党獂䍁䅧杍㑁䑁䅣䅌硁䑁䅉杍㑁䑁䅧䅍獁䍁䅷杉㡁䑁䄴兏㙁䑁䅫杉灁䅁䅁兺䅑䑁䄴䅁㥁䙁䅍杔䵂䕁䅷兙楂䝁䅕䅢潁䑁䅉䅏㍁䍁䅷免祁䑁䅉䅏㑁䑁䅁䅌獁䍁䅉䅐⭁䕁䄴杏硁䍁䅉克䅁䵁䔴䅁䅂䅁䅁児呂䕁䄴䅔䵂䝁䅅杙求䝁䅷䅋祁䑁䅧睎獁䑁䅅杍祁䑁䅧䅏睁䍁䅷䅌楁䑁䅷材佂䑁䅯免睁䍁䅉克䅁偁䕯䅁䅂䅁䅁児呂䕁䄴䅔䵂䝁䅅杙求䝁䅷䅋祁䑁䅧睎獁䑁䅅杍祁䑁䅧䅏睁䍁䅷䅌楁䑁䅷材佂䑁䅯免祁䍁䅉克䅁乁䕫䅁䅂䅁䅁児呂䕁䄴䅔䵂䝁䅅杙求䝁䅷䅋祁䑁䅧睎獁䑁䅅杍祁䑁䅧䅏睁䍁䅷䅌楁䑁䅷材佂䑁䅯免穁䍁䅉克䅁乁䕷䅁䅂䅁䅁児呂䕁䄴䅔䵂䝁䅅杙求䝁䅷䅋祁䑁䅧睎獁䑁䅅杍祁䑁䅧䅏睁䍁䅷䅌楁䑁䅷材佂䑁䅯免ぁ䍁䅉克䅁佁䕅䅁䍂䅁䅁児呂䕁䄴䅔䵂䝁䅅杙求䝁䅷䅋祁䑁䅧睎獁䑁䅅杍祁䑁䅧䅏睁䍁䅷䅌楁䑁䅷材佂䑁䅯免㍁䑁䅧杉灁䅁䅁眶䅑䕁䅁䅁㥁䙁䅍杔䵂䕁䅷兙楂䝁䅕䅢潁䑁䅉䅏㍁䍁䅷免祁䑁䅉䅏㑁䑁䅁䅌獁䍁䅉䅐⭁䕁䄴杏硁䑁䅫杉灁䅁䅁儸䅑䑁䄴䅁㥁䙁䅍杔䵂䕁䅷兙楂䝁䅕䅢潁䑁䅉䅏㍁䍁䅷免祁䑁䅉䅏㑁䑁䅁䅌獁䍁䅉䅐⭁䕁䄴杏祁䍁䅉克䅁䵁䔸䅁⭁䅁䅁児呂䕁䄴䅔䵂䝁䅅杙求䝁䅷䅋祁䑁䅧睎獁䑁䅅杍祁䑁䅧䅏睁䍁䅷䅌楁䑁䅷材佂䑁䅯睍楁䍁䅫䅁兄䅂䅁材䅁䑁䄰睕佂䕁䅷䅔桂䝁䅉党獂䍁䅧杍㑁䑁䅣䅌硁䑁䅉杍㑁䑁䅧䅍獁䍁䅷杉㡁䑁䄴杔㙁䑁䅑杉灁䅁䅁儰䅑䕁䅁䅁㥁䙁䅍杔䵂䕁䅷兙楂䝁䅕䅢潁䑁䅉䅏㍁䍁䅷免祁䑁䅉䅏㑁䑁䅁䅌獁䍁䅉䅐⭁䕁䄴杏ぁ䑁䅁杉灁䅁䅁眫䅑䑁䄴䅁㥁䙁䅍杔䵂䕁䅷兙楂䝁䅕䅢潁䑁䅉䅏㍁䍁䅷免祁䑁䅉䅏㑁䑁䅁䅌獁䍁䅉䅐⭁䕁䄴杏ㅁ䍁䅉克䅁乁䕉䅁⭁䅁䅁児呂䕁䄴䅔䵂䝁䅅杙求䝁䅷䅋祁䑁䅧睎獁䑁䅅杍祁䑁䅧䅏睁䍁䅷䅌楁䑁䅷材佂䑁䅯李楁䍁䅫䅁呄䅂䅁材䅁䑁䄰睕佂䕁䅷䅔桂䝁䅉党獂䍁䅧杍㑁䑁䅣䅌硁䑁䅉杍㑁䑁䅧䅍獁䍁䅷杉㡁䑁䄴杔㙁䑁䅣杉灁䅁䅁䄱䅑䑁䄴䅁㥁䙁䅍杔䵂䕁䅷兙楂䝁䅕䅢潁䑁䅉䅏㍁䍁䅷免祁䑁䅉䅏㑁䑁䅁䅌獁䍁䅉䅐⭁䕁䄴杏㑁䍁䅉克䅁乁䕕䅁⭁䅁䅁児呂䕁䄴䅔䵂䝁䅅杙求䝁䅷䅋祁䑁䅧睎獁䑁䅅杍祁䑁䅧䅏睁䍁䅷䅌楁䑁䅷材佂䑁䅯兏楁䍁䅫䅁坄䅂䅁䅑䅁䑁䄰睕佂䕁䅷䅔桂䝁䅉党獂䍁䅧杍㑁䑁䅣䅌硁䑁䅉杍㑁䑁䅧免獁䍁䅷杉㡁䑁䄴免ㅁ䑁䅯免楁䍁䅫䅁㡄䅂䅁村䅁䑁䄰睕佂䕁䅷䅔桂䝁䅉党獂䍁䅧杍㑁䑁䅣䅌硁䑁䅉杍㑁䑁䅧免獁䍁䅷杉㡁䑁䄴免ㅁ䑁䅯免睁䍁䅉克䅁偁䔰䅁䍂䅁䅁児呂䕁䄴䅔䵂䝁䅅杙求䝁䅷䅋祁䑁䅧睎獁䑁䅅杍祁䑁䅧䅏硁䍁䅷䅌楁䑁䅷材硁䑁䅕杏硁䑁䅉杉灁䅁䅁术䅑䕁䅉䅁㥁䙁䅍杔䵂䕁䅷兙楂䝁䅕䅢潁䑁䅉䅏㍁䍁䅷免祁䑁䅉䅏㑁䑁䅅䅌獁䍁䅉䅐⭁䑁䅅兎㙁䑁䅅睍楁䍁䅫䅁⽄䅂䅁村䅁䑁䄰睕佂䕁䅷䅔桂䝁䅉党獂䍁䅧杍㑁䑁䅣䅌硁䑁䅉杍㑁䑁䅧免獁䍁䅷杉㡁䑁䄴免ㅁ䑁䅯免ぁ䍁䅉克䅁䅁䙁䅁䕂䅁䅁児呂䕁䄴䅔䵂䝁䅅杙求䝁䅷䅋祁䑁䅧睎獁䑁䅅杍祁䑁䅧䅏硁䍁䅷䅌楁䑁䅷材硁䑁䅕杏硁䑁䅑李楁䍁䅫䅁穁兂䅁村䅁䑁䄰睕佂䕁䅷䅔桂䝁䅉党獂䍁䅧杍㑁䑁䅣䅌硁䑁䅉杍㑁䑁䅧免獁䍁䅷杉㡁䑁䄴免ㅁ䑁䅯免ㅁ䍁䅉克䅁䅁䙅䅁䕂䅁䅁児呂䕁䄴䅔䵂䝁䅅杙求䝁䅷䅋祁䑁䅧睎獁䑁䅅杍祁䑁䅧䅏硁䍁䅷䅌楁䑁䅷材硁䑁䅕杏硁䑁䅕杍楁䍁䅫䅁ぁ兂䅁村䅁䑁䄰睕佂䕁䅷䅔桂䝁䅉党獂䍁䅧杍㑁䑁䅣䅌硁䑁䅉杍㑁䑁䅧免獁䍁䅷杉㡁䑁䄴免ㅁ䑁䅯免㉁䍁䅉克䅁䅁䙉䅁䍂䅁䅁児呂䕁䄴䅔䵂䝁䅅杙求䝁䅷䅋祁䑁䅧睎獁䑁䅅杍祁䑁䅧䅏硁䍁䅷䅌楁䑁䅷材硁䑁䅕杏硁䑁䅣杉灁䅁䅁睁䅕䕁䅑䅁㥁䙁䅍杔䵂䕁䅷兙楂䝁䅕䅢潁䑁䅉䅏㍁䍁䅷免祁䑁䅉䅏㑁䑁䅅䅌獁䍁䅉䅐⭁䑁䅅兎㙁䑁䅅睎㑁䍁䅉克䅁䑁䙕䅁䕂䅁䅁児呂䕁䄴䅔䵂䝁䅅杙求䝁䅷䅋祁䑁䅧睎獁䑁䅅杍祁䑁䅧䅏硁䍁䅷䅌楁䑁䅷材硁䑁䅕杏硁䑁䅣兏楁䍁䅫䅁㉁兂䅁村䅁䑁䄰睕佂䕁䅷䅔桂䝁䅉党獂䍁䅧杍㑁䑁䅣䅌硁䑁䅉杍㑁䑁䅧免獁䍁䅷杉㡁䑁䄴免ㅁ䑁䅯免㑁䍁䅉克䅁䅁䙑䅁䕂䅁䅁児呂䕁䄴䅔䵂䝁䅅杙求䝁䅷䅋祁䑁䅧睎獁䑁䅅杍祁䑁䅧䅏硁䍁䅷䅌楁䑁䅷材硁䑁䅕杏硁䑁䅧䅍楁䍁䅫䅁㍁兂䅁䅒䅁䑁䄰睕佂䕁䅷䅔桂䝁䅉党獂䍁䅧杍㑁䑁䅣䅌硁䑁䅉杍㑁䑁䅧免獁䍁䅷杉㡁䑁䄴免ㅁ䑁䅯免㑁䑁䅅杉灁䅁䅁䅏䅕䕁䅉䅁㥁䙁䅍杔䵂䕁䅷兙楂䝁䅕䅢潁䑁䅉䅏㍁䍁䅷免祁䑁䅉䅏㑁䑁䅅䅌獁䍁䅉䅐⭁䑁䅅兎㙁䑁䅅兏楁䍁䅫䅁䙁兂䅁䅑䅁䑁䄰睕佂䕁䅷䅔桂䝁䅉党獂䍁䅧杍㑁䑁䅣䅌硁䑁䅉杍㑁䑁䅧免獁䍁䅷杉㡁䑁䄴免ㅁ䑁䅯杍楁䍁䅫䅁奁兂䅁䅑䅁䑁䄰睕佂䕁䅷䅔桂䝁䅉党獂䍁䅧杍㑁䑁䅣䅌硁䑁䅉杍㑁䑁䅧免獁䍁䅷杉㡁</t>
  </si>
  <si>
    <t>䑁䄴免ㅁ䑁䅯睍楁䍁䅫䅁扁兂䅁䅑䅁䑁䄰睕佂䕁䅷䅔桂䝁䅉党獂䍁䅧杍㑁䑁䅣䅌硁䑁䅉杍㑁䑁䅧免獁䍁䅷杉㡁䑁䄴免ㅁ䑁䅯䅎楁䍁䅫䅁敁兂䅁村䅁䑁䄰睕佂䕁䅷䅔桂䝁䅉党獂䍁䅧杍㑁䑁䅣䅌硁䑁䅉杍㑁䑁䅧免獁䍁䅷杉㡁䑁䄴免ㅁ䑁䅯䅎睁䍁䅉克䅁䉁䘸䅁䅂䅁䅁児呂䕁䄴䅔䵂䝁䅅杙求䝁䅷䅋祁䑁䅧睎獁䑁䅅杍祁䑁䅧䅏硁䍁䅷䅌楁䑁䅷材硁䑁䅕杏ㅁ䍁䅉克䅁䍁䙍䅁䅂䅁䅁児呂䕁䄴䅔䵂䝁䅅杙求䝁䅷䅋祁䑁䅧睎獁䑁䅅杍祁䑁䅧䅏硁䍁䅷䅌楁䑁䅷材硁䑁䅕杏㉁䍁䅉克䅁䍁䙙䅁䅂䅁䅁児呂䕁䄴䅔䵂䝁䅅杙求䝁䅷䅋祁䑁䅧睎獁䑁䅅杍祁䑁䅧䅏硁䍁䅷䅌楁䑁䅷材硁䑁䅕杏㍁䍁䅉克䅁䍁䙧䅁䅂䅁䅁児呂䕁䄴䅔䵂䝁䅅杙求䝁䅷䅋祁䑁䅧睎獁䑁䅅杍祁䑁䅧䅏硁䍁䅷䅌楁䑁䅷材硁䑁䅕杏㑁䍁䅉克䅁䍁䘰䅁䅂䅁䅁児呂䕁䄴䅔䵂䝁䅅杙求䝁䅷䅋祁䑁䅧睎獁䑁䅅杍祁䑁䅧䅏硁䍁䅷䅌楁䑁䅷材硁䑁䅕杏㕁䍁䅉克䅁䑁䙁䅁⭁䅁䅁児呂䕁䄴䅔䵂䝁䅅杙求䝁䅷䅋祁䑁䅧睎獁䑁䅅杍祁䑁䅧䅏硁䍁䅷䅌楁䑁䅷材㕁䑁䅯免楁䍁䅫䅁䝁兂䅁䅑䅁䑁䄰睕佂䕁䅷䅔桂䝁䅉党獂䍁䅧杍㑁䑁䅣䅌硁䑁䅉杍㑁䑁䅧免獁䍁䅷杉㡁䑁䄴兏㙁䑁䅅䅍楁䍁䅫䅁㕁兂䅁䅑䅁䑁䄰睕佂䕁䅷䅔桂䝁䅉党獂䍁䅧杍㑁䑁䅣䅌硁䑁䅉杍㑁䑁䅧免獁䍁䅷杉㡁䑁䄴兏㙁䑁䅅杍楁䍁䅫䅁婁兂䅁䅑䅁䑁䄰睕佂䕁䅷䅔桂䝁䅉党獂䍁䅧杍㑁䑁䅣䅌硁䑁䅉杍㑁䑁䅧免獁䍁䅷杉㡁䑁䄴兏㙁䑁䅅睍楁䍁䅫䅁捁兂䅁䅑䅁䑁䄰睕佂䕁䅷䅔桂䝁䅉党獂䍁䅧杍㑁䑁䅣䅌硁䑁䅉杍㑁䑁䅧免獁䍁䅷杉㡁䑁䄴兏㙁䑁䅅䅎楁䍁䅫䅁杁兂䅁村䅁䑁䄰睕佂䕁䅷䅔桂䝁䅉党獂䍁䅧杍㑁䑁䅣䅌硁䑁䅉杍㑁䑁䅧免獁䍁䅷杉㡁䑁䄴兏㙁䑁䅅䅎㉁䍁䅉克䅁䍁䙅䅁䅂䅁䅁児呂䕁䄴䅔䵂䝁䅅杙求䝁䅷䅋祁䑁䅧睎獁䑁䅅杍祁䑁䅧䅏硁䍁䅷䅌楁䑁䅷材㕁䑁䅯免ㅁ䍁䅉克䅁䍁䙑䅁䍂䅁䅁児呂䕁䄴䅔䵂䝁䅅杙求䝁䅷䅋祁䑁䅧睎獁䑁䅅杍祁䑁䅧䅏硁䍁䅷䅌楁䑁䅷材㕁䑁䅯免ㅁ䑁䅉杉灁䅁䅁兊䅕䕁䅁䅁㥁䙁䅍杔䵂䕁䅷兙楂䝁䅕䅢潁䑁䅉䅏㍁䍁䅷免祁䑁䅉䅏㑁䑁䅅䅌獁䍁䅉䅐⭁䑁䅫杏硁䑁䅙杉灁䅁䅁睊䅕䕁䅁䅁㥁䙁䅍杔䵂䕁䅷兙楂䝁䅕䅢潁䑁䅉䅏㍁䍁䅷免祁䑁䅉䅏㑁䑁䅅䅌獁䍁䅉䅐⭁䑁䅫杏硁䑁䅣杉灁䅁䅁克䅕䕁䅉䅁㥁䙁䅍杔䵂䕁䅷兙楂䝁䅕䅢潁䑁䅉䅏㍁䍁䅷免祁䑁䅉䅏㑁䑁䅅䅌獁䍁䅉䅐⭁䑁䅫杏硁䑁䅣䅏楁䍁䅫䅁煁兂䅁村䅁䑁䄰睕佂䕁䅷䅔桂䝁䅉党獂䍁䅧杍㑁䑁䅣䅌硁䑁䅉杍㑁䑁䅧免獁䍁䅷杉㡁䑁䄴兏㙁䑁䅅睎㕁䍁䅉克䅁䍁䙳䅁䅂䅁䅁児呂䕁䄴䅔䵂䝁䅅杙求䝁䅷䅋祁䑁䅧睎獁䑁䅅杍祁䑁䅧䅏硁䍁䅷䅌楁䑁䅷材㕁䑁䅯免㑁䍁䅉克䅁䍁䘴䅁䍂䅁䅁児呂䕁䄴䅔䵂䝁䅅杙求䝁䅷䅋祁䑁䅧睎獁䑁䅅杍祁䑁䅧䅏硁䍁䅷䅌楁䑁䅷材㕁䑁䅯免㑁䑁䅁杉灁䅁䅁睌䅕䕁䅁䅁㥁䙁䅍杔䵂䕁䅷兙楂䝁䅕䅢潁䑁䅉䅏㍁䍁䅷免祁䑁䅉䅏㑁䑁䅅䅌獁䍁䅉䅐⭁䑁䅫杏硁䑁䅫杉灁䅁䅁免䅕䑁䄴䅁㥁䙁䅍杔䵂䕁䅷兙楂䝁䅕䅢潁䑁䅉䅏㍁䍁䅷免祁䑁䅉䅏㑁䑁䅅䅌獁䍁䅉䅐⭁䑁䅫杏祁䍁䅉克䅁䅁䙣䅁⭁䅁䅁児呂䕁䄴䅔䵂䝁䅅杙求䝁䅷䅋祁䑁䅧睎獁䑁䅅杍祁䑁䅧䅏硁䍁䅷䅌楁䑁䅷材㕁䑁䅯睍楁䍁䅫䅁䥁兂䅁材䅁䑁䄰睕佂䕁䅷䅔桂䝁䅉党獂䍁䅧杍㑁䑁䅣䅌硁䑁䅉杍㑁䑁䅧免獁䍁䅷杉㡁䑁䄴兏㙁䑁䅑杉灁䅁䅁元䅕䕁䅁䅁㥁䙁䅍杔䵂䕁䅷兙楂䝁䅕䅢潁䑁䅉䅏㍁䍁䅷免祁䑁䅉䅏㑁䑁䅅䅌獁䍁䅉䅐⭁䑁䅫杏ぁ䑁䅁杉灁䅁䅁杏䅕䑁䄴䅁㥁䙁䅍杔䵂䕁䅷兙楂䝁䅕䅢潁䑁䅉䅏㍁䍁䅷免祁䑁䅉䅏㑁䑁䅅䅌獁䍁䅉䅐⭁䑁䅫杏ㅁ䍁䅉克䅁䅁䙯䅁⭁䅁䅁児呂䕁䄴䅔䵂䝁䅅杙求䝁䅷䅋祁䑁䅧睎獁䑁䅅杍祁䑁䅧䅏硁䍁䅷䅌楁䑁䅷材㕁䑁䅯李楁䍁䅫䅁䱁兂䅁材䅁䑁䄰睕佂䕁䅷䅔桂䝁䅉党獂䍁䅧杍㑁䑁䅣䅌硁䑁䅉杍㑁䑁䅧免獁䍁䅷杉㡁䑁䄴兏㙁䑁䅣杉灁䅁䅁䅄䅕䑁䄴䅁㥁䙁䅍杔䵂䕁䅷兙楂䝁䅕䅢潁䑁䅉䅏㍁䍁䅷免祁䑁䅉䅏㑁䑁䅅䅌獁䍁䅉䅐⭁䑁䅫杏㑁䍁䅉克䅁䅁䘰䅁⭁䅁䅁児呂䕁䄴䅔䵂䝁䅅杙求䝁䅷䅋祁䑁䅧睎獁䑁䅅杍祁䑁䅧䅏硁䍁䅷䅌楁䑁䅷材㕁䑁䅯兏楁䍁䅫䅁佁兂䅁材䅁䑁䄰睕佂䕁䅷䅔桂䝁䅉党獂䍁䅧杍㑁䑁䅣䅌硁䑁䅉杍㑁䑁䅧免獁䍁䅷杉㡁䑁䄴杔㙁䑁䅅杉灁䅁䅁睄䅕䕁䅁䅁㥁䙁䅍杔䵂䕁䅷兙楂䝁䅕䅢潁䑁䅉䅏㍁䍁䅷免祁䑁䅉䅏㑁䑁䅅䅌獁䍁䅉䅐⭁䕁䄴杏硁䑁䅁杉灁䅁䅁睏䅕䕁䅁䅁㥁䙁䅍杔䵂䕁䅷兙楂䝁䅕䅢潁䑁䅉䅏㍁䍁䅷免祁䑁䅉䅏㑁䑁䅅䅌獁䍁䅉䅐⭁䕁䄴杏硁䑁䅉杉灁䅁䅁杇䅕䕁䅁䅁㥁䙁䅍杔䵂䕁䅷兙楂䝁䅕䅢潁䑁䅉䅏㍁䍁䅷免祁䑁䅉䅏㑁䑁䅅䅌獁䍁䅉䅐⭁䕁䄴杏硁䑁䅍杉灁䅁䅁先䅕䕁䅁䅁㥁䙁䅍杔䵂䕁䅷兙楂䝁䅕䅢潁䑁䅉䅏㍁䍁䅷免祁䑁䅉䅏㑁䑁䅅䅌獁䍁䅉䅐⭁䕁䄴杏硁䑁䅑杉灁䅁䅁杉䅕䕁䅉䅁㥁䙁䅍杔䵂䕁䅷兙楂䝁䅕䅢潁䑁䅉䅏㍁䍁䅷免祁䑁䅉䅏㑁䑁䅅䅌獁䍁䅉䅐⭁䕁䄴杏硁䑁䅣䅏楁䍁䅫䅁獁兂䅁䅑䅁䑁䄰睕佂䕁䅷䅔桂䝁䅉党獂䍁䅧杍㑁䑁䅣䅌硁䑁䅉杍㑁䑁䅧免獁䍁䅷杉㡁䑁䄴杔㙁䑁䅅兏楁䍁䅫䅁祁兂䅁材䅁䑁䄰睕佂䕁䅷䅔桂䝁䅉党獂䍁䅧杍㑁䑁䅣䅌硁䑁䅉杍㑁䑁䅧免獁䍁䅷杉㡁䑁䄴杔㙁䑁䅉杉灁䅁䅁䅅䅕䑁䄴䅁㥁䙁䅍杔䵂䕁䅷兙楂䝁䅕䅢潁䑁䅉䅏㍁䍁䅷免祁䑁䅉䅏㑁䑁䅅䅌獁䍁䅉䅐⭁䕁䄴杏穁䍁䅉克䅁䉁䙅䅁⭁䅁䅁児呂䕁䄴䅔䵂䝁䅅杙求䝁䅷䅋祁䑁䅧睎獁䑁䅅杍祁䑁䅧䅏硁䍁䅷䅌楁䑁䅷材佂䑁䅯䅎楁䍁䅫䅁十兂䅁䅑䅁䑁䄰睕佂䕁䅷䅔桂䝁䅉党獂䍁䅧杍㑁䑁䅣䅌硁䑁䅉杍㑁䑁䅧免獁䍁䅷杉㡁䑁䄴杔㙁䑁䅑䅍楁䍁䅫䅁㡁兂䅁材䅁䑁䄰睕佂䕁䅷䅔桂䝁䅉党獂䍁䅧杍㑁䑁䅣䅌硁䑁䅉杍㑁䑁䅧免獁䍁䅷杉㡁䑁䄴杔㙁䑁䅕杉灁䅁䅁睅䅕䑁䄴䅁㥁䙁䅍杔䵂䕁䅷兙楂䝁䅕䅢潁䑁䅉䅏㍁䍁䅷免祁䑁䅉䅏㑁䑁䅅䅌獁䍁䅉䅐⭁䕁䄴杏㉁䍁䅉克䅁䉁䙑䅁⭁䅁䅁児呂䕁䄴䅔䵂䝁䅅杙求䝁䅷䅋祁䑁䅧睎獁䑁䅅杍祁䑁䅧䅏硁䍁䅷䅌楁䑁䅷材佂䑁䅯睎楁䍁䅫䅁噁兂䅁材䅁䑁䄰睕佂䕁䅷䅔桂䝁䅉党獂䍁䅧杍㑁䑁䅣䅌硁䑁䅉杍㑁䑁䅧免獁䍁䅷杉㡁䑁䄴杔㙁䑁䅧杉灁䅁䅁杆䅕䑁䄴䅁㥁䙁䅍杔䵂䕁䅷兙楂䝁䅕䅢潁䑁䅉䅏㍁䍁䅷免祁䑁䅉䅏㑁䑁䅅䅌獁䍁䅉䅐⭁䕁䄴杏㕁䍁䅉克䅁䉁䙣䅁䅂䅁䅁児呂䕁䄴䅔䵂䝁䅅杙求䝁䅷䅋祁䑁䅧睎獁䑁䅉䅍ㅁ䑁䅙䅎㑁䍁䅷䅌楁䑁䅷材硁䑁䅕杏硁䍁䅉克䅁䱁䑯䅁䍂䅁䅁児呂䕁䄴䅔䵂䝁䅅杙求䝁䅷䅋祁䑁䅧睎獁䑁䅉䅍ㅁ䑁䅙䅎㑁䍁䅷䅌楁䑁䅷材硁䑁䅕杏硁䑁䅁杉灁䅁䅁睵䅍䕁䅉䅁㥁䙁䅍杔䵂䕁䅷兙楂䝁䅕䅢潁䑁䅉䅏㍁䍁䅷杍睁䑁䅕李ぁ䑁䅧䅌獁䍁䅉䅐⭁䑁䅅兎㙁䑁䅅杍楁䍁䅫䅁㡃睁䅁村䅁䑁䄰睕佂䕁䅷䅔桂䝁䅉党獂䍁䅧杍㑁䑁䅣䅌祁䑁䅁兎㉁䑁䅑䅏獁䍁䅷杉㡁䑁䄴免ㅁ䑁䅯免穁䍁䅉克䅁䱁䐰䅁䍂䅁䅁児呂䕁䄴䅔䵂䝁䅅杙求䝁䅷䅋祁䑁䅧睎獁䑁䅉䅍ㅁ䑁䅙䅎㑁䍁䅷䅌楁䑁䅷材硁䑁䅕杏硁䑁䅑杉灁䅁䅁杶䅍䕁䅑䅁㥁䙁䅍杔䵂䕁䅷兙楂䝁䅕䅢潁䑁䅉䅏㍁䍁䅷杍睁䑁䅕李ぁ䑁䅧䅌獁䍁䅉䅐⭁䑁䅅兎㙁䑁䅅䅎㉁䍁䅉克䅁佁䑙䅁䍂䅁䅁児呂䕁䄴䅔䵂䝁䅅杙求䝁䅷䅋祁䑁䅧睎獁䑁䅉䅍ㅁ䑁䅙䅎㑁䍁䅷䅌楁䑁䅷材硁䑁䅕杏硁䑁䅕杉灁䅁䅁睶䅍䕁䅑䅁㥁䙁䅍杔䵂䕁䅷兙楂䝁䅕䅢潁䑁䅉䅏㍁䍁䅷杍睁䑁䅕李ぁ䑁䅧䅌獁䍁䅉䅐⭁䑁䅅兎㙁䑁䅅兎祁䍁䅉克䅁佁䑣䅁䍂䅁䅁児呂䕁䄴䅔䵂䝁䅅杙求䝁䅷䅋祁䑁䅧睎獁䑁䅉䅍ㅁ䑁䅙䅎㑁䍁䅷䅌楁䑁䅷材硁䑁䅕杏硁䑁䅙杉灁䅁䅁䅷䅍䕁䅉䅁㥁䙁䅍杔䵂䕁䅷兙楂䝁䅕䅢潁䑁䅉䅏㍁䍁䅷杍睁䑁䅕李ぁ䑁䅧䅌獁䍁䅉䅐⭁䑁䅅兎㙁䑁䅅睎楁䍁䅫䅁䉄睁䅁䅒䅁䑁䄰睕佂䕁䅷䅔桂䝁䅉党獂䍁䅧杍㑁䑁䅣䅌祁䑁䅁兎㉁䑁䅑䅏獁䍁䅷杉㡁䑁䄴免ㅁ䑁䅯免㍁䑁䅧杉灁䅁䅁䄶䅍䕁䅑䅁㥁䙁䅍杔䵂䕁䅷兙楂䝁䅕䅢潁䑁䅉䅏㍁䍁䅷杍睁䑁䅕李ぁ䑁䅧䅌獁䍁䅉䅐⭁䑁䅅兎㙁䑁䅅睎㕁䍁䅉克䅁佁䑫䅁䍂䅁䅁児呂䕁䄴䅔䵂䝁䅅杙求䝁䅷䅋祁䑁䅧睎獁䑁䅉䅍ㅁ䑁䅙䅎㑁䍁䅷䅌楁䑁䅷材硁䑁䅕杏硁䑁䅧杉灁䅁䅁杷䅍䕁䅑䅁㥁䙁䅍杔䵂䕁䅷兙楂䝁䅕䅢潁䑁䅉䅏㍁䍁䅷杍睁䑁䅕李ぁ䑁䅧䅌獁䍁䅉䅐⭁䑁䅅兎㙁䑁䅅䅏睁䍁䅉克䅁佁䑯䅁䕂䅁䅁児呂䕁䄴䅔䵂䝁䅅杙求䝁䅷䅋祁䑁䅧睎獁䑁䅉䅍ㅁ䑁䅙䅎㑁䍁䅷䅌楁䑁䅷材硁䑁䅕杏硁䑁䅧免楁䍁䅫䅁牄睁䅁村䅁䑁䄰睕佂䕁䅷䅔桂䝁䅉党獂䍁䅧杍㑁䑁䅣䅌祁䑁䅁兎㉁䑁䅑䅏獁䍁䅷杉㡁䑁䄴免ㅁ䑁䅯免㕁䍁䅉克䅁䵁䑍䅁䅂䅁䅁児呂䕁䄴䅔䵂䝁䅅杙求䝁䅷䅋祁䑁䅧睎獁䑁䅉䅍ㅁ䑁䅙䅎㑁䍁䅷䅌楁䑁䅷材硁䑁䅕杏祁䍁䅉克䅁䥁䑁䅁䅂䅁䅁児呂䕁䄴䅔䵂䝁䅅杙求䝁䅷䅋祁䑁䅧睎獁䑁䅉䅍ㅁ䑁䅙䅎㑁䍁䅷䅌楁䑁䅷材硁䑁䅕杏穁䍁䅉克䅁乁䑙䅁䅂䅁䅁児呂䕁䄴䅔䵂䝁䅅杙求䝁䅷䅋祁䑁䅧睎獁䑁䅉䅍ㅁ䑁䅙䅎㑁䍁䅷䅌楁䑁䅷材硁䑁䅕杏ぁ䍁䅉克䅁䉁䑍䅁䍂䅁䅁児呂䕁䄴䅔䵂䝁䅅杙求䝁䅷䅋祁䑁䅧睎獁䑁䅉䅍ㅁ䑁䅙䅎㑁䍁䅷䅌楁䑁䅷材硁䑁䅕杏ぁ䑁䅁杉灁䅁䅁䅆䅍䕁䅁䅁㥁䙁䅍杔䵂䕁䅷兙楂䝁䅕䅢潁䑁䅉䅏㍁䍁䅷杍睁䑁䅕李ぁ䑁䅧䅌獁䍁䅉䅐⭁䑁䅅兎㙁䑁䅕杉灁䅁䅁睘䅍䕁䅁䅁㥁䙁䅍杔䵂䕁䅷兙楂䝁䅕䅢潁䑁䅉䅏㍁䍁䅷杍睁䑁䅕李ぁ䑁䅧䅌獁䍁䅉䅐⭁䑁䅅兎㙁䑁䅙杉灁䅁䅁儲䅍䕁䅁䅁㥁䙁䅍杔䵂䕁䅷兙楂䝁䅕䅢潁䑁䅉䅏㍁䍁䅷杍睁䑁䅕李ぁ䑁䅧䅌獁䍁䅉䅐⭁䑁䅅兎㙁䑁䅣杉灁䅁䅁眲䅍䕁䅁䅁㥁䙁䅍杔䵂䕁䅷兙楂䝁䅕䅢潁䑁䅉䅏㍁䍁䅷杍睁䑁䅕李ぁ䑁䅧䅌獁䍁䅉䅐⭁䑁䅅兎㙁䑁䅧杉灁䅁䅁䄴䅍䕁䅁䅁㥁䙁䅍杔䵂䕁䅷兙楂䝁䅕䅢潁䑁䅉䅏㍁䍁䅷杍睁䑁䅕李ぁ䑁䅧䅌獁䍁䅉䅐⭁䑁䅅兎㙁䑁䅫杉灁䅁䅁眴䅍䑁䄴䅁㥁䙁䅍杔䵂䕁䅷兙楂䝁䅕䅢潁䑁䅉䅏㍁䍁䅷杍睁䑁䅕李ぁ䑁䅧䅌獁䍁䅉䅐⭁䑁䅫杏硁䍁䅉克䅁䵁䑑䅁䅂䅁䅁児呂䕁䄴䅔䵂䝁䅅杙求䝁䅷䅋祁䑁䅧睎獁䑁䅉䅍ㅁ䑁䅙䅎㑁䍁䅷䅌楁䑁䅷材㕁䑁䅯免睁䍁䅉克䅁佁䑷䅁䅂䅁䅁児呂䕁䄴䅔䵂䝁䅅杙求䝁䅷䅋祁䑁䅧睎獁䑁䅉䅍ㅁ䑁䅙䅎㑁䍁䅷䅌楁䑁䅷材㕁䑁䅯免祁䍁䅉克䅁䥁䑅䅁䅂䅁䅁児呂䕁䄴䅔䵂䝁䅅杙求䝁䅷䅋祁䑁䅧睎獁䑁䅉䅍ㅁ䑁䅙䅎㑁䍁䅷䅌楁䑁䅷材㕁䑁䅯免穁䍁䅉克䅁乁䑣䅁䅂䅁䅁児呂䕁䄴䅔䵂䝁䅅杙求䝁䅷䅋祁䑁䅧睎獁䑁䅉䅍ㅁ䑁䅙䅎㑁䍁䅷䅌楁䑁䅷材㕁䑁䅯免ぁ䍁䅉克䅁䉁䑕䅁䍂䅁䅁児呂䕁䄴䅔䵂䝁䅅杙求䝁䅷䅋祁䑁䅧睎獁䑁䅉䅍ㅁ䑁䅙䅎㑁䍁䅷䅌楁䑁䅷材㕁䑁䅯免ぁ䑁䅙杉灁䅁䅁杆䅍䕁䅁䅁㥁䙁䅍杔䵂䕁䅷兙楂䝁䅕䅢潁䑁䅉䅏㍁䍁䅷杍睁䑁䅕李ぁ䑁䅧䅌獁䍁䅉䅐⭁䑁䅫杏硁䑁䅕杉灁䅁䅁䅙䅍䕁䅉䅁㥁䙁䅍杔䵂䕁䅷兙楂䝁䅕䅢潁䑁䅉䅏㍁䍁䅷杍睁䑁䅕李ぁ䑁䅧䅌獁䍁䅉䅐⭁䑁䅫杏硁䑁䅕杍楁䍁䅫䅁桂睁䅁䅑䅁䑁䄰睕佂䕁䅷䅔桂䝁䅉党獂䍁䅧杍㑁䑁䅣䅌祁䑁䅁兎㉁䑁䅑䅏獁䍁䅷杉㡁䑁䄴兏㙁䑁䅅李楁䍁䅫䅁慄睁䅁䅑䅁䑁䄰睕佂䕁䅷䅔桂䝁䅉党獂䍁䅧杍㑁䑁䅣䅌祁䑁䅁兎㉁䑁䅑䅏獁䍁䅷杉㡁䑁䄴兏㙁䑁䅅睎楁䍁䅫䅁捄睁䅁村䅁䑁䄰睕佂䕁䅷䅔桂䝁䅉党獂䍁䅧杍㑁䑁䅣䅌祁䑁䅁兎㉁䑁䅑䅏獁䍁䅷杉㡁䑁䄴兏㙁䑁䅅睎㑁䍁䅉克䅁乁䐰䅁䍂䅁䅁児呂䕁䄴䅔䵂䝁䅅杙求䝁䅷䅋祁䑁䅧睎獁䑁䅉䅍ㅁ䑁䅙䅎㑁䍁䅷䅌楁䑁䅷材㕁䑁䅯免㍁䑁䅫杉灁䅁䅁朳䅍䕁䅁䅁㥁䙁䅍杔䵂䕁䅷兙楂䝁䅕䅢潁䑁䅉䅏㍁䍁䅷杍睁䑁䅕李ぁ䑁䅧䅌獁䍁䅉䅐⭁䑁䅫杏硁䑁䅧杉灁䅁䅁儴䅍䕁䅉䅁㥁䙁䅍杔䵂䕁䅷兙楂䝁䅕䅢潁䑁䅉䅏㍁䍁䅷杍睁䑁䅕李ぁ䑁䅧䅌獁䍁䅉䅐⭁䑁䅫杏硁䑁䅧䅍楁䍁䅫䅁楄睁䅁䅑䅁䑁䄰睕佂䕁䅷䅔桂䝁䅉党獂䍁䅧杍㑁䑁䅣䅌祁䑁䅁兎㉁䑁䅑䅏獁䍁䅷杉㡁䑁䄴兏㙁䑁䅅兏楁䍁䅫䅁歄睁䅁材䅁䑁䄰睕佂䕁䅷䅔桂䝁䅉党獂䍁䅧杍㑁䑁䅣䅌祁䑁䅁兎㉁䑁䅑䅏獁䍁䅷杉㡁䑁䄴兏㙁䑁䅉杉灁䅁䅁典䅍䑁䄴䅁㥁䙁䅍杔䵂䕁䅷兙楂䝁䅕䅢潁䑁䅉䅏㍁䍁䅷杍睁䑁䅕李ぁ䑁䅧䅌獁䍁䅉䅐⭁䑁䅫杏穁䍁䅉克䅁䵁䑙䅁⭁䅁䅁児呂䕁䄴䅔䵂䝁䅅杙求䝁䅷䅋祁䑁䅧睎獁䑁䅉䅍ㅁ䑁䅙䅎㑁䍁䅷䅌楁䑁䅷材㕁䑁䅯䅎楁䍁䅫䅁䡄睁䅁䅑䅁䑁䄰睕佂䕁䅷䅔桂䝁䅉党獂䍁䅧杍㑁䑁䅣䅌祁䑁䅁兎㉁䑁䅑䅏獁䍁䅷杉㡁䑁䄴兏㙁䑁䅑䅍楁䍁䅫䅁瑄睁䅁材䅁䑁䄰睕佂䕁䅷䅔桂䝁䅉党獂䍁䅧杍㑁䑁䅣䅌祁䑁䅁兎㉁䑁䅑䅏獁䍁䅷杉㡁䑁䄴兏㙁䑁䅕杉灁䅁䅁䅹䅍䑁䄴䅁㥁䙁䅍杔䵂䕁䅷兙楂䝁䅕䅢潁䑁䅉䅏㍁䍁䅷杍睁䑁䅕李ぁ䑁䅧䅌獁䍁䅉䅐⭁䑁䅫杏㉁䍁䅉克䅁䵁䑫䅁⭁䅁䅁児呂䕁䄴䅔䵂䝁䅅杙求䝁䅷䅋祁䑁䅧睎獁䑁䅉䅍ㅁ䑁䅙䅎㑁䍁䅷䅌楁䑁䅷材㕁䑁䅯睎楁䍁䅫䅁䭄睁䅁材䅁䑁䄰睕佂䕁䅷䅔桂䝁䅉党獂䍁䅧杍㑁䑁䅣䅌祁䑁䅁兎㉁䑁䅑䅏獁䍁䅷杉㡁䑁䄴兏㙁䑁䅧杉灁䅁䅁睹䅍䑁䄴䅁㥁䙁䅍杔䵂䕁䅷兙楂䝁䅕䅢潁䑁䅉䅏㍁䍁䅷杍睁䑁䅕李ぁ䑁䅧䅌獁䍁䅉䅐⭁䑁䅫杏㕁䍁䅉克䅁䵁䑷䅁⭁䅁䅁児呂䕁䄴䅔䵂䝁䅅杙求䝁䅷䅋祁䑁䅧睎獁䑁䅉䅍ㅁ䑁䅙䅎㑁䍁䅷䅌楁䑁䅷材佂䑁䅯免楁䍁䅫䅁乄睁䅁䅑䅁䑁䄰睕佂䕁䅷䅔桂䝁䅉党獂䍁䅧杍㑁䑁䅣䅌祁䑁䅁兎㉁䑁䅑䅏獁䍁䅷杉㡁䑁䄴杔㙁䑁䅅䅍楁䍁䅫䅁畄睁䅁䅑䅁䑁䄰睕佂䕁䅷䅔桂䝁䅉党獂䍁䅧杍㑁䑁䅣䅌祁䑁䅁兎㉁䑁䅑䅏獁䍁䅷杉㡁䑁䄴杔㙁䑁䅅杍楁䍁䅫䅁䍃睁䅁䅑䅁䑁䄰睕佂䕁䅷䅔桂䝁䅉党獂䍁䅧杍㑁䑁䅣䅌祁䑁䅁兎㉁䑁䅑䅏獁䍁䅷杉㡁䑁䄴杔㙁䑁䅅睍楁䍁䅫䅁奄睁䅁䅑䅁䑁䄰睕佂䕁䅷䅔桂䝁䅉党獂䍁䅧杍㑁䑁䅣䅌祁䑁䅁兎㉁䑁䅑䅏獁䍁䅷杉㡁䑁䄴杔㙁䑁䅅䅎楁䍁䅫䅁塁睁䅁村䅁䑁䄰睕佂䕁䅷䅔桂䝁䅉党獂䍁䅧杍㑁䑁䅣䅌祁䑁䅁兎㉁䑁䅑䅏獁䍁䅷杉㡁䑁䄴杔㙁䑁䅅睎㑁䍁䅉克䅁乁䐸䅁䅂䅁䅁児呂䕁䄴䅔䵂䝁䅅杙求䝁䅷䅋祁䑁䅧睎獁䑁䅉䅍ㅁ䑁䅙䅎㑁䍁䅷䅌楁䑁䅷材佂䑁䅯免㕁䍁䅉克䅁佁䑕䅁⭁䅁䅁児呂䕁䄴䅔䵂䝁䅅杙求䝁䅷䅋祁䑁䅧睎獁䑁䅉䅍ㅁ䑁䅙䅎㑁䍁䅷䅌楁䑁䅷材佂䑁䅯杍楁䍁䅫䅁佄睁䅁材䅁䑁䄰睕佂䕁䅷䅔桂䝁䅉党獂䍁䅧杍㑁䑁䅣䅌祁䑁䅁兎㉁䑁䅑䅏獁䍁䅷杉㡁䑁䄴杔㙁䑁䅍杉灁䅁䅁睺䅍䑁䄴䅁㥁䙁䅍杔䵂䕁䅷兙楂䝁䅕䅢潁䑁䅉䅏㍁䍁䅷杍睁䑁䅕李ぁ䑁䅧䅌獁䍁䅉䅐⭁䕁䄴杏ぁ䍁䅉克䅁乁䑁䅁䅂䅁䅁児呂䕁䄴䅔䵂䝁䅅杙求䝁䅷䅋祁䑁䅧睎獁䑁䅉䅍ㅁ䑁䅙䅎㑁䍁䅷䅌楁䑁䅷材佂䑁䅯䅎睁䍁䅉克䅁佁䐸䅁⭁䅁䅁児呂䕁䄴䅔䵂䝁䅅杙求䝁䅷䅋祁䑁䅧睎獁䑁䅉䅍ㅁ䑁䅙䅎㑁䍁䅷䅌楁䑁䅷材佂䑁䅯兎楁䍁䅫䅁剄睁䅁材䅁䑁䄰睕佂䕁䅷䅔桂䝁䅉党獂䍁䅧杍㑁䑁䅣䅌祁䑁䅁兎㉁䑁䅑䅏獁䍁䅷杉㡁䑁䄴杔㙁䑁䅙杉灁䅁䅁朰䅍䑁䄴䅁㥁䙁䅍杔䵂䕁䅷兙楂䝁䅕䅢潁䑁䅉䅏㍁䍁䅷杍睁䑁䅕李ぁ䑁䅧䅌獁䍁䅉䅐⭁䕁䄴杏㍁䍁䅉克䅁乁䑍䅁⭁䅁䅁児呂䕁䄴䅔䵂䝁䅅杙求䝁䅷䅋祁䑁䅧睎獁䑁䅉䅍ㅁ䑁䅙䅎㑁䍁䅷䅌楁䑁䅷材佂䑁䅯䅏楁䍁䅫䅁啄睁䅁材䅁䑁䄰睕佂䕁䅷䅔桂䝁䅉党獂䍁䅧杍㑁䑁䅣䅌祁䑁䅁兎㉁䑁䅑䅏獁䍁䅷杉㡁䑁䄴杔㙁䑁䅫杉灁䅁䅁儱䅍䕁䅁䅁㥁䙁䅍杔䵂䕁䅷兙楂䝁䅕䅢潁䑁䅉䅏㍁䍁䅷杍睁䑁䅕李ぁ䑁䅫䅌獁䍁䅉䅐⭁䑁䅅兎㙁䑁䅅杉灁䅁䅁䄸䅍䕁䅉䅁㥁䙁䅍杔䵂䕁䅷兙楂䝁䅕䅢潁䑁䅉䅏㍁䍁䅷杍睁䑁䅕李ぁ䑁䅫䅌獁䍁䅉䅐⭁䑁䅅兎㙁䑁䅅䅍楁䍁䅫䅁硄睁䅁村䅁䑁䄰睕佂䕁䅷䅔桂䝁䅉党獂䍁䅧杍㑁䑁䅣䅌祁䑁䅁兎㉁䑁䅑兏獁䍁䅷杉㡁䑁䄴免ㅁ䑁䅯免祁䍁䅉克䅁偁䑉䅁䍂䅁䅁児呂䕁䄴䅔䵂䝁䅅杙求䝁䅷䅋祁䑁䅧睎獁䑁䅉䅍ㅁ䑁䅙䅎㕁䍁䅷䅌楁䑁䅷材硁䑁䅕杏硁䑁䅍杉灁䅁䅁眸䅍䕁䅉䅁㥁䙁䅍杔䵂䕁䅷兙楂䝁䅕䅢潁䑁䅉䅏㍁䍁䅷杍睁䑁䅕李ぁ䑁䅫䅌獁䍁䅉䅐⭁䑁䅅兎㙁䑁䅅䅎楁䍁䅫䅁い睁䅁䅒䅁䑁䄰睕佂䕁䅷䅔桂䝁䅉党獂䍁䅧杍㑁䑁䅣䅌祁䑁䅁兎㉁䑁䅑兏獁䍁䅷杉㡁䑁䄴免ㅁ䑁䅯免ぁ䑁䅙杉灁䅁䅁李䅑䕁䅉䅁㥁䙁䅍杔䵂䕁䅷兙楂䝁䅕䅢潁䑁䅉䅏㍁䍁䅷杍睁䑁䅕李ぁ䑁䅫䅌獁䍁䅉䅐⭁䑁䅅兎㙁䑁䅅兎楁䍁䅫䅁ㅄ睁䅁䅒䅁䑁䄰睕佂䕁䅷䅔桂䝁䅉党獂䍁䅧杍㑁䑁䅣䅌祁䑁䅁兎㉁䑁䅑兏獁䍁䅷杉㡁䑁䄴免ㅁ䑁䅯免ㅁ䑁䅉杉灁䅁䅁睎䅑䕁䅉䅁㥁䙁䅍杔䵂䕁䅷兙楂䝁䅕䅢潁䑁䅉䅏㍁䍁䅷杍睁䑁䅕李ぁ䑁䅫䅌獁䍁䅉䅐⭁䑁䅅兎㙁䑁䅅李楁䍁䅫䅁㉄睁䅁村䅁䑁䄰睕佂䕁䅷䅔桂䝁䅉党獂䍁䅧杍㑁䑁䅣䅌祁䑁䅁兎㉁䑁䅑兏獁䍁䅷杉㡁䑁䄴免ㅁ䑁䅯免㍁䍁䅉克䅁偁䑣䅁䕂䅁䅁児呂䕁䄴䅔䵂䝁䅅杙求䝁䅷䅋祁䑁䅧睎獁䑁䅉䅍ㅁ䑁䅙䅎㕁䍁䅷䅌楁䑁䅷材硁䑁䅕杏硁䑁䅣䅏楁䍁䅫䅁㑁䅂䅁䅒䅁䑁䄰睕佂䕁䅷䅔桂䝁䅉党獂䍁䅧杍㑁䑁䅣䅌祁䑁䅁兎㉁䑁䅑兏獁䍁䅷杉㡁䑁䄴免ㅁ䑁䅯免㍁䑁䅫杉灁䅁䅁兏䅑䕁䅉䅁㥁䙁䅍杔䵂䕁䅷兙楂䝁䅕䅢潁䑁䅉䅏㍁䍁䅷杍睁䑁䅕李ぁ䑁䅫䅌獁䍁䅉䅐⭁䑁䅅兎㙁䑁䅅䅏楁䍁䅫䅁㑄睁䅁䅒䅁䑁䄰睕佂䕁䅷䅔桂䝁䅉党獂䍁䅧杍㑁䑁䅣䅌祁䑁䅁兎㉁䑁䅑兏獁䍁䅷杉㡁䑁䄴免ㅁ䑁䅯免㑁䑁䅁杉灁䅁䅁杏䅑䕁䅑䅁㥁䙁䅍杔䵂䕁䅷兙楂䝁䅕䅢潁䑁䅉䅏㍁䍁䅷杍睁䑁䅕李ぁ䑁䅫䅌獁䍁䅉䅐⭁䑁䅅兎㙁䑁䅅䅏硁䍁䅉克䅁䑁䕳䅁䍂䅁䅁児呂䕁䄴䅔䵂䝁䅅杙求䝁䅷䅋祁䑁䅧睎獁䑁䅉䅍ㅁ䑁䅙䅎㕁䍁䅷䅌楁䑁䅷材硁䑁䅕杏硁䑁䅫杉灁䅁䅁儫䅍䕁䅁䅁㥁䙁䅍杔䵂䕁䅷兙楂䝁䅕䅢潁䑁䅉䅏㍁䍁䅷杍睁䑁䅕李ぁ䑁䅫䅌獁䍁䅉䅐⭁䑁䅅兎㙁䑁䅉杉灁䅁䅁䅄䅑䕁䅁䅁㥁䙁䅍杔䵂䕁䅷兙楂䝁䅕䅢潁䑁䅉䅏㍁䍁䅷杍睁䑁䅕李ぁ䑁䅫䅌獁䍁䅉䅐⭁䑁䅅兎㙁䑁䅍杉灁䅁䅁兗䅍䕁䅁䅁㥁䙁䅍杔䵂䕁䅷兙楂䝁䅕䅢潁䑁䅉䅏㍁䍁䅷杍睁䑁䅕李ぁ䑁䅫䅌獁䍁䅉䅐⭁䑁䅅兎㙁䑁䅑杉灁䅁䅁睄䅑䕁䅉䅁㥁䙁䅍杔䵂䕁䅷兙楂䝁䅕䅢潁䑁䅉䅏㍁䍁䅷杍睁䑁䅕李ぁ䑁䅫䅌獁䍁䅉䅐⭁䑁䅅兎㙁䑁䅑䅍楁䍁䅫䅁允䅂䅁䅑䅁䑁䄰睕佂䕁䅷䅔桂䝁䅉党獂䍁䅧杍㑁䑁䅣䅌祁䑁䅁兎㉁䑁䅑兏獁䍁䅷杉㡁䑁䄴免ㅁ䑁䅯兎楁䍁䅫䅁塁䅂䅁䅑䅁䑁䄰睕佂䕁䅷䅔桂䝁䅉党獂䍁䅧杍㑁䑁䅣䅌祁䑁䅁兎㉁䑁䅑兏獁䍁䅷杉㡁䑁䄴免ㅁ䑁䅯李楁䍁䅫䅁慁䅂䅁䅑䅁䑁䄰睕佂䕁䅷䅔桂䝁䅉党獂䍁䅧杍㑁䑁䅣䅌祁䑁䅁兎㉁䑁䅑兏獁䍁䅷杉㡁䑁䄴免ㅁ䑁䅯睎楁䍁䅫䅁畁䅂䅁䅑䅁䑁䄰睕佂䕁䅷䅔桂䝁䅉党獂䍁䅧杍㑁䑁䅣䅌祁䑁䅁兎㉁䑁䅑兏獁䍁䅷杉㡁䑁䄴免ㅁ䑁䅯䅏楁䍁䅫䅁⽁睁䅁䅑䅁䑁䄰睕佂䕁䅷䅔桂䝁䅉党獂䍁䅧杍㑁䑁䅣䅌祁䑁䅁兎㉁䑁䅑兏獁䍁䅷杉㡁䑁䄴免ㅁ䑁䅯兏楁䍁䅫䅁穁䅂䅁材䅁䑁䄰睕佂䕁䅷䅔桂䝁䅉党獂䍁䅧杍㑁䑁䅣䅌祁䑁䅁兎㉁䑁䅑兏獁䍁䅷杉㡁䑁䄴兏㙁䑁䅅杉灁䅁䅁末䅍䕁䅁䅁㥁䙁䅍杔䵂䕁䅷兙楂䝁䅕䅢潁䑁䅉䅏㍁䍁䅷杍睁䑁䅕李ぁ䑁䅫䅌獁䍁䅉䅐⭁䑁䅫杏硁䑁䅁杉灁䅁䅁䅐䅑䕁䅁䅁㥁䙁䅍杔䵂䕁䅷兙楂䝁䅕䅢潁䑁䅉䅏㍁䍁䅷杍睁䑁䅕李ぁ䑁䅫䅌獁䍁䅉䅐⭁䑁䅫杏硁䑁䅉杉灁䅁䅁兄䅑䕁䅁䅁㥁䙁䅍杔䵂䕁䅷兙楂䝁䅕䅢潁䑁䅉䅏㍁䍁䅷杍睁䑁䅕李ぁ䑁䅫䅌獁䍁䅉䅐⭁䑁䅫杏硁䑁䅍杉灁䅁䅁杗䅍䕁䅁䅁㥁䙁䅍杔䵂䕁䅷兙楂䝁䅕䅢潁䑁䅉䅏㍁䍁䅷杍睁䑁䅕李ぁ䑁䅫䅌獁䍁䅉䅐⭁䑁䅫杏硁䑁䅑杉灁䅁䅁充䅑䕁䅉䅁㥁䙁䅍杔䵂䕁䅷兙楂䝁䅕䅢潁䑁䅉䅏㍁䍁䅷杍睁䑁䅕李ぁ䑁䅫䅌獁䍁䅉䅐⭁䑁䅫杏硁䑁䅑李楁䍁䅫䅁十䅂䅁䅑䅁䑁䄰睕佂䕁䅷䅔桂䝁䅉党獂䍁䅧杍㑁䑁䅣䅌祁䑁䅁兎㉁䑁䅑兏獁䍁䅷杉㡁䑁䄴兏㙁䑁䅅兎楁䍁䅫䅁奁䅂䅁村䅁䑁䄰睕佂䕁䅷䅔桂䝁䅉党獂䍁䅧杍㑁䑁䅣䅌祁䑁䅁兎㉁䑁䅑兏獁䍁䅷杉㡁䑁䄴兏㙁䑁䅅兎祁䍁䅉克䅁䉁䕫䅁䅂䅁䅁児呂䕁䄴䅔䵂䝁䅅杙求䝁䅷䅋祁䑁䅧睎獁䑁䅉䅍ㅁ䑁䅙䅎㕁䍁䅷䅌楁䑁䅷材㕁䑁䅯免㉁䍁䅉克䅁䉁䕳䅁䅂䅁䅁児呂䕁䄴䅔䵂䝁䅅杙求䝁䅷䅋祁䑁䅧睎獁䑁䅉䅍ㅁ䑁䅙䅎㕁䍁䅷䅌楁䑁䅷材㕁䑁䅯免㍁䍁䅉克䅁䍁䔸䅁䍂䅁䅁児呂䕁䄴䅔䵂䝁䅅杙求䝁䅷䅋祁䑁䅧睎獁䑁䅉䅍ㅁ䑁䅙䅎㕁䍁䅷䅌楁䑁䅷材㕁䑁䅯免㍁䑁䅧杉灁䅁䅁䅍䅑䕁䅉䅁㥁䙁䅍杔䵂䕁䅷兙楂䝁䅕䅢潁䑁䅉䅏㍁䍁䅷杍睁䑁䅕李ぁ䑁䅫䅌獁䍁䅉䅐⭁䑁䅫杏硁䑁䅣兏楁䍁䅫䅁硁䅂䅁䅑䅁䑁䄰睕佂䕁䅷䅔桂䝁䅉党獂䍁䅧杍㑁䑁䅣䅌祁䑁䅁兎㉁䑁䅑兏獁䍁䅷杉㡁䑁䄴兏㙁䑁䅅䅏楁䍁䅫䅁䅂睁䅁村䅁䑁䄰睕佂䕁䅷䅔桂䝁䅉党獂䍁䅧杍㑁䑁䅣䅌祁䑁䅁兎㉁䑁䅑兏獁䍁䅷杉㡁䑁䄴兏㙁䑁䅅䅏睁䍁䅉克䅁䕁䑅䅁䅂䅁䅁児呂䕁䄴䅔䵂䝁䅅杙求䝁䅷䅋祁䑁䅧睎獁䑁䅉䅍ㅁ䑁䅙䅎㕁䍁䅷䅌楁䑁䅷材㕁䑁䅯免㕁䍁䅉克䅁䑁䕑䅁⭁䅁䅁児呂䕁䄴䅔䵂䝁䅅杙求䝁䅷䅋祁䑁䅧睎獁䑁䅉䅍ㅁ䑁䅙䅎㕁䍁䅷䅌楁䑁䅷材㕁䑁䅯杍楁䍁䅫䅁㝄睁䅁材䅁䑁䄰睕佂䕁䅷䅔桂䝁䅉党獂䍁䅧杍㑁䑁䅣䅌祁䑁䅁兎㉁䑁䅑兏獁䍁䅷杉㡁䑁䄴兏㙁䑁䅍杉灁䅁䅁䄯䅍䑁䄴䅁㥁䙁䅍杔䵂䕁䅷兙楂䝁䅕䅢潁䑁䅉䅏㍁䍁䅷杍睁䑁䅕李ぁ䑁䅫䅌獁䍁䅉䅐⭁䑁䅫杏ぁ䍁䅉克䅁偁䐰䅁䅂䅁䅁児呂䕁䄴䅔䵂䝁䅅杙求䝁䅷䅋祁䑁䅧睎獁䑁䅉䅍ㅁ䑁䅙䅎㕁䍁䅷䅌楁䑁䅷材㕁䑁䅯䅎睁䍁䅉克䅁䑁䔰䅁⭁䅁䅁児呂䕁䄴䅔䵂䝁䅅杙求䝁䅷䅋祁䑁䅧睎獁䑁䅉䅍ㅁ䑁䅙䅎㕁䍁䅷䅌楁䑁䅷材㕁䑁䅯兎楁䍁䅫䅁⭄睁䅁材䅁䑁䄰睕佂䕁䅷䅔桂䝁䅉党獂䍁䅧杍㑁䑁䅣䅌祁䑁䅁兎㉁䑁䅑兏獁䍁䅷杉㡁䑁䄴兏㙁䑁䅙杉灁䅁䅁眯䅍䑁䄴䅁㥁䙁䅍杔䵂䕁䅷兙楂䝁䅕䅢潁䑁䅉䅏㍁䍁䅷杍睁䑁䅕李ぁ䑁䅫䅌獁䍁䅉䅐⭁䑁䅫杏㍁䍁䅉克䅁䅁䕁䅁⭁䅁䅁児呂䕁䄴䅔䵂䝁䅅杙求䝁䅷䅋祁䑁䅧睎獁䑁䅉䅍ㅁ䑁䅙䅎㕁䍁䅷䅌楁䑁䅷材㕁䑁䅯䅏楁䍁䅫䅁䉁䅂䅁材䅁䑁䄰睕佂䕁䅷䅔桂䝁䅉党獂䍁䅧杍㑁䑁䅣䅌祁䑁䅁兎㉁䑁䅑兏獁䍁䅷杉㡁䑁䄴兏㙁䑁䅫杉灁䅁䅁杁䅑䑁䄴䅁㥁䙁䅍杔䵂䕁䅷兙楂䝁䅕䅢潁䑁䅉䅏㍁䍁䅷杍睁䑁䅕李ぁ䑁䅫䅌獁䍁䅉䅐⭁䕁䄴杏硁䍁䅉克䅁䅁䕍䅁䅂䅁䅁児呂䕁䄴䅔䵂䝁䅅杙求䝁䅷䅋祁䑁䅧睎獁䑁䅉䅍ㅁ䑁䅙䅎㕁䍁䅷䅌楁䑁䅷材佂䑁䅯免睁䍁䅉克䅁䑁䔴䅁䅂䅁䅁児呂䕁䄴䅔䵂䝁䅅杙求䝁䅷䅋祁䑁䅧睎獁䑁䅉䅍ㅁ䑁䅙䅎㕁䍁䅷䅌楁䑁䅷材佂䑁䅯免祁䍁䅉克䅁䅁䔴䅁䅂䅁䅁児呂䕁䄴䅔䵂䝁䅅杙求䝁䅷䅋祁䑁䅧睎獁䑁䅉䅍ㅁ䑁䅙䅎㕁䍁䅷䅌楁䑁䅷材佂䑁䅯免穁䍁䅉克䅁䙁䑳䅁䅂䅁䅁児呂䕁䄴䅔䵂䝁䅅杙求䝁䅷䅋祁䑁䅧睎獁䑁䅉䅍ㅁ䑁䅙䅎㕁䍁䅷䅌楁䑁䅷材佂䑁䅯免ぁ䍁䅉克䅁䉁䕍䅁䍂䅁䅁児呂䕁䄴䅔䵂䝁䅅杙求䝁䅷䅋祁䑁䅧睎獁䑁䅉䅍ㅁ䑁䅙䅎㕁䍁䅷䅌楁䑁䅷材佂䑁䅯免㍁䑁䅧杉灁䅁䅁杍䅑䕁䅁䅁㥁䙁䅍杔䵂䕁䅷兙楂䝁䅕䅢潁䑁䅉䅏㍁䍁䅷杍睁䑁䅕李ぁ䑁䅫䅌獁䍁䅉䅐⭁䕁䄴杏硁䑁䅫杉灁䅁䅁兎䅑䑁䄴䅁㥁䙁䅍杔䵂䕁䅷兙楂䝁䅕䅢潁䑁䅉䅏㍁䍁䅷杍睁䑁䅕李ぁ䑁䅫䅌獁䍁䅉䅐⭁䕁䄴杏祁䍁䅉克䅁䅁䕑䅁⭁䅁䅁児呂䕁䄴䅔䵂䝁䅅杙求䝁䅷䅋祁䑁䅧睎獁䑁䅉䅍ㅁ䑁䅙䅎㕁䍁䅷䅌楁䑁䅷材佂䑁䅯睍楁䍁䅫䅁䙁䅂䅁材䅁䑁䄰睕佂䕁䅷䅔桂䝁䅉党獂䍁䅧杍㑁䑁䅣䅌祁䑁䅁兎㉁䑁䅑兏獁䍁䅷杉㡁䑁䄴杔㙁䑁䅑杉灁䅁䅁杂䅑䕁䅁䅁㥁䙁䅍杔䵂䕁䅷兙楂䝁䅕䅢潁䑁䅉䅏㍁䍁䅷杍睁䑁䅕李ぁ䑁䅫䅌獁䍁䅉䅐⭁䕁䄴杏ぁ䑁䅁杉灁䅁䅁睐䅑䑁䄴䅁㥁䙁䅍杔䵂䕁䅷兙楂䝁䅕䅢潁䑁䅉䅏㍁䍁䅷杍睁䑁䅕李ぁ䑁䅫䅌獁䍁䅉䅐⭁䕁䄴杏ㅁ䍁䅉克䅁䅁䕣䅁⭁䅁䅁児呂䕁䄴䅔䵂䝁䅅杙求䝁䅷䅋祁䑁䅧睎獁䑁䅉䅍ㅁ䑁䅙䅎㕁䍁䅷䅌楁䑁䅷材佂䑁䅯李楁䍁䅫䅁䥁䅂䅁材䅁䑁䄰睕佂䕁䅷䅔桂䝁䅉党獂䍁䅧杍㑁䑁䅣䅌祁䑁䅁兎㉁䑁䅑兏獁䍁䅷杉㡁䑁䄴杔㙁䑁䅣杉灁䅁䅁元䅑䑁䄴䅁㥁䙁䅍杔䵂䕁䅷兙楂䝁䅕䅢潁䑁䅉䅏㍁䍁䅷杍睁䑁䅕李ぁ䑁䅫䅌獁䍁䅉䅐⭁䕁䄴杏㑁䍁䅉克䅁䅁䕯䅁⭁䅁䅁児呂䕁䄴䅔䵂䝁䅅杙求䝁䅷䅋祁䑁䅧睎獁䑁䅉䅍ㅁ䑁䅙䅎㕁䍁䅷䅌楁䑁䅷材佂䑁䅯兏楁䍁䅫䅁䱁䅂䅁䅑䅁䑁䄰睕佂䕁䅷䅔桂䝁䅉党獂䍁䅧杍㑁䑁䅣䅌祁䑁䅁兎㉁䑁䅕䅍獁䍁䅷杉㡁䑁䄴免ㅁ䑁䅯免楁䍁䅫䅁䅂䅂䅁村䅁䑁䄰睕佂䕁䅷䅔桂䝁䅉党獂䍁䅧杍㑁䑁䅣䅌祁䑁䅁兎㉁䑁䅕䅍獁䍁䅷杉㡁䑁䄴免ㅁ䑁䅯免睁䍁䅉克䅁䕁䕅䅁䍂䅁䅁児呂䕁䄴䅔䵂䝁䅅杙求䝁䅷䅋祁䑁䅧睎獁䑁䅉䅍ㅁ䑁䅙兎睁䍁䅷䅌楁䑁䅷材硁䑁䅕杏硁䑁䅉杉灁䅁䅁村䅑䕁䅉䅁㥁䙁䅍杔䵂䕁䅷兙楂䝁䅕䅢潁䑁䅉䅏㍁䍁䅷杍睁䑁䅕李ㅁ䑁䅁䅌獁䍁䅉䅐⭁䑁䅅兎㙁䑁䅅睍楁䍁䅫䅁䑂䅂䅁村䅁䑁䄰睕佂䕁䅷䅔桂䝁䅉党獂䍁䅧杍㑁䑁䅣䅌祁䑁䅁兎㉁䑁䅕䅍獁䍁䅷杉㡁䑁䄴免ㅁ䑁䅯免ぁ䍁䅉克䅁䕁䕑䅁䕂䅁䅁児呂䕁䄴䅔䵂䝁䅅杙求䝁䅷䅋祁䑁䅧睎獁䑁䅉䅍ㅁ䑁䅙兎睁䍁䅷䅌楁䑁䅷材硁䑁䅕杏硁䑁䅑李楁䍁䅫䅁睂䅂䅁村䅁䑁䄰睕佂䕁䅷䅔桂䝁䅉党獂䍁䅧杍㑁䑁䅣䅌祁䑁䅁兎㉁䑁䅕䅍獁䍁䅷杉㡁䑁䄴免ㅁ䑁䅯免ㅁ䍁䅉克䅁䕁䕕䅁䕂䅁䅁児呂䕁䄴䅔䵂䝁䅅杙求䝁䅷䅋祁䑁䅧睎獁䑁䅉䅍ㅁ䑁䅙兎睁䍁䅷䅌楁䑁䅷材硁䑁䅕杏硁䑁䅕杍楁䍁䅫䅁硂䅂䅁村䅁䑁䄰睕佂䕁䅷䅔桂䝁䅉党獂䍁䅧杍㑁䑁䅣䅌祁䑁䅁兎㉁䑁䅕䅍獁䍁䅷杉㡁䑁䄴免ㅁ䑁䅯免㉁䍁䅉克䅁䕁䕙䅁䍂䅁䅁児呂䕁䄴䅔䵂䝁䅅杙求䝁䅷䅋祁䑁䅧睎獁䑁䅉䅍ㅁ䑁䅙兎睁䍁䅷䅌楁䑁䅷材硁䑁䅕杏硁䑁䅣杉灁䅁䅁睒䅑䕁䅑䅁㥁䙁䅍杔䵂䕁䅷兙楂䝁䅕䅢潁䑁䅉䅏㍁䍁䅷杍睁䑁䅕李ㅁ䑁䅁䅌獁䍁䅉䅐⭁䑁䅅兎㙁䑁䅅睎㑁䍁䅉克䅁䡁䕉䅁䕂䅁䅁児呂䕁䄴䅔䵂䝁䅅杙求䝁䅷䅋祁䑁䅧睎獁䑁䅉䅍ㅁ䑁䅙兎睁䍁䅷䅌楁䑁䅷材硁䑁䅕杏硁䑁䅣兏楁䍁䅫䅁穂䅂䅁村䅁䑁䄰睕佂䕁䅷䅔桂䝁䅉党獂䍁䅧杍㑁䑁䅣䅌祁䑁䅁兎㉁䑁䅕䅍獁䍁䅷杉㡁䑁䄴免ㅁ䑁䅯免㑁䍁䅉克䅁䕁䕧䅁䕂䅁䅁児呂䕁䄴䅔䵂䝁䅅杙求䝁䅷䅋祁䑁䅧睎獁䑁䅉䅍ㅁ䑁䅙兎睁䍁䅷䅌楁䑁䅷材硁䑁䅕杏硁䑁䅧䅍楁䍁䅫䅁あ䅂䅁䅒䅁䑁䄰睕佂䕁䅷䅔桂䝁䅉党獂䍁䅧杍㑁䑁䅣䅌祁䑁䅁兎㉁䑁䅕䅍獁䍁䅷杉㡁䑁䄴免ㅁ䑁䅯免㑁䑁䅅杉灁䅁䅁兤䅑䕁䅉䅁㥁䙁䅍杔䵂䕁䅷兙楂䝁䅕䅢潁䑁䅉䅏㍁䍁䅷杍睁䑁䅕李ㅁ䑁䅁䅌獁䍁䅉䅐⭁䑁䅅兎㙁䑁䅅兏楁䍁䅫䅁䩂䅂䅁䅑䅁䑁䄰睕佂䕁䅷䅔桂䝁䅉党獂䍁䅧杍㑁䑁䅣䅌祁䑁䅁兎㉁䑁䅕䅍獁䍁䅷杉㡁䑁䄴免ㅁ䑁䅯杍楁䍁䅫䅁捂䅂䅁䅑䅁䑁䄰睕佂䕁䅷䅔桂䝁䅉党獂䍁䅧杍㑁䑁䅣䅌祁䑁䅁兎㉁䑁䅕䅍獁䍁䅷杉㡁䑁䄴免ㅁ䑁䅯睍楁䍁䅫䅁時䅂䅁䅑䅁䑁䄰睕佂䕁䅷䅔桂䝁䅉党獂䍁䅧杍㑁䑁䅣䅌祁䑁䅁兎㉁䑁䅕䅍獁䍁䅷杉㡁䑁䄴免ㅁ䑁䅯䅎楁䍁䅫䅁楂䅂䅁村䅁䑁䄰睕佂䕁䅷䅔桂䝁䅉党獂䍁䅧杍㑁䑁䅣䅌祁䑁䅁兎㉁䑁䅕䅍獁䍁䅷杉㡁䑁䄴免ㅁ䑁䅯䅎睁䍁䅉克䅁䝁䕍䅁䅂䅁䅁児呂䕁䄴䅔䵂䝁䅅杙求䝁䅷䅋祁䑁䅧睎獁䑁䅉䅍ㅁ䑁䅙兎睁䍁䅷䅌楁䑁䅷材硁䑁䅕杏ㅁ䍁䅉克䅁䝁䕣䅁䅂䅁䅁児呂䕁䄴䅔䵂䝁䅅杙求䝁䅷䅋祁䑁䅧睎獁䑁䅉䅍ㅁ䑁䅙兎睁䍁䅷䅌楁䑁䅷材硁䑁䅕杏㉁䍁䅉克䅁䡁䑅䅁䅂䅁䅁児呂䕁䄴䅔䵂䝁䅅杙求䝁䅷䅋祁䑁䅧睎獁䑁䅉䅍ㅁ䑁䅙兎睁䍁䅷䅌楁䑁䅷材硁䑁䅕杏㍁䍁䅉克䅁䝁䍉䅁䅂䅁䅁児呂䕁䄴䅔䵂䝁䅅杙求䝁䅷䅋祁䑁䅧睎獁䑁䅉䅍ㅁ䑁䅙兎睁䍁䅷䅌楁䑁䅷材硁䑁䅕杏㑁䍁䅉克䅁䝁䕯䅁䅂䅁䅁児呂䕁䄴䅔䵂䝁䅅杙求䝁䅷䅋祁䑁䅧睎獁䑁䅉䅍ㅁ䑁䅙兎睁䍁䅷䅌楁䑁䅷材硁䑁䅕杏㕁䍁䅉克䅁䝁䔰䅁⭁䅁䅁児呂䕁䄴䅔䵂䝁䅅杙求䝁䅷䅋祁䑁䅧睎獁䑁䅉䅍ㅁ䑁䅙兎睁䍁䅷䅌楁䑁䅷材㕁䑁䅯免楁䍁䅫䅁䭂䅂䅁䅑䅁䑁䄰睕佂䕁䅷䅔桂䝁䅉党獂䍁䅧杍㑁䑁䅣䅌祁䑁䅁兎㉁䑁䅕䅍獁䍁䅷杉㡁䑁䄴兏㙁䑁䅅䅍楁䍁䅫䅁㉂䅂䅁䅑䅁䑁䄰睕佂䕁䅷䅔桂䝁䅉党獂䍁䅧杍㑁䑁䅣䅌祁䑁䅁兎㉁䑁䅕䅍獁䍁䅷杉㡁䑁䄴兏㙁䑁䅅杍楁䍁䅫䅁摂䅂䅁䅑䅁䑁䄰睕佂䕁䅷䅔桂䝁䅉党獂䍁䅧杍㑁䑁䅣䅌祁䑁䅁兎㉁䑁䅕䅍獁䍁䅷杉㡁䑁䄴兏㙁䑁䅅睍楁䍁䅫䅁杂䅂䅁䅑䅁䑁䄰睕佂䕁䅷䅔桂䝁䅉党獂䍁䅧杍㑁䑁䅣䅌祁䑁䅁兎㉁䑁䅕䅍獁䍁䅷杉㡁䑁䄴兏㙁䑁䅅䅎楁䍁䅫䅁歂䅂䅁村䅁䑁䄰睕佂䕁䅷䅔桂䝁䅉党獂䍁䅧杍㑁䑁䅣䅌祁䑁䅁兎㉁䑁䅕䅍獁䍁䅷杉㡁䑁䄴兏㙁䑁䅅䅎㉁䍁䅉克䅁䝁䕕䅁䅂䅁䅁児呂䕁䄴䅔䵂䝁䅅杙求䝁䅷䅋祁䑁䅧睎獁䑁䅉䅍ㅁ䑁䅙兎睁䍁䅷䅌楁䑁䅷材㕁䑁䅯免ㅁ䍁䅉克䅁䝁䕧䅁䍂䅁䅁児呂䕁䄴䅔䵂䝁䅅杙求䝁䅷䅋祁䑁䅧睎獁䑁䅉䅍ㅁ䑁䅙兎睁䍁䅷䅌楁䑁䅷材㕁䑁䅯免ㅁ䑁䅉杉灁䅁䅁兡䅑䕁䅁䅁㥁䙁䅍杔䵂䕁䅷兙楂䝁䅕䅢潁䑁䅉䅏㍁䍁䅷杍睁䑁䅕李ㅁ䑁䅁䅌獁䍁䅉䅐⭁䑁䅫杏硁䑁䅙杉灁䅁䅁杣䅍䕁䅁䅁㥁䙁䅍杔䵂䕁䅷兙楂䝁䅕䅢潁䑁䅉䅏㍁䍁䅷杍睁䑁䅕李ㅁ䑁䅁䅌獁䍁䅉䅐⭁䑁䅫杏硁䑁䅣杉灁䅁䅁睙䅉䕁䅉䅁㥁䙁䅍杔䵂䕁䅷兙楂䝁䅕䅢潁䑁䅉䅏㍁䍁䅷杍睁䑁䅕李ㅁ䑁䅁䅌獁䍁䅉䅐⭁䑁䅫杏硁䑁䅣䅏楁䍁䅫䅁歂杁䅁村䅁䑁䄰睕佂䕁䅷䅔桂䝁䅉党獂䍁䅧杍㑁䑁䅣䅌祁䑁䅁兎㉁䑁䅕䅍獁䍁䅷杉㡁䑁䄴兏㙁䑁䅅睎㕁䍁䅉克䅁䝁䍕䅁䅂䅁䅁児呂䕁䄴䅔䵂䝁䅅杙求䝁䅷䅋祁䑁䅧睎獁䑁䅉䅍ㅁ䑁䅙兎睁䍁䅷䅌楁䑁䅷材㕁䑁䅯免㑁䍁䅉克䅁䝁䕳䅁䍂䅁䅁児呂䕁䄴䅔䵂䝁䅅杙求䝁䅷䅋祁䑁䅧睎獁䑁䅉䅍ㅁ䑁䅙兎睁䍁䅷䅌楁䑁䅷材㕁䑁䅯免㑁䑁䅁杉灁䅁䅁䅢䅑䕁䅁䅁㥁䙁䅍杔䵂䕁䅷兙楂䝁䅕䅢潁䑁䅉䅏㍁䍁䅷杍睁䑁䅕李ㅁ䑁䅁䅌獁䍁䅉䅐⭁䑁䅫杏硁䑁䅫杉灁䅁䅁杢䅑䑁䄴䅁㥁䙁䅍杔䵂䕁䅷兙楂䝁䅕䅢潁䑁䅉䅏㍁䍁䅷杍睁䑁䅕李ㅁ䑁䅁䅌獁䍁䅉䅐⭁䑁䅫杏祁䍁䅉克䅁䕁䕳䅁⭁䅁䅁児呂䕁䄴䅔䵂䝁䅅杙求䝁䅷䅋祁䑁䅧睎獁䑁䅉䅍ㅁ䑁䅙兎睁䍁䅷䅌楁䑁䅷材㕁䑁䅯睍楁䍁䅫䅁䵂䅂䅁材䅁䑁䄰睕佂䕁䅷䅔桂䝁䅉党獂䍁䅧杍㑁䑁䅣䅌祁䑁䅁兎㉁䑁䅕䅍獁䍁䅷杉㡁䑁䄴兏㙁䑁䅑杉灁䅁䅁兔䅑䕁䅁䅁㥁䙁䅍杔䵂䕁䅷兙楂䝁䅕䅢潁䑁䅉䅏㍁䍁䅷杍睁䑁䅕李ㅁ䑁䅁䅌獁䍁䅉䅐⭁䑁䅫杏ぁ䑁䅁杉灁䅁䅁睤䅑䑁䄴䅁㥁䙁䅍杔䵂䕁䅷兙楂䝁䅕䅢潁䑁䅉䅏㍁䍁䅷杍睁䑁䅕李ㅁ䑁䅁䅌獁䍁䅉䅐⭁䑁䅫杏ㅁ䍁䅉克䅁䕁䔴䅁⭁䅁䅁児呂䕁䄴䅔䵂䝁䅅杙求䝁䅷䅋祁䑁䅧睎獁䑁䅉䅍ㅁ䑁䅙兎睁䍁䅷䅌楁䑁䅷材㕁䑁䅯李楁䍁䅫䅁偂䅂䅁材䅁䑁䄰睕佂䕁䅷䅔桂䝁䅉党獂䍁䅧杍㑁䑁䅣䅌祁䑁䅁兎㉁䑁䅕䅍獁䍁䅷杉㡁䑁䄴兏㙁䑁䅣杉灁䅁䅁䅕䅑䑁䄴䅁㥁䙁䅍杔䵂䕁䅷兙楂䝁䅕䅢潁䑁䅉䅏㍁䍁䅷杍睁䑁䅕李ㅁ䑁䅁䅌獁䍁䅉䅐⭁䑁䅫杏㑁䍁䅉克䅁䙁䕅䅁⭁䅁䅁児呂䕁䄴䅔䵂䝁䅅杙求䝁䅷䅋祁䑁䅧睎獁䑁䅉䅍ㅁ䑁䅙兎睁䍁䅷䅌楁䑁䅷材㕁䑁䅯兏楁䍁䅫䅁卂䅂䅁材䅁䑁䄰睕佂䕁䅷䅔桂䝁䅉党獂䍁䅧杍㑁䑁䅣䅌祁䑁䅁兎㉁䑁䅕䅍獁䍁䅷杉㡁䑁䄴杔㙁䑁䅅杉灁䅁䅁睕䅑䕁䅁䅁㥁䙁䅍杔䵂䕁䅷兙楂䝁䅕䅢潁䑁䅉䅏㍁䍁䅷杍睁䑁䅕李ㅁ䑁䅁䅌獁䍁䅉䅐⭁䕁䄴杏硁䑁䅁杉灁䅁䅁䅥䅑䕁䅁䅁㥁䙁䅍杔䵂䕁䅷兙楂䝁䅕䅢潁䑁䅉䅏㍁䍁䅷杍睁䑁䅕李ㅁ䑁䅁䅌獁䍁䅉䅐⭁䕁䄴杏硁䑁䅉杉灁䅁䅁杘䅑䕁䅁䅁㥁䙁䅍杔䵂䕁䅷兙楂䝁䅕䅢潁䑁䅉䅏㍁䍁䅷杍睁䑁䅕李ㅁ䑁䅁䅌獁䍁䅉䅐⭁䕁䄴杏硁䑁䅍杉灁䅁䅁兙䅑䕁䅁䅁㥁䙁䅍杔䵂䕁䅷兙楂䝁䅕䅢潁䑁䅉䅏㍁䍁䅷杍睁䑁䅕李ㅁ䑁䅁䅌獁䍁䅉䅐⭁䕁䄴杏硁䑁䅑杉灁䅁䅁杚䅑䕁䅉䅁㥁䙁䅍杔䵂䕁䅷兙楂䝁䅕䅢潁䑁䅉䅏㍁䍁䅷杍睁䑁䅕李ㅁ䑁䅁䅌獁䍁䅉䅐⭁䕁䄴杏硁䑁䅣䅏楁䍁䅫䅁浂杁䅁䅑䅁䑁䄰睕佂䕁䅷䅔桂䝁䅉党獂䍁䅧杍㑁䑁䅣䅌祁䑁䅁兎㉁䑁䅕䅍獁䍁䅷杉㡁䑁䄴杔㙁䑁䅅兏楁䍁䅫䅁療䅂䅁材䅁䑁䄰睕佂䕁䅷䅔桂䝁䅉党獂䍁䅧杍㑁䑁䅣䅌祁䑁䅁兎㉁䑁䅕䅍獁䍁䅷杉㡁䑁䄴杔㙁䑁䅉杉灁䅁䅁䅖䅑䑁䄴䅁㥁䙁䅍杔䵂䕁䅷兙楂䝁䅕䅢潁䑁䅉䅏㍁䍁䅷杍睁䑁䅕李ㅁ䑁䅁䅌獁䍁䅉䅐⭁䕁䄴杏穁䍁䅉克䅁䙁䕕䅁⭁䅁䅁児呂䕁䄴䅔䵂䝁䅅杙求䝁䅷䅋祁䑁䅧睎獁䑁䅉䅍ㅁ䑁䅙兎睁䍁䅷䅌楁䑁䅷材佂䑁䅯䅎楁䍁䅫䅁坂䅂䅁䅑䅁䑁䄰睕佂䕁䅷䅔桂䝁䅉党獂䍁䅧杍㑁䑁䅣䅌祁䑁䅁兎㉁䑁䅕䅍獁䍁䅷杉㡁䑁䄴杔㙁䑁䅑䅍楁䍁䅫䅁㕂䅂䅁材䅁䑁䄰睕佂䕁䅷䅔桂䝁䅉党獂䍁䅧杍㑁䑁䅣䅌祁䑁䅁兎㉁䑁䅕䅍獁䍁䅷杉㡁䑁䄴杔㙁䑁䅕杉灁䅁䅁睖䅑䑁䄴䅁㥁䙁䅍杔䵂䕁䅷兙楂䝁䅕䅢潁䑁䅉䅏㍁䍁䅷杍睁䑁䅕李ㅁ䑁䅁䅌獁䍁䅉䅐⭁䕁䄴杏㉁䍁䅉克䅁䙁䕧䅁⭁䅁䅁児呂䕁䄴䅔䵂䝁䅅杙求䝁䅷䅋祁䑁䅧睎獁䑁䅉䅍ㅁ䑁䅙兎睁䍁䅷䅌楁䑁䅷材佂䑁䅯睎楁䍁䅫䅁婂䅂䅁材䅁䑁䄰睕佂䕁䅷䅔桂䝁䅉党獂䍁䅧杍㑁䑁䅣䅌祁䑁䅁兎㉁䑁䅕䅍獁䍁䅷杉㡁䑁䄴杔㙁䑁䅧杉灁䅁䅁杗䅑䑁䄴䅁㥁䙁䅍杔䵂䕁䅷兙楂䝁䅕䅢潁䑁䅉䅏㍁䍁䅷杍睁䑁䅕李ㅁ䑁䅁䅌獁䍁䅉䅐⭁䕁䄴杏㕁䍁䅉克䅁䙁䕳䅁䅂䅁䅁児呂䕁䄴䅔䵂䝁䅅杙求䝁䅷䅋祁䑁䅧睎獁䑁䅉䅍ㅁ䑁䅙兎硁䍁䅷䅌楁䑁䅷材硁䑁䅕杏硁䍁䅉克䅁䡁䕯䅁䍂䅁䅁児呂䕁䄴䅔䵂䝁䅅杙求䝁䅷䅋祁䑁䅧睎獁䑁䅉䅍ㅁ䑁䅙兎硁䍁䅷䅌楁䑁䅷材硁䑁䅕杏硁䑁䅁杉灁䅁䅁睥䅑䕁䅉䅁㥁䙁䅍杔䵂䕁䅷兙楂䝁䅕䅢潁䑁䅉䅏㍁䍁䅷杍睁䑁䅕李ㅁ䑁䅅䅌獁䍁䅉䅐⭁䑁䅅兎㙁䑁䅅杍楁䍁䅫䅁㡂䅂䅁村䅁䑁䄰睕佂䕁䅷䅔桂䝁䅉党獂䍁䅧杍㑁䑁䅣䅌祁䑁䅁兎㉁䑁䅕免獁䍁䅷杉㡁䑁䄴免ㅁ䑁䅯免穁䍁䅉克䅁䡁䔰䅁䍂䅁䅁児呂䕁䄴䅔䵂䝁䅅杙求䝁䅷䅋祁䑁䅧睎獁䑁䅉䅍ㅁ䑁䅙兎硁䍁䅷䅌楁䑁䅷材硁䑁䅕杏硁䑁䅑杉灁䅁䅁杦䅑䕁䅑䅁㥁䙁䅍杔䵂䕁䅷兙楂䝁䅕䅢潁䑁䅉䅏㍁䍁䅷杍睁䑁䅕李ㅁ䑁䅅䅌獁䍁䅉䅐⭁䑁䅅兎㙁䑁䅅䅎㉁䍁䅉克䅁䱁䕅䅁䍂䅁䅁児呂䕁䄴䅔䵂䝁䅅杙求䝁䅷䅋祁䑁䅧睎獁䑁䅉䅍ㅁ䑁䅙兎硁䍁䅷䅌楁䑁䅷材硁䑁䅕杏硁䑁䅕杉灁䅁䅁睦䅑䕁䅑䅁㥁䙁䅍杔䵂䕁䅷兙楂䝁䅕䅢潁䑁䅉䅏㍁䍁䅷杍睁䑁䅕李ㅁ䑁䅅䅌獁䍁䅉䅐⭁䑁䅅兎㙁䑁䅅兎祁䍁䅉克䅁䱁䕉䅁䍂䅁䅁児呂䕁䄴䅔䵂䝁䅅杙求䝁䅷䅋祁䑁䅧睎獁䑁䅉䅍ㅁ䑁䅙兎硁䍁䅷䅌楁䑁䅷材硁䑁䅕杏硁䑁䅙杉灁䅁䅁䅧䅑䕁䅉䅁㥁䙁䅍杔䵂䕁䅷兙楂䝁䅕䅢潁䑁䅉䅏㍁䍁䅷杍睁䑁䅕李ㅁ䑁䅅䅌獁䍁䅉䅐⭁䑁䅅兎㙁䑁䅅睎楁䍁䅫䅁䉃䅂䅁䅒䅁䑁䄰睕佂䕁䅷䅔桂䝁䅉党獂䍁䅧杍㑁䑁䅣䅌祁䑁䅁兎㉁䑁䅕免獁䍁䅷杉㡁䑁䄴免ㅁ䑁䅯免㍁䑁䅧杉灁䅁䅁睳䅑䕁䅑䅁㥁䙁䅍杔䵂䕁䅷兙楂䝁䅕䅢潁䑁䅉䅏㍁䍁䅷杍睁䑁䅕李ㅁ䑁䅅䅌獁䍁䅉䅐⭁䑁䅅兎㙁䑁䅅睎㕁䍁䅉克䅁䱁䕑䅁䍂䅁䅁児呂䕁䄴䅔䵂䝁䅅杙求䝁䅷䅋祁䑁䅧睎獁䑁䅉䅍ㅁ䑁䅙兎硁䍁䅷䅌楁䑁䅷材硁䑁䅕杏硁䑁䅧杉灁䅁䅁杧䅑䕁䅑䅁㥁䙁䅍杔䵂䕁䅷兙楂䝁䅕䅢潁䑁䅉䅏㍁䍁䅷杍睁䑁䅕李ㅁ䑁䅅䅌獁䍁䅉䅐⭁䑁䅅兎㙁䑁䅅䅏睁䍁䅉克䅁䱁䕕䅁䕂䅁䅁児呂䕁䄴䅔䵂䝁䅅杙求䝁䅷䅋祁䑁䅧睎獁䑁䅉䅍ㅁ䑁䅙兎硁䍁䅷䅌楁䑁䅷材硁䑁䅕杏硁䑁䅧免楁䍁䅫䅁㉃䅂䅁村䅁䑁䄰睕佂䕁䅷䅔桂䝁䅉党獂䍁䅧杍㑁䑁䅣䅌祁䑁䅁兎㉁䑁䅕免獁䍁䅷杉㡁䑁䄴免ㅁ䑁䅯免㕁䍁䅉克䅁䥁䕍䅁䅂䅁䅁児呂䕁䄴䅔䵂䝁䅅杙求䝁䅷䅋祁䑁䅧睎獁䑁䅉䅍ㅁ䑁䅙兎硁䍁䅷䅌楁䑁䅷材硁䑁䅕杏祁䍁䅉克䅁䩁䕙䅁䅂䅁䅁児呂䕁䄴䅔䵂䝁䅅杙求䝁䅷䅋祁䑁䅧睎獁䑁䅉䅍ㅁ䑁䅙兎硁䍁䅷䅌楁䑁䅷材硁䑁䅕杏穁䍁䅉克䅁䩁䕫䅁䅂䅁䅁児呂䕁䄴䅔䵂䝁䅅杙求䝁䅷䅋祁䑁䅧睎獁䑁䅉䅍ㅁ䑁䅙兎硁䍁䅷䅌楁䑁䅷材硁䑁䅕杏ぁ䍁䅉克䅁䩁䕷䅁䍂䅁䅁児呂䕁䄴䅔䵂䝁䅅杙求䝁䅷䅋祁䑁䅧睎獁䑁䅉䅍ㅁ䑁䅙兎硁䍁䅷䅌楁䑁䅷材硁䑁䅕杏ぁ䑁䅁杉灁䅁䅁兮䅑䕁䅁䅁㥁䙁䅍杔䵂䕁䅷兙楂䝁䅕䅢潁䑁䅉䅏㍁䍁䅷杍睁䑁䅕李ㅁ䑁䅅䅌獁䍁䅉䅐⭁䑁䅅兎㙁䑁䅕杉灁䅁䅁兯䅑䕁䅁䅁㥁䙁䅍杔䵂䕁䅷兙楂䝁䅕䅢潁䑁䅉䅏㍁䍁䅷杍睁䑁䅕李ㅁ䑁䅅䅌獁䍁䅉䅐⭁䑁䅅兎㙁䑁䅙杉灁䅁䅁䅰䅑䕁䅁䅁㥁䙁䅍杔䵂䕁䅷兙楂䝁䅕䅢潁䑁䅉䅏㍁䍁䅷杍睁䑁䅕李ㅁ䑁䅅䅌獁䍁䅉䅐⭁䑁䅅兎㙁䑁䅣杉灁䅁䅁杰䅑䕁䅁䅁㥁䙁䅍杔䵂䕁䅷兙楂䝁䅕䅢潁䑁䅉䅏㍁䍁䅷杍睁䑁䅕李ㅁ䑁䅅䅌獁䍁䅉䅐⭁䑁䅅兎㙁䑁䅧杉灁䅁䅁睱䅑䕁䅁䅁㥁䙁䅍杔䵂䕁䅷兙楂䝁䅕䅢潁䑁䅉䅏㍁䍁䅷杍睁䑁䅕李ㅁ䑁䅅䅌獁䍁䅉䅐⭁䑁䅅兎㙁䑁䅫杉灁䅁䅁杲䅑䑁䄴䅁㥁䙁䅍杔䵂䕁䅷兙楂䝁䅕䅢潁䑁䅉䅏㍁䍁䅷杍睁䑁䅕李ㅁ䑁䅅䅌獁䍁䅉䅐⭁䑁䅫杏硁䍁䅉克䅁䥁䕑䅁䅂䅁䅁児呂䕁䄴䅔䵂䝁䅅杙求䝁䅷䅋祁䑁䅧睎獁䑁䅉䅍ㅁ䑁䅙兎硁䍁䅷䅌楁䑁䅷材㕁䑁䅯免睁䍁䅉克䅁䱁䕣䅁䅂䅁䅁児呂䕁䄴䅔䵂䝁䅅杙求䝁䅷䅋祁䑁䅧睎獁䑁䅉䅍ㅁ䑁䅙兎硁䍁䅷䅌楁䑁䅷材㕁䑁䅯免祁䍁䅉克䅁䩁䕣䅁䅂䅁䅁児呂䕁䄴䅔䵂䝁䅅杙求䝁䅷䅋祁䑁䅧睎獁䑁䅉䅍ㅁ䑁䅙兎硁䍁䅷䅌楁䑁䅷材㕁䑁䅯免穁䍁䅉克䅁䩁䕯䅁䅂䅁䅁児呂䕁䄴䅔䵂䝁䅅杙求䝁䅷䅋祁䑁䅧睎獁䑁䅉䅍ㅁ䑁䅙兎硁䍁䅷䅌楁䑁䅷材㕁䑁䅯免ぁ䍁䅉克䅁䩁䔴䅁䍂䅁䅁児呂䕁䄴䅔䵂䝁䅅杙求䝁䅷䅋祁䑁䅧睎獁䑁䅉䅍ㅁ䑁䅙兎硁䍁䅷䅌楁䑁䅷材㕁䑁䅯免ぁ䑁䅙杉灁䅁䅁睮䅑䕁䅁䅁㥁䙁䅍杔䵂䕁䅷兙楂䝁䅕䅢潁䑁䅉䅏㍁䍁䅷杍睁䑁䅕李ㅁ䑁䅅䅌獁䍁䅉䅐⭁䑁䅫杏硁䑁䅕杉灁䅁䅁杯䅑䕁䅉䅁㥁䙁䅍杔䵂䕁䅷兙楂䝁䅕䅢潁䑁䅉䅏㍁䍁䅷杍睁䑁䅕李ㅁ䑁䅅䅌獁䍁䅉䅐⭁䑁䅫杏硁䑁䅕杍楁䍁䅫䅁橃䅂䅁䅑䅁䑁䄰睕佂䕁䅷䅔桂䝁䅉党獂䍁䅧杍㑁䑁䅣䅌祁䑁䅁兎㉁䑁䅕免獁䍁䅷杉㡁䑁䄴兏㙁䑁䅅李楁䍁䅫䅁汃䅂䅁䅑䅁䑁䄰睕佂䕁䅷䅔桂䝁䅉党獂䍁䅧杍㑁䑁䅣䅌祁䑁䅁兎㉁䑁䅕免獁䍁䅷杉㡁䑁䄴兏㙁䑁䅅睎楁䍁䅫䅁湃䅂䅁村䅁䑁䄰睕佂䕁䅷䅔桂䝁䅉党獂䍁䅧杍㑁䑁䅣䅌祁䑁䅁兎㉁䑁䅕免獁䍁䅷杉㡁䑁䄴兏㙁䑁䅅睎㑁䍁䅉克䅁䭁䕧䅁䍂䅁䅁児呂䕁䄴䅔䵂䝁䅅杙求䝁䅷䅋祁䑁䅧睎獁䑁䅉䅍ㅁ䑁䅙兎硁䍁䅷䅌楁䑁䅷材㕁䑁䅯免㍁䑁䅫杉灁䅁䅁共䅑䕁䅁䅁㥁䙁䅍杔䵂䕁䅷兙楂䝁䅕䅢潁䑁䅉䅏㍁䍁䅷杍睁䑁䅕李ㅁ䑁䅅䅌獁䍁䅉䅐⭁䑁䅫杏硁䑁䅧杉灁䅁䅁䅲䅑䕁䅉䅁㥁䙁䅍杔䵂䕁䅷兙楂䝁䅕䅢潁䑁䅉䅏㍁䍁䅷杍睁䑁䅕李ㅁ䑁䅅䅌獁䍁䅉䅐⭁䑁䅫杏硁䑁䅧䅍楁䍁䅫䅁瑃䅂䅁䅑䅁䑁䄰睕佂䕁䅷䅔桂䝁䅉党獂䍁䅧杍㑁䑁䅣䅌祁䑁䅁兎㉁䑁䅕免獁䍁䅷杉㡁䑁䄴兏㙁䑁䅅兏楁䍁䅫䅁癃䅂䅁材䅁䑁䄰睕佂䕁䅷䅔桂䝁䅉党獂䍁䅧杍㑁䑁䅣䅌祁䑁䅁兎㉁䑁䅕免獁䍁䅷杉㡁䑁䄴兏㙁䑁䅉杉灁䅁䅁全䅑䑁䄴䅁㥁䙁䅍杔䵂䕁䅷兙楂䝁䅕䅢潁䑁䅉䅏㍁䍁䅷杍睁䑁䅕李ㅁ䑁䅅䅌獁䍁䅉䅐⭁䑁䅫杏穁䍁䅉克䅁䥁䕙䅁⭁䅁䅁児呂䕁䄴䅔䵂䝁䅅杙求䝁䅷䅋祁䑁䅧睎獁䑁䅉䅍ㅁ䑁䅙兎硁䍁䅷䅌楁䑁䅷材㕁䑁䅯䅎楁䍁䅫䅁䡃䅂䅁䅑䅁䑁䄰睕佂䕁䅷䅔桂䝁䅉党獂䍁䅧杍㑁䑁䅣䅌祁䑁䅁兎㉁䑁䅕免獁䍁䅷杉㡁䑁䄴兏㙁䑁䅑䅍楁䍁䅫䅁㑃䅂䅁材䅁䑁䄰睕佂䕁䅷䅔桂䝁䅉党獂䍁䅧杍㑁䑁䅣䅌祁䑁䅁兎㉁䑁䅕免獁䍁䅷杉㡁䑁䄴兏㙁䑁䅕杉灁䅁䅁䅩䅑䑁䄴䅁㥁䙁䅍杔䵂䕁䅷兙楂䝁䅕䅢潁䑁䅉䅏㍁䍁䅷杍睁䑁䅕李ㅁ䑁䅅䅌獁䍁䅉䅐⭁䑁䅫杏㉁䍁䅉克䅁䥁䕫䅁⭁䅁䅁児呂䕁䄴䅔䵂䝁䅅杙求䝁䅷䅋祁䑁䅧睎獁䑁䅉䅍ㅁ䑁䅙兎硁䍁䅷䅌楁䑁䅷材㕁䑁䅯睎楁䍁䅫䅁䭃䅂䅁材䅁䑁䄰睕佂䕁䅷䅔桂䝁䅉党獂䍁䅧杍㑁䑁䅣䅌祁䑁䅁兎㉁䑁䅕免獁䍁䅷杉㡁䑁䄴兏㙁䑁䅧杉灁䅁䅁睩䅑䑁䄴䅁㥁䙁䅍杔䵂䕁䅷兙楂䝁䅕䅢潁䑁䅉䅏㍁䍁䅷杍睁䑁䅕李ㅁ䑁䅅䅌獁䍁䅉䅐⭁䑁䅫杏㕁䍁䅉克䅁䥁䕷䅁⭁䅁䅁児呂䕁䄴䅔䵂䝁䅅杙求䝁䅷䅋祁䑁䅧睎獁䑁䅉䅍ㅁ䑁䅙兎硁䍁䅷䅌楁䑁䅷材佂䑁䅯免楁䍁䅫䅁乃䅂䅁䅑䅁䑁䄰睕佂䕁䅷䅔桂䝁䅉党獂䍁䅧杍㑁䑁䅣䅌祁䑁䅁兎㉁䑁䅕免獁䍁䅷杉㡁䑁䄴杔㙁䑁䅅䅍楁䍁䅫䅁㕃䅂䅁䅑䅁䑁䄰睕佂䕁䅷䅔桂䝁䅉党獂䍁䅧杍㑁䑁䅣䅌祁䑁䅁兎㉁䑁䅕免獁䍁䅷杉㡁䑁䄴杔㙁䑁䅅杍楁䍁䅫䅁奃䅂䅁䅑䅁䑁䄰睕佂䕁䅷䅔桂䝁䅉党獂䍁䅧杍㑁䑁䅣䅌祁䑁䅁兎㉁䑁䅕免獁䍁䅷杉㡁䑁䄴杔㙁䑁䅅睍楁䍁䅫䅁扃䅂䅁䅑䅁䑁䄰睕佂䕁䅷䅔桂䝁䅉党獂䍁䅧杍㑁䑁䅣䅌祁䑁䅁兎㉁䑁䅕免獁䍁䅷杉㡁䑁䄴杔㙁䑁䅅䅎楁䍁䅫䅁权䅂䅁村䅁䑁䄰睕佂䕁䅷䅔桂䝁䅉党獂䍁䅧杍㑁䑁䅣䅌祁䑁䅁兎㉁䑁䅕免獁䍁䅷杉㡁䑁䄴杔㙁䑁䅅睎㑁䍁䅉克䅁䭁䕯䅁䅂䅁䅁児呂䕁䄴䅔䵂䝁䅅杙求䝁䅷䅋祁䑁䅧睎獁䑁䅉䅍ㅁ䑁䅙兎硁䍁䅷䅌楁䑁䅷材佂䑁䅯免㕁䍁䅉克䅁䱁䕁䅁⭁䅁䅁児呂䕁䄴䅔䵂䝁䅅杙求䝁䅷䅋祁䑁䅧睎獁䑁䅉䅍ㅁ䑁䅙兎硁䍁䅷䅌楁䑁䅷材佂䑁䅯杍楁䍁䅫䅁佃䅂䅁材䅁䑁䄰睕佂䕁䅷䅔桂䝁䅉党獂䍁䅧杍㑁䑁䅣䅌祁䑁䅁兎㉁䑁䅕免獁䍁䅷杉㡁䑁䄴杔㙁䑁䅍杉灁䅁䅁睪䅑䑁䄴䅁㥁䙁䅍杔䵂䕁䅷兙楂䝁䅕䅢潁䑁䅉䅏㍁䍁䅷杍睁䑁䅕李ㅁ䑁䅅䅌獁䍁䅉䅐⭁䕁䄴杏ぁ䍁䅉克䅁䩁䕁䅁䅂䅁䅁児呂䕁䄴䅔䵂䝁䅅杙求䝁䅷䅋祁䑁䅧睎獁䑁䅉䅍ㅁ䑁䅙兎硁䍁䅷䅌楁䑁䅷材佂䑁䅯䅎睁䍁䅉克䅁䱁䕯䅁⭁䅁䅁児呂䕁䄴䅔䵂䝁䅅杙求䝁䅷䅋祁䑁䅧睎獁䑁䅉䅍ㅁ䑁䅙兎硁䍁䅷䅌楁䑁䅷材佂䑁䅯兎楁䍁䅫䅁剃䅂䅁材䅁䑁䄰睕佂䕁䅷䅔桂䝁䅉党獂䍁䅧杍㑁䑁䅣䅌祁䑁䅁兎㉁䑁䅕免獁䍁䅷杉㡁䑁䄴杔㙁䑁䅙杉灁䅁䅁杫䅑䑁䄴䅁㥁䙁䅍杔䵂䕁䅷兙楂䝁䅕䅢潁䑁䅉䅏㍁䍁䅷杍睁䑁䅕李ㅁ䑁䅅䅌獁䍁䅉䅐⭁䕁䄴杏㍁䍁䅉克䅁䩁䕍䅁⭁䅁䅁児呂䕁䄴䅔䵂䝁䅅杙求䝁䅷䅋祁䑁䅧睎獁䑁䅉䅍ㅁ䑁䅙兎硁䍁䅷䅌楁䑁䅷材佂䑁䅯䅏楁䍁䅫䅁啃䅂䅁材䅁䑁䄰睕佂䕁䅷䅔桂䝁䅉党獂䍁䅧杍㑁䑁䅣䅌祁䑁䅁兎㉁䑁䅕免獁䍁䅷杉㡁䑁䄴杔㙁䑁䅫杉灁䅁䅁公䅑䅁䅑䅁䉂䅁䅁杣䅙䙁䅉䅁䉂䍁䅙䅓杁䝁䅕䅥杁䕁䅍杣歂䡁䅑杏杁䕁䅉党畂䝁䅕杚灂䡁䅑䅉卂䝁䅅䅤灂䝁䄸杏杁䙁䅁杣求䝁䄰兡ㅂ䝁䄰督杁䍁䅧兊灁䅁䅁硐䅕䕁䅑䅁䉂䍁䅙䅓杁䝁䅕䅥杁䕁䅍杣歂䡁䅑杏杁䕁䅍睢瑂䝁䄰兡穂䡁䅍兡療䝁䄴䅉卂䝁䅅䅤灂䝁䄸䅉潁䍁䅕克䅁䙁噍䅁卂䅁䅁兑流䕁䅧䅉求䡁䅧䅉䑂䡁䅉䅚あ䑁䅯䅉䙂䡁䅧䅣求䝁䄴督求䍁䅁杕桂䡁䅑兡療䑁䅯䅉兂䡁䅉党瑂䝁䅫兤瑂䡁䅍䅉潁䍁䅕克䅁䕁噙䅁奂䅁䅁兑流䕁䅧䅉求䡁䅧䅉䑂䡁䅉䅚あ䑁䅯䅉兂䡁䅉党瑂䝁䅫兤瑂䡁䅍䅉流䍁䅁睑療䝁䄴督灂䝁䅑督㙁䍁䅁村㕂䍁䅁䅔偂䕁䅉䅉潁䍁䅕克䅁䑁噉䅁䝁䅁䅁兑湁䅁䅁砵䅍䅁䅙䅁䉂䍁䅳䅁浃杂䅁䅃䅁䕁䅅睋牁䅁䅁兪䅙䅁䅙䅁䉂䍁䄰䅁睂杂䅁杂䅁䕁䅅免䅁䥁䩙䅁䝁䅁䅁兑祁䅁䅁䅪䄸䅁䅙䅁䉂䑁䅍䅁㙃䅃䅁杂䅁䕁䅅兑䅁䥁䜴䅁䥁䅁䅁兑䉂䍁䅳䅁䉁䅃䅁䅃䅁䕁䅅兑瑁䅁䅁朸䅣䕁䅉䅁䉂䕁䅍䅔杁䙁䅉兡穂䝁䅳䅉䍂䝁䅅督求䝁䅑䅉䑂䝁䅅䅣灂䡁䅑兙獂䍁䅁杕桂䡁䅑兡療䍁䅁䅋汁䍁䅫䅁灁睂䅁䅐䅁䕁䅅睑噂䕁䅫䅖婂䍁䅁兑杁䕁䄰兤あ䡁䅕兙獂䍁䅁兓畂䡁䅍兤祂䝁䅅杢橂䝁䅕䅉䑂䝁䄸杌䅁䙁䱳䅁䝂䅁䅁兑䑂䙁䅕兓啂䙁䅫䅌杁䕁䅅䅉乂䡁䅕䅤ㅂ䝁䅅䅢杁䕁䅫杢穂䡁䅕杣桂䝁䄴睙求䍁䅁睑療䝁䄰䅣桂䝁䄴入䅁䙁䱯䅁畁䅁䅁兑䙂䕁䅣睔佂䍁䅁䅋呂䕁䄴䅔杁䕁䅷兡浂䝁䅕䅉䡂䡁䅉睢ㅂ䡁䅁克䅁䙁䱅䅁㑁䅁䅁兑䙂䕁䅣睔佂䍁䅁杔畁䙁䅙杌杁䍁䅧睕佂䕁䅷䅉䵂䝁䅫杚求䍁䅁睒祂䝁䄸兤睂䍁䅫䅁兂睃䅁杍䅁䕁䅅杒杁䕁䅣杣療䡁䅕䅣杁䍁䅧睕佂䕁䅷䅉兂䍁䅙睑杁䕁䅣杣療䡁䅕䅣灁䅁䅁杣䅳䅁䅙䅁䉂䕁䅷䅁煁元䅁䅅䅁䕁䅅兔杁䕁䅉党穂䡁䅑䅁佂杂䅁䅍䅁䕁䅅兔䙂䙁䅉睑偂䍁䅁䅋呂䕁䄴䅔杁䕁䅷兡浂䝁䅕䅉䡂䡁䅉睢ㅂ䡁䅁克䅁䱁䱁䅁⭁䅁䅁兑乂䕁䅕杕䩂䙁䅍兑䝂䕁䅕䅉䩂䝁䄴睙畁䍁䅁䅋呂䕁䄴䅔杁䙁䅁杊䑂䍁䅁睒祂䝁䄸兤睂䍁䅫䅁癄睃䅁䅑䅁䕁䅅兔䙂䙁䅉兓呂䕁䅅杒䙂䍁䅷䅉䩂䝁䄴睙畁䍁䅁䅋呂䕁䄴䅔杁䙁䅁杊䑂䍁䅁睒祂䝁䄸兤睂䍁䅫䅁畄睃䅁杂䅁䕁䅅杕䅁䵁呣䅁潁䅁䅁兑卂䑁䅯䅉啂䝁䄸䅤桂䝁䅷䅉䉂䝁䅷䅢杁䕁䅷兡畂䝁䅕督䅁乁啧䅁煁䅁䅁兑奂䕁䅅䅉潁䙁䅍杔䵂䍁䅁䅔灂䝁䅙党杁䕁䅣杣療䡁䅕䅣灁䅁䅁儷䅧䙁䅷䅁䉂䙁䅧兓呂䍁䅁睑桂䡁䅁兡あ䝁䅅䅢杁䕁䅧睢獂䝁䅑兡畂䝁䅣督杁䕁䅷兡瑂䝁䅫䅤求䝁䅑䅉潁䙁䅍杔䵂䍁䅁䅕流䕁䅍䅉䡂䡁䅉睢ㅂ䡁䅁克䅁䥁䵯䅁坂䅁䅁兑奂䕁䅫睕杁䕁䅍兙睂䝁䅫䅤桂䝁䅷䅉䥂䝁䄸䅢歂䝁䅫杢湂䡁䅍䅉䵂䡁䅑䅚畁䍁䅁䅋呂䕁䄴䅔杁䙁䅁杊䑂䍁䅁睒祂䝁䄸兤睂䍁䅫䅁䩃䅄䅁杂䅁䕁䅅杗䅁䱁䱕䅁䥁䅁䅁兑桂䑁䅉䅁穄睂䅁䅃䅁䕁䅅兙穁䅁䅁桔䅍䉁䅁䅁䉂䝁䅉兡獂䝁䅕杢求䅁䅁眴䄴䍁䅧䅁䉂䝁䅉兡獂䝁䅕杢求䍁䅷䅉啂䙁䅧䅉潁䕁䄰党あ䡁䅉睢灁䅁䅁儴䄴䍁䅉䅁䉂䝁䅍睙祂䝁䅕䅤灂䝁䄸杢杁䍁䅧䅊睁䑁䅁䅍灁䅁䅁䅮䅣䡁䅑䅁䉂䝁䅍睙祂䡁䅕党歂䍁䅁杕求䡁䅑杣療䡁䅍䅣求䝁䅍䅤灂䡁䅙党杁䙁䅁杣求䝁䄰兡ㅂ䝁䄰督杁䕁䅉兙穂䝁䅕䅚杁䝁䄸杢杁䕁䅕䅥睂䝁䅕杣灂䝁䅕杢橂䝁䅕䅉潁䍁䅑䅍睁䑁䅁克䅁乁啫䅁流䅁䅁兑橂䡁䅑兤桂䝁䅷䅉䑂䝁䄸督あ䍁䅁䅋歁䑁䅁䅍睁䍁䅫䅁䩃允䅁䅘䅁䕁䅅䅚歂䍁䅁兓畂䡁䅙党穂䡁䅑兢求䝁䄴䅤杁䕁䅑兤祂䝁䅫杢湂䍁䅁兗祂䍁䅁䅋橂䝁䄸督あ䍁䅫䅉潁䑁䅉䅍睁䑁䅣克杁䍁䅧䅊睁䑁䅁䅍灁䅁䅁䅬䅅䑁䅁䅁䉂䝁䅑条ㅂ䡁䅍䅤求䝁䅑䅉䑂䝁䅅䅣灂䡁䅑兙獂䍁䅁䅋歁䑁䅁䅍睁䍁䅫䅁湁睂䅁䅘䅁䕁䅅䅚瑂䍁䅁兑穂䡁䅍党あ䡁䅍杏杁䙁䅉党橂䝁䅕兡㉂䝁䅅杙獂䝁䅕督杁䝁䅙睢祂䍁䅁睕求䝁䅍兤祂䝁䅫䅤灂䝁䅕督杁䍁䅧䅊睁䑁䅁䅍灁䅁䅁杗䅣䑁䅧䅁䉂䝁䅑兢灂䝁䄴䅉流䍁䅁睔あ䝁䅧党祂䍁䅁兒㑂䡁䅁䅉卂䝁䅅䅤灂䝁䄸䅉潁䍁䅕克䅁䉁䡍䅁敁䅁䅁兑歂䝁䄰兡畂䝁䅫督あ䡁䅉兙あ䝁䅫睢畂䅁䅁睐䅁䕁䅙䅁䉂䝁䅑兢灂䡁䅑䅤求䝁䅑䅉䉂䡁䅍督求䡁䅑督杁䕁䅙兡㉂䝁䅕兌㕂䝁䅕兙祂䍁䅁睑䉂䕁䅣杕杁䍁䅧兊灁䅁䅁䅉䅣䑁䅙䅁䉂䝁䅑兢灂䡁䅑䅤求䝁䅑䅉䉂䡁䅍督求䡁䅑督杁䕁䅣杣療䡁䅣䅤潂䍁䅁䅋汁䍁䅫䅁塁睂䅁䅋䅁䕁䅅䅚祂䝁䅫兙畂䍁䅁睕橂䝁䄸䅤あ䍁䅁睒祂䝁䅫睚湂䡁䅍䅁卂权䅁杙䅁䕁䅅䅚㉂䝁䅅杢あ䝁䅅睚求䍁䅁睑桂䡁䅁兡あ䝁䅅䅢杁䙁䅁兙祂䡁䅑杢求䡁䅉督獁䍁䅁䅔䵂䕁䅍䅉潁䙁䅍杔䵂䍁䅁䅔灂䝁䅙党杁䕁䅣杣療䡁䅕䅣灁䅁䅁䅡䅳䙁䅯䅁䉂䝁䅑杤桂䝁䄴䅤桂䝁䅣党杁䕁䅍兙睂䝁䅫䅤桂䝁䅷䅉兂䡁䅑杢祂䡁䅍䅉䵂䕁䅷睑杁䍁䅧睕佂䕁䅷䅉䵂䝁䅫杚求䍁䅁睒祂䝁䄸兤睂䍁䅫䅁湂睃䅁䅏䅁䕁䅅党あ䝁䄴兙杁䍁䅧睕佂䕁䅷䅉䥂䝁䅕兙獂䡁䅑䅡杁䙁䅍兤楂䝁䅣杣療䡁䅕䅣灁䅁䅁睦䅙䑁䅷䅁䉂䝁䅕䅤畂䝁䅅䅉䩂䝁䄴睙畁䍁䅁䅋呂䕁䄴䅔杁䕁䅧党桂䝁䅷䅤潂䍁䅁睒祂䝁䄸兤睂䍁䅫䅁睂睃䅁䅏䅁䕁䅅党あ䝁䄴兙杁䕁䅫杢橂䍁䄴䅉潁䙁䅍杔䵂䍁䅁䅔灂䝁䅙党杁䕁䅣杣療䡁䅕䅣灁䅁䅁睐䅧䍁䅙䅁䉂䝁䅙杚㙁䍁䅁睑桂䡁䅁兡あ䝁䅅䅢杁䕁䄴睢あ䝁䅕督䅁乁䅧䅁獁䅁䅁兑浂䝁䅙杏杁䕁䅍睢獂䝁䅷兙あ䝁䅕杣桂䝁䅷䅉䵂䝁䄸兙畂䡁䅍䅁浄䅁䅁䅉䅁䕁䅅杚浂䑁䅯䅉䑂䝁䄸兢瑂䍁䅁睕あ䝁䄸睙牂䅁䅁杯䅁䍁䅧䅁䉂䝁䅙杚㙁䍁䅁杒灂䡁䅧睌坂䝁䅅杣㙁䍁䅁村療䝁䄴䅚穂䅁䅁䄴䅁䑁䅁䅁䉂䝁䅙杚㙁䍁䅁杒灂䡁䅧睌坂䝁䅅杣㙁䍁䅁兔祂䡁䅑睚杁䕁䅙兤畂䝁䅑䅁畄䅁䅁䅎䅁䕁䅅杚浂䑁䅯䅉䝂䝁䅫䅥癁䙁䅙兙祂䑁䅯䅉偂䡁䅑䅡杁䕁䅙兡㑂䍁䅁兓畂䝁䅍䅁卄䅁䅁䅐䅁䕁䅅杚浂䑁䅯䅉䡂䡁䅕兙祂䝁䅅杢あ䝁䅕党歂䍁䅁杒求䝁䅑党祂䝁䅅䅢杁䕁䅷兓䥂䙁䅑睑䅁佁䅧䅁㑁䅁䅁兑浂䝁䅙杏杁䕁䅣兤桂䡁䅉兙畂䡁䅑党求䝁䅑䅉呂䡁䅑兙あ䝁䅕䅉䵂䕁䅫䅓啂䕁䅍䅁慄䅁䅁杍䅁䕁䅅杚浂䑁䅯䅉䭂䙁䅙䅉䵂䕁䅷睑穂䑁䅯䅉乂䡁䅉䅤湂䍁䅁䅔療䝁䅅杢穂䅁䅁䄵䅁䑁䅧䅁䉂䝁䅙杚㙁䍁䅁杓坂䍁䅷䅉䵂䕁䅷睑穂䑁䅯䅉䑂䝁䄸兢瑂䝁䄸杢杁䙁䅍䅤療䝁䅍睡䅁偁䅉䅁ぁ䅁䅁兑浂䝁䅙杏杁䕁䅯杖獁䍁䅁䅔䵂䕁䅍督㙁䍁䅁杒灂䡁䅧䅉䩂䝁䄴睙療䝁䄰党䅁佁䅉䅁煁䅁䅁兑浂䝁䅙杏杁䕁䅯杖獁䍁䅁䅔䵂䕁䅍督㙁䍁䅁睔あ䝁䅧党祂䅁䅁䄹䅁䑁䅙䅁䉂䝁䅙杚㙁䍁䅁杓坂䍁䅷䅉䵂䕁䅷睑穂䑁䅯䅉卂䝁䅕兙獂䍁䅁兒穂䡁䅑兙あ䝁䅕䅁啄䅁䅁杆䅁䕁䅅杚浂䑁䅯䅉䵂䕁䅫䅓啂䕁䅍䅁獄允䅁杇䅁䕁䅅杚浂䑁䅯䅉䵂䙁䅑䅉䍂䝁䄸杢歂䅁䅁权䅅䍁䅧䅁䉂䝁䅙杚㙁䍁䅁兔灂䝁䄴党祂䝁䅅䅢杁䙁䅉兡湂䝁䅧䅤穂䅁䅁䄰䅁䑁䅷䅁䉂䝁䅙杚㙁䍁䅁杔療䝁䄴兌䑂䝁䄸杢浂䝁䄸杣瑂䝁䅫杢湂䍁䅁䅔啂䍁䅁兑穂䡁䅍党あ䡁䅍䅁㑄䅁䅁䅐䅁䕁䅅杚浂䑁䅯䅉佂䝁䄸杢瑁䕁䅣兤桂䡁䅉兙畂䡁䅑党求䝁䅑䅉䝂䝁䅕䅚杁䕁䅷兓䥂䙁䅑睑䅁偁䅙䅁䅂䅁䅁兑浂䝁䅙杏杁䕁䄴睢畂䍁䄰睚ㅂ䝁䅅杣桂䝁䄴䅤求䝁䅕䅚杁䙁䅍䅤桂䡁䅑党杁䕁䅷兓䥂䙁䅑睑䅁佁䅯䅁祁䅁䅁兑浂䝁䅙杏杁䕁䄴睢畂䝁䅍睢獂䝁䅷兙あ䝁䅕杣桂䝁䅷䅉䵂䝁䄸兙畂䡁䅍䅁偂䅁䅁䅎䅁䕁䅅杚浂䑁䅯䅉偂䝁䅫䅢杁䍁䅙䅉䡂䝁䅅督杁䙁䅁杣療䝁䅑兤橂䡁䅑兡療䝁䄴䅁敄䅁䅁䅍䅁䕁䅅杚浂䑁䅯䅉偂䡁䅑䅡杁䙁䅍䅖杁䕁䅫杢㉂䝁䅕督あ䝁䄰党畂䡁䅑督䅁䭁䅯䅁歁䅁䅁兑浂䝁䅙杏杁䕁䄸䅤潂䝁䅕杣杁䕁䅅督穂䝁䅕䅤穂䅁䅁䄷䅁䍁䅉䅁䉂䝁䅙杚㙁䍁䅁睔あ䝁䅧党祂䍁䅁䅔䩂䕁䅧䅖䑂䅁䅁䄳䅁䉁䅯䅁䉂䝁䅙杚㙁䍁䅁睕啂䍁䅁村療䝁䄴䅚䅁䥁䅧䅁楁䅁䅁兑浂䝁䅙杏杁䙁䅍䅤桂䡁䅑党杁䕁䅷兓䥂䙁䅑睑䅁䕁䅳䅁睁䅁䅁兑浂䝁䅙杏杁䙁䅍兤祂䡁䅁䅢ㅂ䡁䅍䅉䕂䝁䅕杙求䝁䄴䅤ㅂ䡁䅉党穂䅁䅁朱䅁䍁䅯䅁䉂䝁䅙杚㙁䍁䅁䅖祂䝁䅅杢穂䡁䅁睢祂䡁䅑䅉䙂䡁䅅兤灂䡁䅁䅁湂䅁䅁䅕䅁䕁䅅杚浂䑁䅯䅉塂䝁䄸杣牂䝁䅫杢湂䍁䅁睑桂䡁䅁兡あ䝁䅅䅢杁䕁䅙兡畂䝁䅅杢橂䝁䅕䅉䩂䝁䄴杤求䡁䅍䅤瑂䝁䅕杢あ䅁䅁睸䅣䑁䅁䅁䉂䝁䅙杚灂䝁䅷兡桂䡁䅑党歂䍁䅁村療䝁䄴䅚穂䍁䅁䅋歁䑁䅁䅍睁䍁䅫䅁䑃睂䅁材䅁䕁䅅杚浂䝁䅫䅢灂䝁䅅䅤求䝁䅑䅉䑂䝁䄸兢瑂䝁䄸杢杁䙁䅍䅤療䝁䅍睡杁䍁䅧䅊睁䑁䅁䅍灁䅁䅁䅖䅣䑁䅷䅁䉂䝁䅙杚灂䝁䅷兡桂䡁䅑党歂䍁䅁兓畂䡁䅙党穂䡁䅑兢求䝁䄴䅤⽁䍁䅁兗求䡁䅍睌佂䝁䄸䅁灃睂䅁䅐䅁䕁䅅杚浂䝁䅫䅢灂䝁䅅䅤求䝁䅑䅉䩂䝁䄴杤求䡁䅍䅤瑂䝁䅕杢あ䡁䅍䅉潁䍁䅑䅍睁䑁䅁克䅁䝁䠸䅁䅂䅁䅁兑浂䝁䅙兡獂䝁䅫兙あ䝁䅕䅚杁䕁䅫杢㉂䝁䅕督あ䝁䄰党畂䡁䅑督癁䍁䅁睑流䙁䅍䅉潁䍁䅕克䅁䅁䡙䅁䅄䅁䅁兑浂䝁䅙兡畂䝁䅫䅤㕂䍁䅁睒祂䝁䄸兤睂䍁䅷䅉䍂䡁䅉睢牂䝁䅕杣獁䍁䅁䅒灂䡁䅉党橂䡁䅑䅉卂䝁䅕督睂䝁䄸杢穂䝁䅕䅌杁䕁䅣党畂䝁䅕杣桂䝁䅷䅉䉂䝁䅣杢あ䍁䄸兔桂䝁䄴兙湂䝁䅫杢湂䍁䅁睒求䝁䄴党祂䝁䅅䅢杁䕁䅅睚畂䡁䅑䅌杁䕁䅫杢歂䝁䅕䅣求䝁䄴䅚求䝁䄴䅤杁䕁䅅睚求䝁䄴睙㕂䅁䅁䅙䅅䅁䄴䅁䉂䝁䅙杚灂䡁䅉兢䅁䡁䝕䅁㑁䅁䅁兑浂䝁䅷兙橂䍁䅁兓畂䝁䅍杌杁䍁䅧睕佂䕁䅷䅉䵂䝁䅫杚求䍁䅁睒祂䝁䄸兤睂䍁䅫䅁䵂䅃䅁䅓䅁䕁䅅杚獂䝁䅅睙杁䕁䅫杢橂䝁䄸杣睂䝁䄸杣桂䡁䅑党歂䍁䅁䅋呂䕁䄴䅔杁䕁䅷兡浂䝁䅕䅉䡂䡁䅉睢ㅂ䡁䅁克䅁䕁䥳䅁楂䅁䅁兑湂䝁䅣䅉塂䡁䅉兡あ䝁䅕兌䩂䝁䄴督杁䝁䅙睢祂䍁䅁兖畂䝁䅑党祂䡁䅣杣灂䡁䅑兡畂䝁䅣䅉䕂䝁䅕䅚ㅂ䝁䅍䅤灂䝁䄸杢穂䍁䅁䅋歁䑁䅁䅍睁䍁䅫䅁浂睂䅁䅓䅁䕁䅅睚湂䡁䅉党湂䝁䅅䅤求䍁䅁䅕桂䡁䅉䅉坂䝁䅅䅢ㅂ䝁䅕䅉療䝁䅙䅉䍂䝁䄸杢歂䡁䅍䅉潁䍁䅑䅍睁䑁䅁克䅁䩁䡳䅁畁䅁䅁兑牂䝁䅧兡獂䍁䅁杓桂䡁䅫兙睂䡁䅉兙牂䝁䅅督潂䍁䅁睖桂䝁䅣䅡䅁䡁䵁䅁杁䅁䅁兑獂䝁䅅杢杁䕁䅉杌杁䕁䅍睢獂䝁䅉党祂䝁䅣䅁塂䅄䅁杋䅁䕁䅅䅢桂䝁䄴䅉䕂䝁䅅杤灂䝁䅑䅉呂䝁䅍䅡畂䝁䅫䅤㙂䝁䅕杣䅁偁䭧䅁煁䅁䅁兑獂䝁䅅杢杁䕁䅫杣㉂䝁䅫杢湂䍁䅁睓灂䡁䅉督潂䝁䄴党祂䅁䅁桸䅁䉁䄴䅁䉂䝁䅷兙畂䍁䅁睓祂䝁䅫睚穂䡁䅑党灂䝁䄴䅁㕄睄䅁䅌䅁䕁䅅䅢楂䝁䅕杣あ䍁䅁睒祂䝁䅕兡湂䍁䅁睖療䝁䄸䅚祂䝁䅫杢湂䅁䅁杦䅯䍁䅧䅁䉂䝁䅷䅚療䍁䅁睑潂䝁䅅杣獂䝁䅕督杁䙁䅯兤橂䝁䅅杣療䅁䅁桱䅅䑁䅑䅁䉂䝁䅷杚桂䍁䅁䅔灂䝁䅙党杁䕁䅫杢穂䡁䅕杣桂䝁䄴睙求䍁䅁睑療䡁䅉䅣畁䅁䅁入䅳䕁䅁䅁䉂䝁䅷杚桂䍁䅁䅔灂䝁䅙党杁䕁䅫杢穂䡁䅕杣桂䝁䄴睙求䍁䅁睑療䡁䅉䅣療䡁䅉兙あ䝁䅫睢畂䅁䅁来䅳䕁䅑䅁䉂䝁䅷杚桂䍁䅁兔ㅂ䡁䅑兤桂䝁䅷䅉䡂䡁䅉睢ㅂ䡁䅁䅉潁䙁䅍杔䵂䍁䅁䅕流䕁䅍䅉䡂䡁䅉睢ㅂ䡁䅁克䅁䥁䱕䅁杁䅁䅁兑獂䝁䅫督療䝁䄴䅉呂䡁䅕党杁䙁䅉兙畂䝁䅑䅁桁杅䅁䅑䅁䕁䅅䅢獂䍁䅁䅔灂䝁䄴党穂䑁䅯䅉䑂䝁䄸兢瑂䝁䅫督穂䝁䅫睢畂䍁䅁杕桂䡁䅑兡療䍁䅁䅋汁䍁䅫䅁時兆䅁䅍䅁䕁䅅䅢獂䍁䅁睔あ䝁䅧党祂䍁䅁兓畂䝁䅍睢瑂䝁䅕䅉潁䍁䅑䅍睁䑁䅁克䅁䝁䡳䅁杁䅁䅁兑獂䝁䅷睑療䝁䄰䅣桂䝁䄴入剂䡁䅕党祂䡁䅫䅁䍄杂䅁杊䅁䕁䅅䅢獂䝁䅅杢杁䕁䅷党㍂䝁䅫督杁䙁䅣兙あ䝁䅕杣穂䅁䅁剄䅍䕁䅁䅁䉂䝁䅷䅢求䝁䅣䅡桂䝁䄴入杁䕁䅍睢祂䡁䅁杌杁䍁䅧睕佂䕁䅷䅉兂䍁䅙睑杁䕁䅣杣療䡁䅕䅣灁䅁䅁䅘䅧䕁䅷䅁䉂䝁䅷䅢求䝁䅣䅡桂䝁䄴入杁䕁䅍睢祂䡁䅁睢祂䝁䅅䅤灂䝁䄸杢杁䍁䅧睕佂䕁䅷䅉兂䍁䅙睑杁䕁䅣杣療䡁䅕䅣灁䅁䅁睗䅧䍁䅯䅁䉂䝁䅷䅢求䝁䄴䅉䵂䝁䅕睤灂䡁䅍䅉䵂䝁䅕杤求䡁䅉党あ䡁䅑䅁䑃兄䅁材䅁䕁䅅䅢獂䝁䅫兙畂䡁䅯䅉䡂䡁䅉睢ㅂ䡁䅁䅉潁䙁䅍杔䵂䍁䅁䅔灂䝁䅙党杁䕁䅣杣療䡁䅕䅣灁䅁䅁兡䅧䑁䅷䅁䉂䝁䅷䅢灂䝁䅅杢㙂䍁䅁睒祂䝁䄸兤睂䍁䅁䅋呂䕁䄴䅔杁䙁䅁杊䑂䍁䅁睒祂䝁䄸兤睂䍁䅫䅁䥃睃䅁杖䅁䕁䅅䅢獂䝁䅫党歂䍁䅁睖療䡁䅉䅢歂䍁䅁兑穂䡁䅍兤祂䝁䅅杢橂䝁䅕䅉䑂䝁䄸杌杁䍁䅧睕佂䕁䅷䅉兂䍁䅙睑杁䕁䅣杣療䡁䅕䅣灁䅁䅁八䅳䡁䅧䅁䉂䝁䅷䅢灂䝁䅕䅚杁䙁䅣睢祂䝁䅷䅚杁䕁䅅督穂䡁䅕杣桂䝁䄴睙求䍁䅁睑療䝁䄰䅣桂䝁䄴入杁䕁䅧睢獂䝁䅑兡畂䝁䅣督獁䍁䅁兑䡂䍁䅁䅋呂䕁䄴䅔杁䙁䅁杊䑂䍁䅁睒祂䝁䄸兤睂䍁䅫䅁千睃䅁䅑䅁䕁䅅䅢獂䡁䅍䅤桂䡁䅑党杁䕁䅍睢祂䡁䅁杌杁䍁䅧睕佂䕁䅷䅉䵂䝁䅫杚求䍁䅁睒祂䝁䄸兤睂䍁䅫䅁ㅂ䅃䅁材䅁䕁䅅䅢獂䡁䅍䅤桂䡁䅑党杁䕁䅍睢祂䡁䅁杌杁䍁䅧睕佂䕁䅷䅉兂䍁䅙睑杁䕁䅣杣療䡁䅕䅣灁䅁䅁睧䅧䕁䅷䅁䉂䝁䅷䅢穂䡁䅑兙あ䝁䅕䅉䑂䝁䄸杣睂䝁䄸杣桂䡁䅑兡療䝁䄴䅉潁䙁䅍杔䵂䍁䅁䅔灂䝁䅙党杁䕁䅣杣療䡁䅕䅣灁䅁䅁杤䅧䕁䅯䅁䉂䝁䅷䅢穂䡁䅑兙あ䝁䅕䅉䑂䝁䄸杣睂䝁䄸杣桂䡁䅑兡療䝁䄴䅉潁䙁䅍杔䵂䍁䅁䅕流䕁䅍䅉䡂䡁䅉睢ㅂ䡁䅁克䅁䥁䥉䅁䥂䅁䅁兑獂䝁䅷入杁䕁䅙兡畂䝁䅅杢橂䝁䅫兙獂䍁䅁兓畂䝁䅍杌杁䍁䅧睕佂䕁䅷䅉兂䍁䅙睑杁䕁䅣杣療䡁䅕䅣灁䅁䅁睭䅳䉁䅙䅁䉂䝁䅷䅣潂䝁䅅杣求䡁䅑䅤桂䅁䅁䅫䅷䍁䅧䅁䉂䝁䅷䅤療䝁䄴䅉䭂䍁䄴䅉塂䝁䅅督潂䝁䅫杢湂䡁䅑睢畂䅁䅁儶䅷䙁䅙䅁䉂䝁䄰䅖祂䡁䅕督あ䍁䅁杒灂䝁䄴兙畂䝁䅍兡桂䝁䅷䅉呂䝁䅕杣㉂䝁䅫睙求䡁䅍䅉潁䙁䅍杔䵂䍁䅁䅕流䕁䅍䅉䡂䡁䅉睢ㅂ䡁䅁克䅁䉁䵑䅁楂䅁䅁兑瑂䙁䅑杣ㅂ䡁䅍䅤杁䕁䅙兡畂䝁䅅杢橂䝁䅫兙獂䍁䅁睕求䡁䅉杤灂䝁䅍党穂䍁䅷䅉䩂䝁䄴睙畁䍁䅁䅋呂䕁䄴䅔杁䙁䅁杊䑂䍁䅁睒祂䝁䄸兤睂䍁䅫䅁噁䅄䅁杖䅁䕁䅅兢楂䝁䅅睙杁䕁䅙兡畂䝁䅅杢橂䝁䅫兙獂䍁䅁睒祂䝁䄸兤睂䍁䅁兓畂䝁䅍杌杁䍁䅧睕佂䕁䅷䅉兂䍁䅙睑杁䕁䅣杣療䡁䅕䅣灁䅁䅁兰䅳䙁䅧䅁䉂䝁䄰杙桂䝁䅍䅉䝂䝁䅫杢桂䝁䄴睙灂䝁䅅䅢杁䕁䅣杣療䡁䅕䅣獁䍁䅁兓畂䝁䅍杌杁䍁䅧睕佂䕁䅷䅉兂䍁䅙睑杁䕁䅣杣療䡁䅕䅣灁䅁䅁杰䅳䅁䄴䅁䉂䝁䄰党獂䝁䅫兙䅁䱁䝷䅁㡁䅁䅁兑瑂䝁䅕杣灂䝁䅍兙畂䍁䅁兑湂䡁䅉兡橂䡁䅕䅢あ䡁䅕杣桂䝁䅷䅉䩂䝁䄴督杁䕁䅍睢畁䅁䅁睵䅳䙁䅁䅁䉂䝁䄰党祂䝁䅫睙桂䝁䄴䅉䉂䝁䅣杣灂䝁䅍兤獂䡁䅑兤祂䝁䅅䅢杁䕁䅫杢穂䡁䅕杣桂䝁䄴睙求䍁䅁睑療䝁䄰䅣桂䝁䄴入䅁䱁䱷䅁㡁䅁䅁兑瑂䝁䅕杣灂䝁䅍兙畂䍁䅁兒硂䡁䅕兡あ䡁䅫䅉䩂䝁䄴督ㅂ䡁䅉兙畂䝁䅍党杁䕁䅍睢畁䅁䅁元䅁䕁䅑䅁䉂䝁䄰党祂䝁䅫睙桂䝁䄴䅉䙂䡁䅅兤灂䡁䅑入杁䕁䅫杢穂䡁䅕杣桂䝁䄴睙求䍁䅁睑療䝁䄰䅣桂䝁䄴入䅁䅁䅍䅁奂䅁䅁兑瑂䝁䅕杣灂䝁䅍兙畂䍁䅁兒硂䡁䅕兡あ䡁䅫䅉䩂䝁䄴杤求䡁䅍䅤瑂䝁䅕杢あ䍁䅁䅋呂䕁䄴䅔杁䕁䅷兡浂䝁䅕䅉䡂䡁䅉睢ㅂ䡁䅁克䅁䥁䥕䅁䍃䅁䅁兑瑂䝁䅕杣灂䝁䅍兙畂䍁䅁兒硂䡁䅕兡あ䡁䅫䅉䩂䝁䄴杤求䡁䅍䅤瑂䝁䅕杢あ䍁䅁䅔灂䝁䅙党杁䕁䅧睢獂䝁䅑兡畂䝁䅣䅉䑂䝁䄸兢睂䝁䅅杢㕂䍁䅁䅋呂䕁䄴䅔杁䕁䅷兡浂䝁䅕䅉䡂䡁䅉睢ㅂ䡁䅁克䅁䥁䥙䅁㙁䅁䅁兑瑂䝁䅕杣灂䝁䅍兙畂䍁䅁杒桂䝁䄰兡獂䡁䅫䅉䥂䝁䄸兢求䍁䅁兓畂䡁䅍䅉䑂䝁䄸杌䅁䱁䝉䅁佂䅁䅁兑瑂䝁䅕杣灂䝁䅍兙畂䍁䅁杒桂䝁䄰兡獂䡁䅫䅉䥂䝁䄸兢求䍁䅁兓畂䡁䅍兤祂䝁䅅杢橂䝁䅕䅉䑂䝁䄸兢睂䝁䅅杢㕂䅁䅁睳䅙䝁䅁䅁䉂䝁䄰党祂䝁䅫睙桂䝁䄴䅉䝂䝁䅅兢灂䝁䅷入杁䕁䅫杢穂䡁䅕杣桂䝁䄴睙求䍁䅁睒祂䝁䄸兤睂䍁䅁䅋呂䕁䄴䅔杁䙁䅁杊䑂䍁䅁睒祂䝁䄸兤睂䍁䅫䅁噃䅃䅁䅘䅁䕁䅅兢求䡁䅉兡橂䝁䅅杢杁䕁䅙兙瑂䝁䅫䅢㕂䍁䅁兓畂䡁䅍兤祂䝁䅅杢橂䝁䅕䅉䡂䡁䅉䅣杁䍁䅧睕佂䕁䅷䅉兂䍁䅙睑杁䕁䅣杣療䡁䅕䅣灁䅁䅁䅬䅧䑁䅯䅁䉂䝁䄰党祂䝁䅫睙桂䝁䄴䅉䝂䝁䅅兢灂䝁䅷入杁䕁䅷兡浂䝁䅕䅉䩂䝁䄴督杁䕁䅍睢畁䅁䅁睸䅳䕁䄴䅁䉂䝁䄰党祂䝁䅫睙桂䝁䄴䅉䝂䝁䅅兢灂䝁䅷入杁䕁䅷兡浂䝁䅕䅉䩂䝁䄴督ㅂ䡁䅉兙畂䝁䅍党杁䕁䅍睢瑂䡁䅁兙畂䡁䅫䅁䥄睃䅁杌䅁䕁䅅兢求䡁䅉兡橂䝁䅅杢杁䕁䅙兙瑂䝁䅫䅢㕂䍁䅁兔ㅂ䡁䅑兤桂䝁䅷䅁呃杂䅁杕䅁䕁䅅兢求䡁䅉兡橂䝁䅅杢杁䕁䅙兙瑂䝁䅫䅢㕂䍁䅁兔ㅂ䡁䅑兤桂䝁䅷䅉䩂䝁䄴督ㅂ䡁䅉兙畂䝁䅍党杁䕁䅍睢瑂䡁䅁兙畂䡁䅫䅁千杂䅁李䅁䕁䅅兢求䡁䅉兡橂䝁䅅杢杁䕁䅙党歂䝁䅕杣桂䡁䅑党歂䍁䅁兓畂䡁䅍䅉䑂䝁䄸杌䅁䩁䝣䅁䭂䅁䅁兑瑂䝁䅕杣灂䝁䅍兙畂䍁䅁杒求䝁䅑党祂䝁䅅䅤求䝁䅑䅉䩂䝁䄴督ㅂ䡁䅉兙畂䝁䅍党杁䕁䅍睢瑂䡁䅁兙畂䡁䅫䅁坃杂䅁杕䅁䕁䅅兢求䡁䅉兡橂䝁䅅杢杁䕁䅙兡歂䝁䅕䅢灂䡁䅑入杁䕁䅍睢祂䡁䅁杌杁䍁䅧睕佂䕁䅷䅉䵂䝁䅫杚求䍁䅁睒祂䝁䄸兤睂䍁䅫䅁佄睃䅁杘䅁䕁䅅兢求䡁䅉兡橂䝁䅅杢杁䕁䅙兡歂䝁䅕䅢灂䡁䅑入杁䕁䅍睢祂䡁䅁睢祂䝁䅅䅤灂䝁䄸杢杁䍁䅧睕佂䕁䅷䅉䵂䝁䅫杚求䍁䅁睒祂䝁䄸兤睂䍁䅫䅁乄睃䅁杘䅁䕁䅅兢求䡁䅉兡橂䝁䅅杢杁䕁䅙兡畂䝁䅅杢橂䝁䅫兙獂䍁䅁睒祂䝁䄸兤睂䍁䅁兓畂䝁䅍杌杁䍁䅧睕佂䕁䅷䅉䵂䝁䅫杚求䍁䅁睒祂䝁䄸兤睂䍁䅫䅁婃䅃䅁䅘䅁䕁䅅兢求䡁䅉兡橂䝁䅅杢杁䕁䅙兡畂䝁䅅杢橂䝁䅫兙獂䍁䅁睒祂䝁䄸兤睂䍁䅁兓畂䝁䅍杌杁䍁䅧睕佂䕁䅷䅉兂䍁䅙睑杁䕁䅣杣療䡁䅕䅣灁䅁䅁眲䅳䝁䅁䅁䉂䝁䄰党祂䝁䅫睙桂䝁䄴䅉䝂䝁䅫杢桂䝁䄴睙灂䝁䅅䅢杁䕁䅣杣療䡁䅕䅣獁䍁䅁兓畂䝁䅍杌杁䍁䅧睕佂䕁䅷䅉䵂䝁䅫杚求䍁䅁睒祂䝁䄸兤睂䍁䅫䅁奃䅃䅁杘䅁䕁䅅兢求䡁䅉兡橂䝁䅅杢杁䕁䅙兡畂䝁䅅杢橂䝁䅫兙獂䍁䅁睒祂䝁䄸兤睂䍁䅷䅉䩂䝁䄴睙畁䍁䅁䅋呂䕁䄴䅔杁䙁䅁杊䑂䍁䅁睒祂䝁䄸兤睂䍁䅫䅁捄睃䅁䅘䅁䕁䅅兢求䡁䅉兡橂䝁䅅杢杁䕁䅫杢あ䝁䅕杣畂䝁䅅䅤灂䝁䄸杢桂䝁䅷䅉䡂䡁䅉睢ㅂ䡁䅁䅉潁䙁䅍杔䵂䍁䅁䅔灂䝁䅙党杁䕁䅣杣療䡁䅕䅣灁䅁䅁朲䅣䙁䅯䅁䉂䝁䄰党祂䝁䅫睙桂䝁䄴䅉䩂䝁䄴䅤求䡁䅉杢桂䡁䅑兡療䝁䄴兙獂䍁䅁睒祂䝁䄸兤睂䍁䅁䅋呂䕁䄴䅔杁䙁䅁杊䑂䍁䅁睒祂䝁䄸兤睂䍁䅫䅁楃䅃䅁䅡䅁䕁䅅兢求䡁䅉兡橂䝁䅅杢杁䕁䅫杢あ䝁䅕杣畂䝁䅅䅤灂䝁䄸杢桂䝁䅷䅉䡂䡁䅉睢ㅂ䡁䅁䅌杁䕁䅫杢橂䍁䄴䅉潁䙁䅍杔䵂䍁䅁䅔灂䝁䅙党杁䕁䅣杣療䡁䅕䅣灁䅁䅁儲䅣䝁䅙䅁䉂䝁䄰党祂䝁䅫睙桂䝁䄴䅉䩂䝁䄴䅤求䡁䅉杢桂䡁䅑兡療䝁䄴兙獂䍁䅁睒祂䝁䄸兤睂䍁䅷䅉䩂䝁䄴睙畁䍁䅁䅋呂䕁䄴䅔杁䙁䅁杊䑂䍁䅁睒祂䝁䄸兤睂䍁䅫䅁橃䅃䅁杗䅁䕁䅅兢求䡁䅉兡橂䝁䅅杢杁䕁䄴兙あ䝁䅫睢畂䝁䅅䅢杁䕁䅫杢穂䡁䅕杣桂䝁䄴睙求䍁䅁䅋呂䕁䄴䅔杁䕁䅷兡浂䝁䅕䅉䡂䡁䅉睢ㅂ䡁䅁克䅁䭁䥙䅁奂䅁䅁兑瑂䝁䅕杣灂䝁䅍兙畂䍁䅁杔桂䡁䅑兡療䝁䄴兙獂䍁䅁兓畂䡁䅍兤祂䝁䅅杢橂䝁䅕䅉潁䙁䅍杔䵂䍁䅁䅕流䕁䅍䅉䡂䡁䅉睢ㅂ䡁䅁克䅁乁䰴䅁煂䅁䅁兑瑂䝁䅕杣灂䝁䅍兙畂䍁䅁杔桂䡁䅑兡療䝁䄴兙獂䍁䅁兓畂䡁䅍兤祂䝁䅅杢橂䝁䅕䅉䑂䝁䄸兢睂䝁䅅杢㕂䍁䅁䅋呂䕁䄴䅔杁䕁䅷兡浂䝁䅕䅉䡂䡁䅉睢ㅂ䡁䅁克䅁䭁䥕䅁潂䅁䅁兑瑂䝁䅕杣灂䝁䅍兙畂䍁䅁杔桂䡁䅑兡療䝁䄴兙獂䍁䅁兓畂䡁䅍兤祂䝁䅅杢橂䝁䅕䅉䑂䝁䄸兢睂䝁䅅杢㕂䍁䅁䅋呂䕁䄴䅔杁䙁䅁杊䑂䍁䅁睒祂䝁䄸兤睂䍁䅫䅁晄睃䅁䅐䅁䕁䅅兢求䡁䅉兡橂䝁䄸䅉䵂䝁䅫杚求䍁䅁䅋呂䕁䄴䅔杁䕁䅷兡浂䝁䅕䅉䡂䡁䅉睢ㅂ䡁䅁克䅁佁䱅䅁坂䅁䅁兑瑂䝁䅕杣灂䡁䅁杣灂䡁䅍党杁䕁䅙兡畂䝁䅅杢橂䝁䅫兙獂䍁䅁兓畂䝁䅍杌杁䍁䅧睕佂䕁䅷䅉䵂䝁䅫杚求䍁䅁睒祂䝁䄸兤睂䍁䅫䅁穃䅃䅁䅖䅁䕁䅅兢求䡁䅉兡睂䡁䅉兡穂䝁䅕䅉䝂䝁䅫杢桂䝁䄴睙灂䝁䅅䅢杁䕁䅫杢橂䍁䄴䅉潁䙁䅍杔䵂䍁䅁䅕流䕁䅍䅉䡂䡁䅉睢ㅂ䡁䅁克䅁佁䱳䅁奂䅁䅁兑瑂䝁䅕杣灂䡁䅁杣灂䡁䅍党杁䕁䅙兡畂䝁䅅杢橂䝁䅫兙獂䍁䅷䅉䩂䝁䄴睙畁䍁䅁䅋呂䕁䄴䅔杁䕁䅷兡浂䝁䅕䅉䡂䡁䅉睢ㅂ䡁䅁克䅁䱁䥉䅁坂䅁䅁兑瑂䝁䅕杣灂䡁䅁杣灂䡁䅍党杁䕁䅙兡畂䝁䅅杢橂䝁䅫兙獂䍁䅷䅉䩂䝁䄴睙畁䍁䅁䅋呂䕁䄴䅔杁䙁䅁杊䑂䍁䅁睒祂䝁䄸兤睂䍁䅫䅁獄睃䅁杘䅁䕁䅅兢求䡁䅉兡穂䡁䅕杣求䍁䅁兔ㅂ䡁䅑兤桂䝁䅷䅉䩂䝁䄴督ㅂ䡁䅉兙畂䝁䅍党杁䕁䅍睢畁䍁䅁䅋呂䕁䄴䅔杁䙁䅁杊䑂䍁䅁睒祂䝁䄸兤睂䍁䅫䅁㝄睃䅁杚䅁䕁䅅兢求䡁䅉兡穂䡁䅕杣求䍁䅁兔ㅂ䡁䅑兤桂䝁䅷䅉䩂䝁䄴督ㅂ䡁䅉兙畂䝁䅍党杁䕁䅍睢瑂䡁䅁兙畂䡁䅫䅉潁䙁䅍杔䵂䍁䅁䅕流䕁䅍䅉䡂䡁䅉睢ㅂ䡁䅁克䅁偁䱷䅁㡁䅁䅁兑瑂䝁䅕杣灂䡁䅑兙穂䍁䅁兔䥂䕁䅍䅉潁䙁䅍杔䵂䍁䅁䅔灂䝁䅙党杁䕁䅣杣療䡁䅕䅣灁䅁䅁䅶䅧䝁䅉䅁䉂䝁䄰党祂䝁䅫䅤桂䡁䅍䅉乂䡁䅕䅤ㅂ䝁䅅䅢杁䕁䅧睢獂䝁䅑兡畂䝁䅣䅉䑂䝁䄸兢睂䝁䅅杢㕂䍁䅁䅋呂䕁䄴䅔杁䕁䅷兡浂䝁䅕䅉䡂䡁䅉睢ㅂ䡁䅁克䅁䱁䤰䅁祁䅁䅁兑瑂䝁䅫睙桂䍁䅁䅔灂䝁䅙党杁䕁䅫杢穂䡁䅕杣桂䝁䄴睙求䍁䅁睑療䍁䄴䅁䝁䅄䅁杏䅁䕁䅅兢灂䝁䅍兙杁䕁䅷兡浂䝁䅕䅉䩂䝁䄴督ㅂ䡁䅉兙畂䝁䅍党杁䕁䅍睢瑂䡁䅁兙畂䡁䅫䅁䡁䅄䅁杖䅁䕁䅅兢灂䝁䅍兙杁䕁䄰兤あ䡁䅕兙獂䍁䅁兓畂䡁䅍兤祂䝁䅅杢橂䝁䅕䅉䑂䝁䄸杌杁䍁䅧睕佂䕁䅷䅉兂䍁䅙睑杁䕁䅣杣療䡁䅕䅣灁䅁䅁充䅷䙁䄴䅁䉂䝁䄰兡橂䝁䅅䅉乂䡁䅕䅤ㅂ䝁䅅䅢杁䕁䅫杢穂䡁䅕杣桂䝁䄴睙求䍁䅁睑療䝁䄰䅣桂䝁䄴入杁䍁䅧睕佂䕁䅷䅉兂䍁䅙睑杁䕁䅣杣療䡁䅕䅣灁䅁䅁杅䅷䑁䅙䅁䉂䝁䄰入杁䕁䅍睢獂䝁䅷党求䝁䄴䅉兂䡁䅕杣歂䡁䅫䅉䡂䝁䄸䅚獂䝁䅕督牂䝁䅫䅁癃兄䅁杌䅁䕁䅅杢歂䝁䅕杣穂䍁䅁村煂䝁䄸杣畂䍁䅁兔桂䝁䅷兢穂䡁䅑杣療䝁䄰䅁い䅃䅁䅅䅁䕁䅅杢歂䝁䄸杤求䡁䅉䅁桁䅄䅁䅒䅁䕁䅅杢歂䝁䄸杤求䡁䅉䅉䑂䝁䄸兢睂䝁䅅杢灂䝁䅕督杁䍁䅧睕佂䕁䅷䅉兂䍁䅙睑杁䕁䅣杣療䡁䅕䅣灁䅁䅁杈䅷䍁䅯䅁䉂䝁䄴䅚祂䝁䅅䅉呂䝁䅷睢桂䝁䄴党杁䕁䅉睢獂䝁䄸䅤灂䝁䄴䅁牃元䅁䅋䅁䕁䅅杢歂䡁䅉党桂䝁䄴兙杁䙁䅍兙畂䡁䅑兙畂䝁䅣党獂䝁䄸䅁硃䅄䅁杍䅁䕁䅅杢歂䡁䅉党桂䡁䅍䅉乂䝁䅅䅤あ䝁䅧兡桂䡁䅍䅉䱂䝁䅷党灂䝁䄴党祂䅁䅁杶䅙䍁䅑䅁䉂䝁䄴䅚祂䝁䅕睤杁䕁䅍杌杁䕁䅑杣求䡁䅫杚ㅂ䡁䅍䅁睃䅄䅁䅌䅁䕁䅅杢歂䡁䅉党㍂䍁䅁睑潂䝁䅕督あ䝁䅕杣杁䕁䅍睢祂䝁䅉兡畂䅁䅁睰䅷䍁䅧䅁䉂䝁䄴䅚祂䝁䅕睤杁䕁䅑睢瑂䝁䅫杢灂䝁䅍䅉䵂䝁䄸杤求䅁䅁桕䅁䍁䅑䅁䉂䝁䄴䅚祂䝁䅕睤杁䕁䅷入畂䝁䄴䅉䉂䡁䅍䅡求䡁䅉䅁穄睅䅁杇䅁䕁䅅杢畂䝁䅅䅉乂䝁䅅杢畂䝁䅫杢湂䅁䅁內䅯䍁䄴䅁䉂䝁䄴杢求䍁䅁睒桂䝁䅷杙祂䝁䅅兡あ䝁䅧䅉塂䝁䅅䅢求䡁䅍睡灂䅁䅁剸䅁䝁䅁䅁䉂䝁䄴杢ㅂ䝁䅫䅤㕂䍁䅁䅋䩂䝁䄴䅚獁䍁䅁睒祂䡁䅁克㙁䍁䅁村求䝁䄴党浂䝁䅫䅤杁䙁䅉兙あ䝁䅫睢㙁䍁䅁䅕祂䝁䅕兢灂䡁䅕兢穂䍁䅁䅋汁䍁䅫䅁⭁兆䅁杕䅁䕁䅅杢畂䡁䅕兡あ䡁䅫䅉潁䕁䅫杢歂䍁䅷䅉䡂䡁䅉䅣灁䑁䅯䅉䑂䝁䄸兢瑂䝁䅫督穂䝁䅫睢畂䍁䅁杕桂䡁䅑兡療䍁䅁䅋汁䍁䅫䅁慁兆䅁䅙䅁䕁䅅杢畂䡁䅕兡あ䡁䅫䅉潁䕁䅫杢歂䍁䅷䅉䡂䡁䅉䅣灁䑁䅯䅉䙂䡁䅧䅣求䝁䄴督求䍁䅁杕桂䡁䅑兡療䑁䅯䅉兂䡁䅉党瑂䝁䅫兤瑂䡁䅍䅉潁䍁䅕克䅁䕁噕䅁浂䅁䅁兑畂䝁䄴兤灂䡁䅑入杁䍁䅧兓畂䝁䅑䅌杁䕁䅣杣睂䍁䅫杏杁䙁䅁杣求䝁䄰兡ㅂ䝁䄰督杁䍁䅙䅉䑂䝁䄸杢穂䝁䅫䅚穂䑁䅯䅉䍂䡁䅫䅉䵂䕁䄸村杁䍁䅧兊灁䅁䅁硆䅕䉁䅷䅁䉂䝁䄴杢ㅂ䝁䅫䅤㕂䍁䅁杒療䝁䅍兤穂䅁䅁朳䅣䍁䅷䅁䉂䝁䄴杢ㅂ䝁䅫䅤㕂䍁䅁兙畂䝁䅑䅉䉂䍁䅙䅓杁䕁䅙睢橂䡁䅕督䅁䥁䨸䅁⭁䅁䅁兑畂䡁䅑䅡求䝁䄰䅉䩂䝁䄴睙畁䍁䅁䅋呂䕁䄴䅔杁䕁䅧党桂䝁䅷䅤潂䍁䅁睒祂䝁䄸兤睂䍁䅫䅁䥄䅃䅁䅑䅁䕁䅅杢あ䝁䅧党瑂䍁䅷䅉䩂䝁䄴睙畁䍁䅁䅋呂䕁䄴䅔杁䕁䅧党桂䝁䅷䅤潂䍁䅁睒祂䝁䄸兤睂䍁䅫䅁䩄䅃䅁杍䅁䕁䅅杢あ䝁䅧睢畂䡁䅫䅉䭂䝁䄸督求䡁䅁䅡杁䕁䅳兤橂䡁䅯兡畂䡁䅍睡灂䅁䅁䅷䅙䑁䅑䅁䉂䝁䄴䅤潂䝁䄸杢㕂䍁䅁兔桂䡁䅑䅤潂䝁䅕睤杁䕁䄰睙䱂䝁䅫党祂䝁䄴兙畂䅁䅁硺䅁䍁䄴䅁䉂䝁䄴䅤潂䝁䄸杢㕂䍁䅁睕あ䝁䅕䅣潂䝁䅕杢杁䙁䅁兡穂䡁䅯党獂䅁䅁硎䅉䙁䅯䅁䉂䡁䅉杙求䝁䅷䅢桂䍁䅁兔ㅂ䡁䅑兤桂䝁䅷䅉䩂䝁䄴督ㅂ䡁䅉兙畂䝁䅍党杁䕁䅍睢畁䍁䅁䅋呂䕁䄴䅔杁䙁䅁杊䑂䍁䅁睒祂䝁䄸兤睂䍁䅫䅁湁䅄䅁杙䅁䕁䅅杣楂䝁䅕䅢獂䝁䅅䅉乂䡁䅕䅤ㅂ䝁䅅䅢杁䕁䅫杢穂䡁䅕杣桂䝁䄴睙求䍁䅁睑療䝁䄰䅣桂䝁䄴入杁䍁䅧睕佂䕁䅷䅉兂䍁䅙睑杁䕁䅣杣療䡁䅕䅣灁䅁䅁䅋䅷䙁䅁䅁䉂䡁䅉睙潂䍁䅁睑桂䡁䅁兡あ䝁䅅䅢杁䕁䅣杣療䡁䅕䅣杁䕁䅷䅤歂䍁䄴䅉潁䙁䅍杔䵂䍁䅁䅕流䕁䅍䅉䡂䡁䅉睢ㅂ䡁䅁克䅁䑁䵅䅁卂䅁䅁兑祂䝁䅣睢杁䕁䅣杣療䡁䅕䅣杁䕁䅫杢あ䝁䅕杣畂䝁䅅䅤灂䝁䄸杢桂䝁䅷䅉潁䙁䅍杔䵂䍁䅁䅕流䕁䅍䅉䡂䡁䅉睢ㅂ䡁䅁克䅁䑁䵳䅁睂䅁䅁兑祂䝁䅣睢杁䕁䅣杣療䡁䅕䅣杁䕁䅫杢あ䝁䅕杣畂䝁䅅䅤灂䝁䄸杢桂䝁䅷䅉䥂䝁䄸䅢歂䝁䅫杢湂䡁䅍䅌杁䕁䅷䅤歂䍁䄴䅉潁䙁䅍杔䵂䍁䅁䅕流䕁䅍䅉䡂䡁䅉睢ㅂ䡁䅁克䅁䑁䵷䅁佁䅁䅁兑祂䝁䄰睢畂䝁䅳䅁呄权䅁杕䅁䕁䅅杣祂䝁䄸睤睂䝁䄸兡畂䡁䅑䅉䑂䝁䅅䅣灂䡁䅑兙獂䍁䅁睑療䡁䅉䅣畁䍁䅁䅋呂䕁䄴䅔杁䙁䅁杊䑂䍁䅁睒祂䝁䄸兤睂䍁䅫䅁䙂䅄䅁䅏䅁䕁䅅杣あ䝁䅧兤祂䍁䅁兒歂䡁䅣兙祂䝁䅑䅉乂䝁䄸睢穂䡁䅍兢桂䝁䄴杢杁䕁䅯杣畁䅁䅁杪䅳䍁䅯䅁䉂䡁䅉䅤潂䡁䅕杣杁䕁䅯兙瑂䝁䅕督杁䙁䅉睢楂䝁䅕杣あ䡁䅍䅁楃充䅁杊䅁䕁䅅督穂䝁䅕䅤杁䕁䅫督穂䡁䅕党祂䍁䅁䅖㕂䡁䅁党杁䅁䅁䅹䅣䉁䅧䅁䉂䡁䅍督求䡁䅑䅉啂䡁䅫䅣求䍁䅁䅁䥃睂䅁䅎䅁䕁䅅督穂䝁䅕䅤杁䙁䅑入睂䝁䅕䅉潁䕁䅅督杁䙁䅉党睂䝁䄸杣あ䝁䅕䅚灁䍁䅁䅁乃睂䅁材䅁䕁䅅督穂䡁䅕杣桂䝁䄴䅤杁䕁䅫杢橂䍁䄴䅉潁䙁䅍杔䵂䍁䅁䅔灂䝁䅙党杁䕁䅣杣療䡁䅕䅣灁䅁䅁䅕䅷䑁䅷䅁䉂䡁䅍督ㅂ䡁䅉兙畂䡁䅑䅉䩂䝁䄴睙畁䍁䅁䅋呂䕁䄴䅔杁䙁䅁杊䑂䍁䅁睒祂䝁䄸兤睂䍁䅫䅁捂䅄䅁䅑䅁䕁䅅督穂䡁䅕杣桂䝁䄴䅤獁䍁䅁兓畂䝁䅍杌杁䍁䅧睕佂䕁䅷䅉䵂䝁䅫杚求䍁䅁睒祂䝁䄸兤睂䍁䅫䅁剂䅄䅁材䅁䕁䅅督穂䡁䅕杣桂䝁䄴䅤獁䍁䅁兓畂䝁䅍杌杁䍁䅧睕佂䕁䅷䅉兂䍁䅙睑杁䕁䅣杣療䡁䅕䅣灁䅁䅁睗䅷䕁䅷䅁䉂䡁䅍督ㅂ䡁䅉党歂䍁䅁睒ㅂ䝁䅅杣桂䝁䄴䅤㕂䍁䅁䅔あ䝁䅑杌杁䍁䅧睕佂䕁䅷䅉兂䍁䅙睑杁䕁䅣杣療䡁䅕䅣灁䅁䅁杘䅷䕁䅯䅁䉂䡁䅑䅡求䝁䄴党杁䕁䅧睢獂䝁䅑兡畂䝁䅣䅉䵂䡁䅑䅚畁䍁䅁䅋呂䕁䄴䅔杁䕁䅷兡浂䝁䅕䅉䡂䡁䅉睢ㅂ䡁䅁克䅁乁䥕䅁允䅁䅁兑あ䝁䅷兙畂䡁䅑兙䅁䥁儰䅁啂䅁䅁兑あ䝁䅷兙畂䡁䅑兙瑁䙁䅍兙畂䝁䅑入杁䙁䅍䅣祂䝁䅫杢湂䡁䅍兌卂䝁䄸督㍂䝁䅕䅢獂䍁䅷䅉䡂䕁䅅䅉潁䕁䄰党あ䡁䅉睢灁䅁䅁睩䅷䑁䅯䅁䉂䡁䅑䅤療䡁䅉杢求䡁䅫督湁䍁䅁䅔灂䝁䅅杙杁䕁䅅督穂䡁䅉䅉呂䝁䄸睙灂䝁䅕䅤㕂䅁䅁睚䅷䥁䅯䅁䉂䡁䅑䅤療䡁䅉杢求䡁䅫督湁䍁䅁䅔灂䝁䅅杙灂䝁䅷兡あ䡁䅫䅉䉂䡁䅍督ㅂ䡁䅉兙畂䝁䅍党杁䙁䅍睢橂䝁䅫党あ䡁䅫䅌杁䕁䅫杢橂䍁䄴䅌杁䕁䅅䅉卂䝁䅫督牂䍁䅁杕求䡁䅑党畂䡁䅑兡療䝁䄴䅉䡂䡁䅉睢ㅂ䡁䅁䅁浂䅄䅁杄䅁䕁䅅兤穂䡁䅑兡畂䅁䅁兮䄰䑁䅑䅁䉂䡁䅕督あ䝁䅫杢杁䙁䅑䅡療䝁䄰兙穂䍁䅁䅓灂䝁䅷䅚求䝁䅉杣桂䝁䄴䅚あ䅁䅁入䄴䑁䅷䅁䉂䡁䅕督あ䝁䅫杢瑁䙁䅉睢ㅂ䝁䄴䅚杁䙁䅉睢橂䝁䅳䅌杁䙁䅑䅗杁䍁䅧兔求䡁䅑杣療䍁䅫䅁扃兄䅁杗䅁䕁䅅兤あ䝁䅧䅉䑂䝁䄸杢あ䡁䅉睢獂䍁䅁䅔求䡁䅙党獂䍁䅁杕灂䡁䅍睡杁䕁䅉兙穂䝁䅕䅚杁䕁䅍兙睂䝁䅫䅤桂䝁䅷䅉潁䍁䅑䅍睁䑁䅁克䅁䍁䡧䅁卂䅁䅁兑ㅂ䡁䅑睢杁䕁䅍䅢ㅂ䝁䅉䅉䙂䡁䅧睙潂䝁䅅杢湂䝁䅕䅉䡂䡁䅉睢ㅂ䡁䅁䅉潁䙁䅍杔䵂䍁䅁䅕流䕁䅍䅉䡂䡁䅉睢ㅂ䡁䅁克䅁䡁䵍䅁杂䅁䅁兑ㅂ䡁䅑睢杁䕁䅍䅢ㅂ䝁䅉䅉䩂䝁䄴督ㅂ䡁䅉兙畂䝁䅍党杁䕁䅅督穂䝁䄸睙灂䝁䅅䅤灂䝁䄸杢杁䍁䅧睕佂䕁䅷䅉兂䍁䅙睑杁䕁䅣杣療䡁䅕䅣灁䅁䅁䅦䅷䙁䅑䅁䉂䡁䅕䅤療䍁䄰睔㍂䝁䄴党祂䡁䅍䅉䩂䝁䄴督ㅂ䡁䅉兙畂䝁䅍党杁䕁䅍睢畁䍁䅁䅋呂䕁䄴䅔杁䙁䅁杊䑂䍁䅁睒祂䝁䄸兤睂䍁䅫䅁杄䅃䅁䅘䅁䕁䅅兤あ䝁䄸兌偂䡁䅣杢求䡁䅉督杁䕁䅫杢穂䡁䅕杣桂䝁䄴睙求䍁䅁睑療䝁䄰䅣桂䝁䄴入杁䍁䅧睕佂䕁䅷䅉兂䍁䅙睑杁䕁䅣杣療䡁䅕䅣灁䅁䅁儴䅧䑁䄴䅁䉂䡁䅕䅤療䍁䄰睔㍂䝁䄴党祂䡁䅍䅉䵂䝁䅫杚求䍁䅁兓畂䡁䅍兤祂䝁䅅杢橂䝁䅕䅉䑂䝁䄸杌䅁䥁䵙䅁䝂䅁䅁兑ㅂ䡁䅑睢瑁䕁䄸睤畂䝁䅕杣穂䍁䅁䅔灂䝁䅙党杁䕁䅫杢穂䡁䅕杣桂䝁䄴睙求䍁䅁睑療䝁䄰䅣桂䝁䄴入䅁䥁䵕䅁䕁䅁䅁村䅁䝁䨰䅁䥁䅁䅁村牁䍁䅳䅁㥁元䅁杂䅁䕁䅉兌䅁䝁偉䅁䝁䅁䅁村䍂䅁䅁杔䄰䅁䅧䅁䍂䕁䅉睋䅁䍁䩍䅁䥁䅁䅁村䍂䕁䅉䅁摄䅃䅁权䅁䕁䅉村䍂䍁䅳䅁浂䅃䅁权䅁䕁䅉村䍂䍁䄰䅁千䅃䅁䅔䅁䕁䅉睑流䕁䅉睕杁䝁䄸杚杁䕁䅳兙畂䡁䅍兙穂䍁䅁兓畂䝁䅍杌杁䍁䅧睕佂䕁䅷䅉䵂䝁䅫杚求䍁䅁睒祂䝁䄸兤睂䍁䅫䅁桃䅄䅁杘䅁䕁䅉睑流䕁䅉睕杁䝁䄸杚杁䕁䄰兙穂䡁䅍兙橂䝁䅧兤穂䝁䅕䅤あ䡁䅍䅉䩂䝁䄴睙畁䍁䅁䅋呂䕁䄴䅔杁䕁䅧党桂䝁䅷䅤潂䍁䅁睒祂䝁䄸兤睂䍁䅫䅁煃䅄䅁䅃䅁䕁䅉兙穁䅁䅁睯䅳䅁䅯䅁䍂䝁䅅兙硁䅁䅁䄵䅣䅁䅯䅁䍂䝁䅅兙祁䅁䅁杌䅳䅁䅯䅁䍂䝁䅅兙穁䅁䅁剐䅁䉁䅧䅁䍂䝁䅅䅢桂䍁䅁睑㕂䝁䄴睤㕂䝁䅑䅁桄权䅁䅆䅁䕁䅉兙獂䡁䅑兡瑂䝁䄸杣求䅁䅁䅡䅫䑁䅯䅁䍂䝁䅅䅢あ䝁䅫兢療䡁䅉党杁䕁䅷兡浂䝁䅕䅉䩂䝁䄴督ㅂ䡁䅉兙畂䝁䅍党杁䕁䅍睢畁䅁䅁公䅷䕁䅉䅁䍂䝁䅅䅢あ䝁䅫兢療䡁䅉党杁䕁䅷兡浂䝁䅕䅉䩂䝁䄴督ㅂ䡁䅉兙畂䝁䅍党杁䕁䅍睢瑂䡁䅁兙畂䡁䅫䅁啃䅄䅁䅔䅁䕁䅉兙獂䡁䅑兡瑂䝁䄸杣求䍁䄰睑療䝁䅷兤瑂䝁䅉兡桂䍁䄰䅖療䡁䅣督療䝁䄴䅌杁䕁䄰䅒杁䍁䅧兔求䡁䅑杣療䍁䅫䅁灂元䅁䅆䅁䕁䅉兙畂䝁䅳䅌杁䕁䅫杢穂䅁䅁先䅅䍁䅷䅁䍂䝁䅅杢牂䍁䅷䅉䩂䝁䄴督㙁䍁䅁睑療䝁䄰兢杁䙁䅍䅤療䝁䅍睡䅁䍁䉫䅁歁䅁䅁村桂䡁䅉杣求䍁䅷䅉坂䙁䅑䅉潁䕁䄰兡橂䡁䅉睢灁䅁䅁睌䅯䍁䅑䅁䍂䝁䅅杣祂䡁䅫䅉䕂䝁䄸杤杁䙁䅯入穂䝁䅳兡畂䝁䅑䅁扁䅄䅁杉䅁䕁䅉兙祂䡁䅉入杁䕁䅕杣灂䝁䅍䅉䡂䝁䄸䅢ㅂ䝁䅉䅁㑁䅄䅁䅊䅁䕁䅉兙祂䡁䅉入杁䕁䅣睢祂䝁䅑睢畂䍁䅁睖桂䡁䅉䅚䅁䵁䩁䅁杁䅁䅁村桂䡁䅉杣㕂䍁䅁䅔求䝁䅕䅉呂䡁䅑睢㍂䝁䅕䅁坄元䅁杌䅁䕁䅉兙祂䡁䅉入杁䙁䅍兙瑂䡁䅕党獂䍁䅁睓桂䡁䅉杚ㅂ䝁䄴睡求䝁䅷䅁乂充䅁杈䅁䕁䅉兙祂䡁䅉入杁䙁䅍䅤桂䝁䅷䅚灂䝁䄴党䅁佁卣䅁煁䅁䅁村桂䡁䅉䅤杁䕁䅙党祂䡁䅉党獂䝁䅷䅉䑂䝁䅅䅤瑂䡁䅕䅢獂䅁䅁䉬䅉䕁䅷䅁䍂䝁䅅督灂䝁䅍䅉䍂䝁䄸睢牂䍁䅁杖桂䝁䅷兤求䍁䅁䅣求䡁䅉䅉呂䝁䅧兙祂䝁䅕䅉潁䙁䅉党睂䝁䄸杣あ䝁䅕䅚灁䅁䅁硸䅑䕁䅉䅁䍂䝁䅅督灂䝁䅍䅉䙂䙁䅁睕杁䝁䅅杚あ䝁䅕杣杁䕁䅕䅥あ䡁䅉兙杁䍁䅧杕求䡁䅁睢祂䡁䅑党歂䍁䅫䅁䭄䅆䅁䅈䅁䕁䅉兙穂䝁䅳兡畂䝁䅣䅉卂䝁䅫䅚湂䝁䅕䅁佄充䅁䅇䅁䕁䅉兙あ䝁䄸杢杁䙁䅉睢ㅂ䝁䅣党䅁䡁八䅁睁䅁䅁村桂䡁䅑睢畂䍁䅁杕療䡁䅕睚求䍁䅷䅉䵂䕁䅅䅉潁䕁䄰党あ䡁䅉睢灁䅁䅁桥䅁䉁䅉䅁䍂䝁䅕䅢獂䝁䅕杤ㅂ䝁䅕䅁⽃权䅁䅗䅁䕁䅉党畂䝁䅕杚灂䝁䅍兡桂䝁䅷䅉䝂䝁䅫杢桂䝁䄴睙灂䝁䅅䅢杁䕁䅣杣療䡁䅕䅣杁䍁䅧睕佂䕁䅷䅉䵂䝁䅫杚求䍁䅁睒祂䝁䄸兤睂䍁䅫䅁ぃ䅄䅁䅏䅁䕁䅉党畂䝁䅕杚灂䡁䅑䅉卂䝁䅅䅤灂䝁䄸杏杁䙁䅁杣求䝁䄰兡ㅂ䝁䄰督杁䍁䅧兊灁䅁䅁硄䅕䑁䅑䅁䍂䝁䅕杢煂䝁䅅兢灂䝁䄴䅉乂䝁䅫睙潂䝁䅅党獂䍁䅁睕桂䝁䅷来瑂䝁䅅杢畂䅁䅁睙䅳䙁䅉䅁䍂䝁䅕杣牂䡁䅍䅡灂䡁䅉党杁䕁䅧兙あ䝁䅧兙㍂䝁䅅入杁䕁䅫杢橂䍁䄴䅉潁䙁䅍杔䵂䍁䅁䅔灂䝁䅙党杁䕁䅣杣療䡁䅕䅣灁䅁䅁朹䅧䙁䅁䅁䍂䝁䅕杣牂䡁䅍䅡灂䡁䅉党杁䕁䅧兙あ䝁䅧兙㍂䝁䅅入杁䕁䅫杢橂䍁䄴䅉潁䙁䅍杔䵂䍁䅁䅕流䕁䅍䅉䡂䡁䅉睢ㅂ䡁䅁克䅁佁䡣䅁潁䅁䅁村求䡁䅉杢桂䡁䅉䅚杁䕁䅯兙瑂䝁䅕督杁䙁䅑入穂䝁䄸杢䅁䍁內䅁獁䅁䅁村求䡁䅉杢桂䡁䅉䅚杁䕁䄰兙あ䡁䅑䅡求䡁䅣䅉䝂䝁䅷入畂䝁䄴䅁⽂充䅁杉䅁䕁䅉党あ䝁䅧䅉䉂䝁䄴杢杁䕁䅉睢瑂䝁䅉兙祂䝁䅅䅁䱄元䅁杉䅁䕁䅉党あ䝁䅧䅉䉂䝁䄴杢杁䕁䄰睢畂䡁䅍杣ㅂ䝁䅑䅁祃睅䅁杅䅁䕁䅉党あ䝁䅧党穂䝁䅑兙䅁䥁䝕䅁畁䅁䅁村求䡁䅑䅤㕂䍁䅁睖桂䝁䅷䅤求䡁䅉督杁䕁䅑党坂䝁䅫杢畂䝁䅕入䅁偁䴰䅁允䅁䅁村求䡁䅙党祂䝁䅷入䅁佁佷䅁楁䅁䅁村灂䝁䅷䅢㕂䍁䅁睓祂䝁䅫督杁䙁䅍党桂䝁䅷党䅁佁何䅁坁䅁䅁村灂䝁䄴睚潂䝁䅅兢あ䝁䄸杢䅁䭁乳䅁畁䅁䅁村灂䝁䄴睚潂䝁䅅兢あ䝁䄸杢獁䍁䅁杔婂䍁䅁䅋乂䝁䅕䅤祂䝁䄸克䅁䭁乷䅁坁䅁䅁村灂䡁䅉兢灂䝁䄴睚潂䝁䅅兢䅁䍁䩫䅁㡁䅁䅁村灂䡁䅉兢灂䝁䄴睚潂䝁䅅兢瑁䕁䅧睢療䡁䅙党祂䍁䅷䅉䉂䕁䅷䅉潁䕁䄰党あ䡁䅉睢灁䅁䅁䅌䅫䍁䅷䅁䍂䝁䅷兙牂䝁䅕䅉呂䡁䅑党㉂䝁䅕杢杁䕁䅉睢穂䡁䅑睤灂䝁䅍睡䅁䙁䱧䅁坁䅁䅁村獂䝁䄸睢瑂䝁䅙兡求䝁䅷䅚䅁䅁䩣䅁奁䅁䅁村獂䝁䄸睢瑂䝁䅫杢湂䡁䅑睢畂䅁䅁兌䅧䑁䅁䅁䍂䝁䅷睢療䝁䄰兡畂䝁䅣䅤療䝁䄴䅌杁䕁䅫䅔杁䍁䅧兔求䡁䅑杣療䍁䅫䅁獁䅃䅁材䅁䕁䅉䅢ㅂ䝁䅕䅉䑂䡁䅉睢穂䡁䅍䅉流䍁䅁村獂䡁䅕党杁䙁䅍䅡灂䝁䅕䅢歂䍁䅁睢浂䍁䅁兑䵂䅁䅁具䅷䝁䅑䅁䍂䝁䅷兤求䍁䅁睑祂䝁䄸督穂䍁䅁杊杁䕁䅉䅢ㅂ䝁䅕䅉呂䝁䅧兡求䝁䅷䅚杁䝁䄸杚杁䙁䅍睑杁䍁䅧睕佂䕁䅷䅉䥂䝁䅕兙獂䡁䅑䅡杁䕁䅣杣療䡁䅕䅣灁䅁䅁兹䅷䑁䅯䅁䍂䝁䅷兤求䍁䅁睑祂䝁䄸督穂䍁䅁村獂䡁䅕党杁䙁䅍䅡灂䝁䅕䅢歂䍁䅁睢浂䍁䅁兑慂䅁䅁儴䅷䙁䅁䅁䍂䝁䅷兤求䍁䅁睑祂䝁䄸督穂䍁䅁村獂䡁䅕党杁䙁䅍䅡灂䝁䅕䅢歂䍁䅁睢浂䍁䅁兑祂䝁䅫来療䝁䄴兙獁䍁䅁兓畂䝁䅍杌䅁佁䵁䅁杂䅁䅁村獂䡁䅕党杁䕁䅍杣療䡁䅍督杁䕁䅉䅢ㅂ䝁䅕䅉呂䝁䅧兡求䝁䅷䅚杁䝁䄸杚杁䕁䄰兓杁䍁䅧睕佂䕁䅷䅉䥂䝁䅕兙獂䡁䅑䅡杁䕁䅣杣療䡁䅕䅣灁䅁䅁䄷䅷䩁䄴䅁䍂䝁䅷兤求䍁䅁睑祂䝁䄸督穂䍁䅁村獂䡁䅕党杁䙁䅍䅡灂䝁䅕䅢歂䍁䅁睢浂䍁䅁兔灂䝁䅍䅡灂䝁䅣兙畂䍁䅁兔ㅂ䡁䅑兤桂䝁䅷䅉䩂䝁䄴督ㅂ䡁䅉兙畂䝁䅍党杁䕁䅍睢瑂䡁䅁兙畂䡁䅫䅉潁䙁䅍杔䵂䍁䅁䅓求䝁䅅䅢あ䝁䅧䅉䡂䡁䅉睢ㅂ䡁䅁克䅁佁䵳䅁䵂䅁䅁村獂䡁䅕党杁䕁䅍杣療䡁䅍督杁䝁䅅杢歂䍁䅁村獂䡁䅕党杁䙁䅍䅡灂䝁䅕䅢歂䍁䅁睢浂䍁䅁兑獂䝁䅅杙桂䝁䄰兙䅁䵁䵁䅁㑂䅁䅁村獂䡁䅕党杁䕁䅍杣療䡁䅍督杁䝁䅅杢歂䍁䅁村獂䡁䅕党杁䙁䅍䅡灂䝁䅕䅢歂䍁䅁睢浂䍁䅁睓桂䝁䄴督桂䡁䅍䅌杁䕁䅫杢橂䍁䄴䅉潁䙁䅍杔䵂䍁䅁䅔灂䝁䅙党杁䕁䅣杣療䡁䅕䅣灁䅁䅁杯䅷䥁䅯䅁䍂䝁䅷兤求䍁䅁睑祂䝁䄸督穂䍁䅁兙畂䝁䅑䅉䍂䝁䅷兤求䍁䅁睕潂䝁䅫党獂䝁䅑䅉療䝁䅙䅉乂䝁䅅督穂䝁䅅睙潂䡁䅕督求䡁䅑䅤穂䍁䅷䅉䩂䝁䄴睙畁䍁䅁䅋呂䕁䄴䅔杁䕁䅧党桂䝁䅷䅤潂䍁䅁睒祂䝁䄸兤睂䍁䅫䅁牃䅄䅁杤䅁䕁䅉䅢ㅂ䝁䅕䅉䑂䡁䅉睢穂䡁䅍䅉桂䝁䄴䅚杁䕁䅉䅢ㅂ䝁䅕䅉呂䝁䅧兡求䝁䅷䅚杁䝁䄸杚杁䕁䄰兡畂䝁䄴党穂䝁䄸䅤桂䍁䅁䅋呂䕁䄴䅔杁䕁䅧党桂䝁䅷䅤潂䍁䅁睒祂䝁䄸兤睂䍁䅫䅁坄䅄䅁䅧䅁䕁䅉䅢ㅂ䝁䅕䅉䑂䡁䅉睢穂䡁䅍䅉桂䝁䄴䅚杁䕁䅉䅢ㅂ䝁䅕䅉呂䝁䅧兡求䝁䅷䅚杁䝁䄸杚杁䙁䅍睢ㅂ䡁䅑䅡杁䕁䅍兙祂䝁䄸䅢灂䝁䄴兙杁䍁䅧睕佂䕁䅷䅉䥂䝁䅕兙獂䡁䅑䅡杁䕁䅣杣療䡁䅕䅣灁䅁䅁杹䅷䝁䅑䅁䍂䝁䅷兤求䕁䅍杣療䡁䅍督杁䕁䅉䅢ㅂ䝁䅕睕潂䝁䅫党獂䝁䅑䅉療䝁䅙䅉啂䕁䄴䅉䩂䝁䄴睙杁䍁䅧睕佂䕁䅷䅉䥂䝁䅕兙獂䡁䅑䅡杁䕁䅣杣療䡁䅕䅣灁䅁䅁朹䅷䡁䅙䅁䍂䝁䅷兤求䕁䅍杣療䡁䅍督杁䕁䅉䅢ㅂ䝁䅕睕潂䝁䅫党獂䝁䅑䅉療䝁䅙䅉啂䝁䅕杢畂䝁䅕督穂䝁䅕党獁䍁䅁兓畂䝁䅍杌杁䍁䅧睕佂䕁䅷䅉䥂䝁䅕兙獂䡁䅑䅡杁䕁䅣杣療䡁䅕䅣灁䅁䅁儹䅷䍁䅯䅁䍂䝁䄸杢歂䍁䅁睑潂䝁䅅杣桂䝁䅍䅤求䡁䅉兡穂䡁䅑兡橂䍁䅁䅁坃睂䅁杌䅁䕁䅉睢畂䝁䅑䅉䕂䝁䅕杚杁䕁䄰睑杁䕁䅍睢瑂䍁䅁兔䍂䍁䄸兑䍂䙁䅍䅁乂䅁䅁䅋䅁䕁䅉睢畂䝁䅑䅉䕂䝁䅕杚杁䕁䄰睑杁䙁䅉党穂䍁䅁兔䍂䙁䅍䅁扂䅁䅁杌䅁䕁䅉睢畂䝁䅑䅉偂䡁䅑䅡杁䕁䄰睑杁䕁䅍睢瑂䍁䅁兔䍂䍁䄸兑䍂䙁䅍䅁䉂䅁䅁䅋䅁䕁䅉睢畂䝁䅑䅉偂䡁䅑䅡杁䕁䄰睑杁䙁䅉党穂䍁䅁兔䍂䙁䅍䅁䑂䅁䅁杋䅁䕁䅉睢畂䝁䅑䅉呂䝁䄴睚獂䍁䅁睑獂䡁䅍䅉乂䕁䅉睌䉂䕁䅉睕䅁䙁䅣䅁奂䅁䅁村療䝁䄴䅚獁䍁䅁睑療䝁䄰兢求䡁䅉睙灂䝁䅅䅢杁䕁䄰睢祂䡁䅑睚桂䝁䅣党瑁䕁䅉兙橂䝁䅳党歂䍁䅁睕求䝁䅍兤祂䝁䅫䅤灂䝁䅕督䅁䝁䅍䅁祁䅁䅁村療䝁䄴䅚獁䍁䅁兓穂䡁䅍兤求䡁䅉䅉偂䝁䅉䅢灂䝁䅣兙あ䝁䅫睢畂䡁䅍䅁噂䅁䅁䅚䅁䕁䅉睢畂䝁䅑䅌杁䕁䄸䅤潂䝁䅕杣杁䕁䅷睢桂䝁䄴兌䍂䝁䅅睙牂䝁䅕䅚杁䝁䅅杢歂䍁䅁睕あ䡁䅉兤橂䡁䅑兤祂䝁䅕䅚杁䙁䅍党橂䡁䅕杣灂䡁䅑兡求䡁䅍䅁求䅁䅁杗䅁䕁䅉睢畂䝁䅑䅌杁䙁䅉党穂䝁䅫䅚求䝁䄴䅤灂䝁䅅䅢杁䕁䄰睢祂䡁䅑睚桂䝁䅣党瑁䕁䅉兙橂䝁䅳党歂䍁䅁睕求䝁䅍兤祂䝁䅫䅤灂䝁䅕督䅁䝁䅫䅁䵁䅁䅁村療䝁䄴䅚穂䅁䅁兒䅁䕁䅯䅁䍂䝁䄸杢歂䡁䅍杏杁䕁䅉睢畂䝁䅑督杁䙁䅉兙あ䝁䅕䅚杁䑁䅍䅉あ䝁䄸䅉㉁䍁䄸䅉䍂䝁䄸杢歂䡁䅍䅉潁䍁䅕克䅁䡁䡙䅁䅂䅁䅁村療䝁䄴䅚穂䑁䅯䅉䍂䝁䄸杢歂䡁䅍䅉卂䝁䅅䅤求䝁䅑䅉穁䍁䄰李癁䍁䅁睑流䙁䅍䅉潁䍁䅕克䅁䡁䡣䅁䅂䅁䅁村療䝁䄴䅚穂䑁䅯䅉䍂䝁䄸杢歂䡁䅍䅉卂䝁䅅䅤求䝁䅑䅉ㅁ䍁䄰李癁䍁䅁睑流䙁䅍䅉潁䍁䅕克䅁䡁䡷䅁奂䅁䅁村療䝁䄴䅚穂䑁䅯䅉兂䡁䅉兡㉂䝁䅅䅤求䑁䅯䅉䩂䝁䄴杤求䡁䅍䅤瑂䝁䅕杢あ䍁䅁杖桂䝁䅷兤求䍁䅁䅤療䍁䅁睑流䙁䅍䅉潁䍁䅕克䅁䡁䡕䅁歂䅁䅁村療䝁䄴䅚穂䑁䅯䅉兂䡁䅉兡㉂䝁䅅䅤求䑁䅯䅉䩂䝁䄴杤求䡁䅍䅤瑂䝁䅕杢あ䍁䅁杖桂䝁䅷兤求䍁䄸䅉啂䝁䄸䅤桂䝁䅷䅉䍂䝁䄸杢歂䡁䅍䅉潁䍁䅕克䅁䡁䡑䅁㙂䅁䅁村療䝁䄴䅚穂䑁䅯䅉塂䝁䅕兡湂䝁䅧䅤求䝁䅑䅉䉂䡁䅙睚杁䙁䅉兙あ䝁䅫杢湂䡁䅍䅉楂䡁䅫䅉䍂䝁䄸杢歂䍁䅁睑潂䝁䅅杣桂䝁䅍䅤求䡁䅉兡穂䡁䅑兡橂䡁䅍䅉潁䝁䅅睙あ䡁䅕兙獂䍁䅫䅁㝂睂䅁杇䅁䕁䅉睢畂䝁䅑督䡂䝁䅕杢求䡁䅉兙獂䅁䅁睰䅣䅁䄴䅁䍂䝁䄸督あ䝁䄸杢䅁乁䨸䅁奂䅁䅁村療䡁䅍䅤療䝁䄴䅉乂䡁䅕䅤ㅂ䝁䅅䅢杁䕁䅷兡浂䝁䅕䅉䩂䝁䄴督杁䕁䅍睢畁䍁䅁䅋呂䕁䄴䅔杁䕁䅷兡浂䝁䅕䅉䡂䡁䅉睢ㅂ䡁䅁克䅁偁䴸䅁獂䅁䅁村療䡁䅍䅤療䝁䄴䅉乂䡁䅕䅤ㅂ䝁䅅䅢杁䕁䅷兡浂䝁䅕䅉䩂䝁䄴督ㅂ䡁䅉兙畂䝁䅍党杁䕁䅍睢瑂䡁䅁兙畂䡁䅫䅉潁䙁䅍杔䵂䍁䅁䅔灂䝁䅙党杁䕁䅣杣療䡁䅕䅣灁䅁䅁䅁䄰䕁䄴䅁䍂䝁䄸督あ䝁䄸杢瑁䕁䅍兙瑂䝁䅉杣灂䝁䅑睚求䍁䄰杔求䡁䅣䅤療䝁䄴䅌杁䕁䄰兑瑁䕁䄴䅓杁䍁䅧兔求䡁䅑杣療䍁䅫䅁楄元䅁杋䅁䕁䅉杣桂䝁䅑䅉乂䝁䅫睙潂䝁䅅党獂䍁䅁村求䝁䄴杢求䡁䅑䅤䅁䡁乙䅁祁䅁䅁村祂䝁䅅䅚浂䝁䄸杣歂䍁䅁兑穂䝁䅧䅢求䡁䅫䅉兂䝁䅧兡獂䝁䅷兡睂䡁䅍䅁扂䅅䅁杌䅁䕁䅉杣桂䝁䅑䅢求䡁䅫䅉䭂䝁䄸督求䡁䅁䅡杁䕁䅧兤畂䝁䅳䅢求䡁䅉䅁䑂睃䅁䅇䅁䕁䅉杣桂䝁䄴睙潂䡁䅙兡獂䝁䅷党䅁乁卧䅁睁䅁䅁村祂䝁䅕杢歂䝁䅅䅉䙂䝁䅷兡㙂䝁䅅䅉卂䝁䅫睙潂䝁䅅杣歂䡁䅍睢畂䅁䅁䄳䄰䉁䅑䅁䍂䡁䅉党畂䡁䅑睤療䝁䄸䅚䅁䑁呫䅁歁䅁䅁村祂䝁䅫兙畂䍁䅁兑畂䝁䅑杣求䡁䅣䅉䱂䝁䅅杢求䅁䅁睹䄸䍁䅙䅁䍂䡁䅉兡桂䝁䄴䅉䕂䝁䅅杤灂䝁䅑䅉呂䝁䅕䅤㙂䝁䅕杣䅁䥁偁䅁歁䅁䅁村祂䝁䅫兙畂䍁䅁䅒桂䡁䅙兡歂䍁䅁兗療䡁䅕杢湂䅁䅁兖䅫䍁䅙䅁䍂䡁䅉兡桂䝁䄴䅉䭂䝁䄸督求䡁䅁䅡杁䕁䅧睢湂䝁䅅杢䅁䙁剣䅁歁䅁䅁村祂䝁䅫兙畂䍁䅁兔桂䡁䅉睡杁䙁䅁杣灂䝁䅉入獂䅁䅁桙䅅䍁䅷䅁䍂䡁䅉兡桂䝁䄴䅉塂䝁䅅䅚求䍁䅁兔灂䝁䅷䅢求䡁䅉䅉䭂䡁䅉杌䅁乁呯䅁獁䅁䅁村祂䝁䅫兙畂䍁䅁睖灂䝁䅷䅢灂䝁䅅兢杁䕁䄰兙橂䕁䅷党桂䝁䄴䅁䱃杂䅁杖䅁䕁䅉杣灂䝁䅍睡呂䡁䅑杣求䝁䅕䅤杁䕁䄰兤あ䡁䅕兙獂䍁䅁兓畂䡁䅍䅉䑂䝁䄸杌杁䍁䅧睕佂䕁䅷䅉兂䍁䅙睑杁䕁䅣杣療䡁䅕䅣灁䅁䅁元䄰䝁䅯䅁䍂䡁䅉兡橂䝁䅳睕あ䡁䅉党求䡁䅑䅉乂䡁䅕䅤ㅂ䝁䅅䅢杁䕁䅫杢穂䡁䅕杣桂䝁䄴睙求䍁䅁睑療䝁䄰䅣桂䝁䄴入杁䍁䅧睕佂䕁䅷䅉兂䍁䅙睑杁䕁䅣杣療䡁䅕䅣灁䅁䅁权䄰䙁䅁䅁䍂䡁䅉兡歂䝁䅣党睂䝁䄸杣あ䍁䄰睕あ䝁䅅兢浂䝁䄸杣歂䍁䄰杔療䡁䅉睤桂䝁䅷睡獁䍁䅁睑啂䍁䅁䅋乂䝁䅕䅤祂䝁䄸克䅁䙁䩍䅁佁䅁䅁村祂䝁䄸睡求䡁䅉䅁⭁睄䅁䅴䅁䕁䅉杣療䝁䅳党祂䍁䅷䅉䑂䝁䅅䅣あ䝁䅫杤求䍁䄸睑桂䡁䅉党求䡁䅉䅉䉂䝁䅣党畂䝁䅍入獁䍁䅁䅒灂䡁䅉党橂䡁䅑䅉卂䝁䅕督睂䝁䄸杢穂䝁䅕䅌杁䕁䅙兡畂䝁䅅杢橂䝁䅫兙獂䍁䅁兓畂䡁䅍䅤灂䡁䅑兤あ䝁䅫睢畂䍁䅷䅉䩂䝁䄴䅚求䡁䅁党畂䝁䅑党畂䡁䅑䅉䉂䝁䅣党畂䝁䅍入䅁䭁卙䅁佄䅁䅁村祂䝁䄸睡求䡁䅉䅌杁䕁䅍兙睂䡁䅑兡㉂䝁䅕睌䑂䝁䅅杣求䝁䅕杣杁䕁䅅睚求䝁䄴睙㕂䍁䅷䅉䕂䝁䅫杣求䝁䅍䅤杁䙁䅉党穂䡁䅁睢畂䡁䅍党獁䍁䅁睒求䝁䄴党祂䝁䅅䅢杁䕁䅅睚畂䡁䅑睌乂䝁䅅杢桂䝁䅣兡畂䝁䅣䅉䡂䝁䅕杢求䡁䅉兙獂䍁䅁兑湂䝁䄴䅤獁䍁䅁兓畂䝁䅑党睂䝁䅕杢歂䝁䅕杢あ䍁䅁兑湂䝁䅕杢橂䡁䅫䅁偄杅䅁䅍䅁䕁䅉杣療䝁䅳党祂䍁䅷䅉䕂䝁䅫杣求䝁䅍䅤杁䙁䅉党穂䡁䅁睢畂䡁䅍党䅁䩁兯䅁㑂䅁䅁村祂䝁䄸睡求䡁䅉䅌杁䕁䅑兡祂䝁䅕睙あ䍁䅁杕求䡁䅍䅣療䝁䄴督求䍁䅷䅉䡂䝁䅕杢求䡁䅉兙獂䍁䅁兑湂䝁䄴䅤癁䕁䄰兙畂䝁䅅睚灂䝁䄴睚杁䕁䅣党畂䝁䅕杣桂䝁䅷䅉䉂䝁䅣杢あ䅁䅁刴䅍䙁䅧䅁䍂䡁䅉睢牂䝁䅕杣獁䍁䅁䅒灂䡁䅉党橂䡁䅑䅉卂䝁䅕督睂䝁䄸杢穂䝁䅕䅌杁䕁䅫杢歂䝁䅕䅣求䝁䄴䅚求䝁䄴䅤杁䕁䅅睚求䝁䄴睙㕂䅁䅁䄳䅫䭁䅷䅁䍂䡁䅉睢牂䝁䅕杣獁䍁䅁杒灂䝁䄴兙畂䝁䅍兡桂䝁䅷䅉䩂䝁䄴督あ䝁䅫䅤ㅂ䡁䅑兡療䝁䄴䅌杁䕁䅣党畂䝁䅕杣桂䝁䅷䅉䉂䝁䅣杢あ䍁䄸兔桂䝁䄴兙湂䝁䅫杢湂䍁䅁睒求䝁䄴党祂䝁䅅䅢杁䕁䅅睚畂䡁䅑䅌杁䕁䅫杢歂䝁䅕䅣求䝁䄴䅚求䝁䄴䅤杁䕁䅅睚求䝁䄴睙㕂䅁䅁兵䅙䙁䅙䅁䍂䡁䅉睢牂䝁䅕杣獁䍁䅁睒求䝁䄴党祂䝁䅅䅢杁䕁䅅睚畂䡁䅑睌乂䝁䅅杢桂䝁䅣兡畂䝁䅣䅉䡂䝁䅕杢求䡁䅉兙獂䍁䅁兑湂䝁䄴䅤䅁䱁䰸䅁⭂䅁䅁村祂䝁䄸睡求䡁䅉䅌杁䕁䅣党畂䝁䅕杣桂䝁䅷䅉䉂䝁䅣杢あ䍁䄸兔桂䝁䄴兙湂䝁䅫杢湂䍁䅁睒求䝁䄴党祂䝁䅅䅢杁䕁䅅睚畂䡁䅑䅌杁䕁䅫杢歂䝁䅕䅣求䝁䄴䅚求䝁䄴䅤杁䕁䅅睚求䝁䄴睙㕂䅁䅁儷䄸䑁䅙䅁䍂䡁䅉睢牂䝁䅕杣獁䍁䅁兓畂䝁䅑党睂䝁䅕杢歂䝁䅕杢あ䍁䅁兑湂䝁䅕杢橂䡁䅫䅁畃权䅁杈䅁䕁䅉杣ㅂ䝁䅍党杁䕁䅅杌杁䙁䅍兙穂䡁䅍兡䅁䩁剣䅁煁䅁䅁村祂䡁䅕睙求䍁䅁䅒桂䝁䅷党杁䕁䅉杣療䡁䅕督穂䝁䅅杣歂䅁䅁杹䄸䍁䅑䅁䍂䡁䅉兤橂䝁䅕䅉䡂䡁䅕杢畂䍁䅁睓求䝁䅷䅢求䡁䅫䅁㝁杄䅁杊䅁䕁䅉杣ㅂ䝁䅍党杁䙁䅣兙獂䡁䅑党祂䍁䅁村療䡁䅫党桂䅁䅁砰䅉䑁䅁䅁䍂䡁䅉入桂䝁䄴䅉卂䝁䄸杙求䡁䅉䅤杁䕁䅍兙瑂䝁䅕杣獂䝁䅫杢橂䝁䅳䅁㡂䅅䅁䅇䅁䕁䅉兤灂䝁䅷䅚灂䝁䄴睚杁䑁䅅䅎䅁䥁具䅁慁䅁䅁村ㅂ䝁䅫䅢歂䝁䅫杢湂䍁䅁睔畂䝁䅕䅁䥁杅䅁杆䅁䕁䅉兤祂䝁䅷兡畂䝁䅣䅤療䝁䄴䅁䱁䅅䅁䅕䅁䕁䅉兤祂䝁䅷兡畂䝁䅣䅤療䝁䄴兌呂䝁䄸兤あ䝁䅧䅉䍂䡁䅕杣獂䝁䅫杢湂䡁䅑睢畂䍁䅷䅉坂䙁䅑䅉潁䕁䄰党あ䡁䅉睢灁䅁䅁䉃䅁䑁䅉䅁䑂䍁䄴䅉乂䝁䅫睙潂䝁䅅党獂䍁䅁䅒桂䡁䅙兡歂䍁䅁杕ㅂ䝁䄰杙療䝁䅷来䅁䑁位䅁䭁䅁䅁睑硁䑁䅁免䅁䅁䅅䅁䭁䅁䅁睑硁䑁䅁杍䅁䱁䝅䅁䭁䅁䅁睑硁䑁䅁睍䅁䩁䝅䅁䭁䅁䅁睑硁䑁䅁䅎䅁䩁䝕䅁䵁䅁䅁睑硁䑁䅁李㑁䅁䅁桦䅁䅁䅷䅁䑂䑁䅅睍㉁䑁䅫䅁䵃充䅁䅄䅁䕁䅍免㉁䑁䅑免䅁䩁单䅁䵁䅁䅁睑硁䑁䅣䅎㑁䅁䅁桍䅍䅁䅷䅁䑂䑁䅅睎㑁䑁䅣䅁瑂睅䅁䅄䅁䕁䅍免㑁䑁䅁免䅁䥁呍䅁䵁䅁䅁睑硁䑁䅫睍ぁ䅁䅁硡䅉䅁䅷䅁䑂䑁䅅兏㍁䑁䅅䅁捄睅䅁䅄䅁䕁䅍免㕁䑁䅫李䅁偁吴䅁䵁䅁䅁睑祁䑁䅁睎ぁ䅁䅁䅥䅳䅁䅷䅁䑂䑁䅉䅍㕁䑁䅕䅁䝄睃䅁䅄䅁䕁䅍杍硁䑁䅁杍䅁䥁卧䅁䵁䅁䅁睑祁䑁䅅䅎祁䅁䅁砳䅉䅁䅷䅁䑂䑁䅉免ㅁ䑁䅅䅁䙁䅄䅁䅄䅁䕁䅍杍硁䑁䅣睍䅁䥁䵑䅁䵁䅁䅁睑祁䑁䅅睎㉁䅁䅁睫䅷䅁䅷䅁䑂䑁䅉杍祁䑁䅙䅁婂兄䅁䅄䅁䕁䅍杍祁䑁䅑䅎䅁䩁乍䅁䵁䅁䅁睑祁䑁䅉䅏㑁䅁䅁免䅫䅁䅷䅁䑂䑁䅉睍ぁ䑁䅁䅁䑃杄䅁䅄䅁䕁䅍杍穁䑁䅑䅏䅁䭁佣䅁䵁䅁䅁睑祁䑁䅑免ぁ䅁䅁䄹䄴䅁䅷䅁䑂䑁䅉䅎ㅁ䑁䅉䅁䍄杅䅁䅄䅁䕁䅍杍ぁ䑁䅙䅎䅁䝁倰䅁䵁䅁䅁睑祁䑁䅑李㕁䅁䅁杬䄸䅁䅷䅁䑂䑁䅉䅎㑁䑁䅁䅁歄睄䅁䅄䅁䕁䅍杍ㅁ䑁䅉睎䅁乁䩧䅁䵁䅁䅁睑祁䑁䅕䅎穁䅁䅁剓䅍䅁䅷䅁䑂䑁䅉兎ぁ䑁䅑䅁捂䅅䅁䅄䅁䕁䅍杍ㅁ䑁䅑睎䅁䝁兣䅁䵁䅁䅁睑祁䑁䅕兎ㅁ䅁䅁䉥䅍䅁䅷䅁䑂䑁䅉李硁䑁䅫䅁硁充䅁䅄䅁䕁䅍杍㉁䑁䅉免䅁䑁剷䅁䵁䅁䅁睑祁䑁䅙兏㍁䅁䅁栲䅅䅁䅷䅁䑂䑁䅉睎ぁ䑁䅫䅁㉁睄䅁䅄䅁䕁䅍杍㍁䑁䅣䅎䅁䭁卉䅁䵁䅁䅁睑祁䑁䅣䅏穁䅁䅁桹䅉䅁䅷䅁䑂䑁䅉睎㕁䑁䅑䅁㑄杅䅁䅄䅁䕁䅍杍㑁䑁䅁免䅁䩁䭙䅁䵁䅁䅁睑祁䑁䅧兏穁䅁䅁桶䅍䅁䅷䅁䑂䑁䅉兏㑁䑁䅉䅁求䅄䅁䅄䅁䕁䅍杍㕁䑁䅧睍䅁乁光䅁䵁䅁䅁睑穁䑁䅁杍硁䅁䅁杕䄴䅁䅷䅁䑂䑁䅍䅍祁䑁䅍䅁婂充䅁䅄䅁䕁䅍睍睁䑁䅍杍䅁䱁余䅁䵁䅁䅁睑穁䑁䅁兎穁䅁䅁兗䅳䅁䅷䅁䑂䑁䅍䅍㕁䑁䅍䅁瑂杄䅁䅄䅁䕁䅍睍㉁䑁䅍李䅁乁䴸䅁䵁䅁䅁睑穁䑁䅙䅏ぁ䅁䅁睶䅷䅁䅷䅁䑂䑁䅍睎硁䑁䅁䅁啃䅅䅁䅄䅁䕁䅍䅎穁䑁䅁䅎䅁䅁兑䅁䭁䅁䅁睑ㅁ䑁䅙李䅁䉁佅䅁䵁䅁䅁睑㍁䑁䅑兏㕁䅁䅁栶䅅䅁䅷䅁䑂䑁䅣兎睁䑁䅅䅁歃权䅁䅄䅁䕁䅍睎ㅁ䑁䅅兎䅁䝁义䅁䵁䅁䅁睑㍁䑁䅕兏㑁䅁䅁硐䅍䅁䅧䅁䑂䑁䅣李䅁䱁䱯䅁䵁䅁䅁睑㍁䑁䅙䅎ぁ䅁䅁关䄰䅁䅷䅁䑂䑁䅣睎㍁䑁䅁䅁䱂杅䅁权䅁䕁䅍䅏㍁䑁䅕䅁ㅃ睄䅁权䅁䕁䅍兏睁䑁䅁䅁牄䅅䅁杂䅁䕁䅍兑䅁䙁䨸䅁䍂䅁䅁睑䉂䕁䅷䅉卂䝁䅫督牂䍁䅁村桂䡁䅍党歂䍁䅁睑桂䡁䅁兡あ䝁䅅䅢杁䙁䅉兙あ䝁䅫睢杁䍁䅧兊灁䅁䅁睌䅣䅁䅧䅁䑂䕁䅕睔䅁䑁䝣䅁䥁䅁䅁睑䝂䕁䄸䅁䍂杂䅁䅃䅁䕁䅍䅓卂䅁䅁児䅙䉁䅙䅁䑂䕁䄴兑杁䕁䅍党畂䡁䅑党祂䅁䅁䅅䅫䕁䅧䅁䑂䕁䄴兑杁䕁䅙兡畂䝁䅅杢橂䝁䅫兙獂䍁䅁睑療䡁䅉䅣畁䍁䅁䅋呂䕁䄴䅔杁䙁䅁杊䑂䍁䅁睒祂䝁䄸兤睂䍁䅫䅁乁元䅁䅖䅁䕁䅍杔䉂䍁䅁杒灂䝁䄴兙畂䝁䅍兡桂䝁䅷䅉䑂䝁䄸杣睂䝁䄸杣桂䡁䅑兡療䝁䄴䅉潁䙁䅍杔䵂䍁䅁䅕流䕁䅍䅉䡂䡁䅉睢ㅂ䡁䅁克䅁䅁䨴䅁啂䅁䅁睑佂䕁䄸䅉䝂䝁䅫杢桂䝁䄴睙灂䝁䅅䅢杁䕁䅣杣療䡁䅕䅣杁䕁䅫杢橂䍁䄴䅉潁䙁䅍杔䵂䍁䅁䅔灂䝁䅙党杁䕁䅣杣療䡁䅕䅣灁䅁䅁兇䅫䙁䅙䅁䑂䕁䄴睔杁䕁䅙兡畂䝁䅅杢橂䝁䅫兙獂䍁䅁睒祂䝁䄸兤睂䍁䅷䅉䩂䝁䄴睙畁䍁䅁䅋呂䕁䄴䅔杁䕁䅷兡浂䝁䅕䅉䡂䡁䅉睢ㅂ䡁䅁克䅁䉁䩧䅁䝁䅁䅁睑偂䅁䅁杰䅫䕁䅙䅁䑂䕁䄸兖佂䙁䅑杕婂䍁䅁杒灂䝁䄴兙畂䝁䅍兡桂䝁䅷䅉潁䙁䅍杔䵂䍁䅁䅔灂䝁䅙党杁䕁䅣杣療䡁䅕䅣灁䅁䅁睸䄰䕁䅑䅁䑂䕁䄸兖佂䙁䅑杕婂䍁䅁杒灂䝁䄴兙畂䝁䅍兡桂䝁䅷䅉潁䙁䅍杔䵂䍁䅁䅕流䕁䅍䅉䡂䡁䅉睢ㅂ䡁䅁克䅁乁乁䅁兂䅁䅁睑呂䕁䅅兑杁䕁䅫杢穂䡁䅕杣桂䝁䄴睙求䍁䅁兒㑂䝁䅍䅡桂䝁䄴睚求䍁䅁䅋呂䕁䄴䅔杁䙁䅁杊䑂䍁䅁睒祂䝁䄸兤睂䍁䅫䅁敄兄䅁杂䅁䕁䅍䅖䅁䙁䉳䅁慂䅁䅁睑噂䕁䄴兑杁䕁䄰兤あ䡁䅕兙獂䍁䅁兓畂䡁䅍兤祂䝁䅅杢橂䝁䅕䅉䡂䡁䅉睢ㅂ䡁䅁䅉潁䙁䅍杔䵂䍁䅁䅔灂䝁䅙党杁䕁䅣杣療䡁䅕䅣灁䅁䅁眵䄰䙁䅧䅁䑂䙁䅕杔䉂䍁䅁兔ㅂ䡁䅑兤桂䝁䅷䅉䩂䝁䄴督ㅂ䡁䅉兙畂䝁䅍党杁䕁䅣杣療䡁䅕䅣杁䍁䅧睕佂䕁䅷䅉兂䍁䅙睑杁䕁䅣杣療䡁䅕䅣灁䅁䅁䄸䄰䅁䄴䅁䑂䙁䅕睕䩂䙁䅁䅉䅁䥁䡕䅁煁䅁䅁睑噂䙁䅍兓兂䍁䅁䅋䉂䡁䅍䅉卂䝁䅕䅣療䡁䅉䅤求䝁䅑克杁䅁䅁杫䅣䝁䅑䅁䑂䙁䅫䅉䕂䝁䅕䅣祂䝁䅕睙灂䝁䅅䅤灂䝁䄸杢杁䝁䄸杣杁䕁䅅兢療䡁䅉䅤灂䡁䅯兙あ䝁䅫睢畂䍁䅷䅉䉂䝁䅍睙祂䝁䅕䅤灂䝁䄸杢杁䍁䅧䅊睁䑁䅁䅍灁䅁䅁睧䅅䙁䅷䅁䑂䝁䅅䅢橂䡁䅕䅢桂䡁䅑党歂䍁䅁睑潂䝁䅅杢湂䝁䅕䅉灂䝁䄴䅉噂䝁䄴党桂䡁䅉杢求䝁䅑䅉兂䡁䅉党瑂䝁䅫兤瑂䡁䅍䅉潁䍁䅑䅍睁䑁䅁克䅁䙁䠴䅁畁䅁䅁睑桂䝁䅷䅢杁䕁䅑兙あ䝁䅕䅉潁䝁䄰兢癁䝁䅑䅚癁䡁䅫入㕂䡁䅫克䅁䥁䠴䅁敁䅁䅁睑桂䝁䅷䅢杁䙁䅁杣灂䝁䅍党杁䍁䅧䅊灁䅁䅁兯䅣䝁䅁䅁䑂䝁䅅杢桂䝁䅑兙杁䙁䅁党畂䡁䅍兡療䝁䄴䅉兂䝁䅷兙畂䍁䅁兓畂䡁䅙党穂䡁䅑兢求䝁䄴䅤杁䍁䅧睕佂䕁䅷䅉䵂䝁䅫杚求䍁䅁睒祂䝁䄸兤睂䍁䅫䅁奁兄䅁䅢䅁䕁䅍兙畂䝁䅅䅚桂䍁䅁䅕求䝁䄴督灂䝁䄸杢杁䙁䅁䅢桂䝁䄴䅉䩂䝁䄴杤求䡁䅍䅤瑂䝁䅕杢あ䍁䅁村療䝁䅅杣歂䍁䅁䅋呂䕁䄴䅔杁䕁䅷兡浂䝁䅕䅉䡂䡁䅉睢ㅂ䡁䅁克䅁䉁乣䅁佁䅁䅁睑桂䝁䄴䅤療䝁䄴䅁䕁兄䅁杓䅁䕁䅍兙睂䝁䅫䅤桂䝁䅷䅉流䍁䅁睕ㅂ䡁䅉䅣獂䡁䅕督杁䕁䅙兡㉂䝁䅕兌㕂䝁䅕兙祂䍁䅁睑䉂䕁䅣杕杁䍁䅧兊灁䅁䅁睈䅣䕁䅷䅁䑂䝁䅅䅣灂䡁䅑兙獂䍁䅁村獂䡁䅕党杁䕁䅍杣療䡁䅍督杁䍁䅧睕佂䕁䅷䅉䥂䝁䅕兙獂䡁䅑䅡杁䕁䅣杣療䡁䅕䅣灁䅁䅁杉䄰䑁䅁䅁䑂䝁䅅䅣灂䡁䅑兙獂䍁䅁睕あ䡁䅉兤橂䡁䅑兤祂䝁䅕䅉啂䡁䅫䅣求䍁䅁䅁偃睂䅁杓䅁䕁䅍兙睂䝁䅫䅤桂䝁䅷兡㙂䝁䅕䅚杁䕁䅑党浂䝁䅕杣祂䝁䅕䅚杁䕁䅫杢あ䝁䅕杣求䡁䅍䅤杁䍁䅧䅊睁䑁䅁䅍灁䅁䅁睪䅅䍁䅷䅁䑂䝁䅅䅣あ䝁䅫杤求䍁䄸睑桂䡁䅉党求䡁䅉䅉䉂䝁䅣党畂䝁䅍入䅁䭁估䅁㉂䅁䅁睑桂䡁䅁䅤灂䡁䅙党癁䕁䅍兙祂䝁䅕党祂䍁䅁兑湂䝁䅕杢橂䡁䅫䅌杁䕁䅑兡祂䝁䅕睙あ䍁䅁杕求䡁䅍䅣療䝁䄴督求䍁䅷䅉䩂䝁䄴䅚求䡁䅁党畂䝁䅑党畂䡁䅑䅉䉂䝁䅣党畂䝁䅍入䅁䵁䱯䅁捃䅁䅁睑桂䡁䅁䅤灂䡁䅙党癁䕁䅍兙祂䝁䅕党祂䍁䅁兑湂䝁䅕杢橂䡁䅫䅌杁䕁䅣党畂䝁䅕杣桂䝁䅷䅉䉂䝁䅣杢あ䍁䄸兔桂䝁䄴兙湂䝁䅫杢湂䍁䅁睒求䝁䄴党祂䝁䅅䅢杁䕁䅅睚畂䡁䅑䅌杁䕁䅫杢歂䝁䅕䅣求䝁䄴䅚求䝁䄴䅤杁䕁䅅睚求䝁䄴睙㕂䅁䅁杭䅷䙁䅑䅁䑂䝁䅅䅣あ䝁䅫杤求䍁䄸睑桂䡁䅉党求䡁䅉䅉䉂䝁䅣党畂䝁䅍入獁䍁䅁兓畂䝁䅑党睂䝁䅕杢歂䝁䅕杢あ䍁䅁兑湂䝁䅕杢橂䡁䅫䅁扃杂䅁䅒䅁䕁䅍兙祂䝁䅕杒灂䡁䅉督あ䍁䅁</t>
  </si>
  <si>
    <t>兓畂䝁䅍杌杁䍁䅧睕佂䕁䅷䅉䥂䝁䅕兙獂䡁䅑䅡杁䕁䅣杣療䡁䅕䅣灁䅁䅁兌䄰䕁䅙䅁䑂䝁䅅杣求䕁䅙兡祂䡁䅍䅤獁䍁䅁兓畂䝁䅍杌杁䍁䅧睕佂䕁䅷䅉䥂䝁䅕兙獂䡁䅑䅡杁䕁䅣杣療䡁䅕䅣灁䅁䅁杌䄰䝁䄴䅁䑂䝁䅅杣求䙁䅍睢ㅂ䡁䅉睙求䍁䅁兔桂䝁䄴兙湂䝁䅕兢求䝁䄴䅤杁䕁䅣杣療䡁䅕䅣杁䕁䅍睢瑂䡁䅁兙畂䡁䅫䅉潁䙁䅍杔䵂䍁䅁䅓求䝁䅅䅢あ䝁䅧䅉䡂䡁䅉睢ㅂ䡁䅁克䅁䑁乣䅁慂䅁䅁睑桂䡁䅉党呂䝁䄸兤祂䝁䅍党杁䕁䄰睚瑂䡁䅑䅉䡂䡁䅉睢ㅂ䡁䅁䅉䑂䝁䄸杌杁䍁䅧睕佂䕁䅷䅉䥂䝁䅕兙獂䡁䅑䅡杁䕁䅣杣療䡁䅕䅣灁䅁䅁䅏䄰䙁䅷䅁䑂䝁䅅杣獂䍁䅁䅓求䝁䄴杣㕂䍁䅁䅔灂䝁䄴䅚畂䝁䅕杣杁䕁䅫兓䩂䍁䅷䅉呂䡁䅑党睂䝁䅧党畂䍁䅁睑祂䝁䅅兡湂䍁䅁䅔灂䝁䄴䅚畂䝁䅕杣䅁䩁䤸䅁獁䅁䅁睑桂䡁䅉䅢杁䕁䅯睢穂䝁䅕䅣潂䍁䅁村求䝁䅑杢桂䡁䅉督牂䝁䅫䅁䱃杄䅁杌䅁䕁䅍兙祂䝁䅷睢穂䍁䅁杒求䡁䅉杢桂䝁䄴䅚療䍁䅁兔灂䝁䅍睡桂䝁䄴䅁䍄充䅁杄䅁䕁䅍兙祂䝁䄰党獂䅁䅁䅈䅫䍁䅷䅁䑂䝁䅅杣祂䡁䅫兡畂䝁䅣䅉坂䝁䅅䅢ㅂ䝁䅕䅉潁䍁䅑䅍睁䑁䅁克䅁䡁䡁䅁啂䅁䅁睑桂䡁䅉杣㕂䝁䅫杢湂䍁䅁杖桂䝁䅷兤求䍁䅁杔求䡁䅑䅉療䝁䅙䅉䙂䝁䄴睙ㅂ䝁䄰杙祂䝁䅅杢橂䝁䅕督杁䍁䅧䅊睁䑁䅁䅍灁䅁䅁兮䅅䕁䄴䅁䑂䝁䅅督潂䍁䅁杊杁䙁䅍䅡療䡁䅉䅤瑁䙁䅑党祂䝁䄰䅉䩂䝁䄴杤求䡁䅍䅤瑂䝁䅕杢あ䡁䅍睌杁䕁䅍杊呂䍁䅁䅋汁䍁䅫䅁䕁睂䅁杘䅁䕁䅍兙穂䝁䅧䅉流䍁䅁睕潂䝁䄸杣あ䍁䄰䅖求䡁䅉兢杁䕁䅫杢㉂䝁䅕督あ䝁䄰党畂䡁䅑督癁䍁䅁䅔灂䝁䅅杙灂䝁䅷兡あ䝁䅫党穂䍁䅁䅋汁䍁䅫䅁䑁睂䅁杘䅁䕁䅍兙穂䝁䅧䅉䝂䝁䅷睢㍂䑁䅯䅉䍂䝁䅕杢求䝁䅙兡あ䍁䅁杊杁䕁䅷睢穂䡁䅍䅉卂䝁䅕䅢桂䡁䅑党歂䍁䅁䅕㕂䝁䄰䅤穂䍁䅁䅋歁䑁䅁䅍睁䍁䅫䅁㕄杂䅁䅚䅁䕁䅍兙穂䝁䅧䅉䝂䝁䅷睢㍂䑁䅯䅉䕂䝁䅫杤灂䝁䅑党畂䝁䅑督杁䙁䅁兙灂䝁䅑䅉あ䝁䄸䅉兂䝁䄸䅢灂䝁䅍入潂䝁䄸䅢歂䝁䅕杣穂䍁䅁䅋歁䑁䅁䅍睁䍁䅫䅁䭁睂䅁䅖䅁䕁䅍兙穂䝁䅧䅉䝂䝁䅷睢㍂䑁䅯䅉䙂䡁䅧䅣杁䍁䅙䅉塂䕁䅫䅉䝂䝁䄸杣杁䕁䅑党歂䡁䅕睙あ䝁䅫睢畂䡁䅍䅉潁䍁䅑䅍睁䑁䅁克䅁偁䝕䅁睂䅁䅁睑桂䡁䅍䅡杁䕁䅙䅢療䡁䅣杏杁䕁䅫杢橂䝁䄸兢求䍁䅁䅖桂䡁䅧党穂䍁䅁兒㑂䝁䅍䅢杁䕁䅍兙睂䝁䅫䅤桂䝁䅷䅉䡂䝁䅅兡畂䡁䅍䅉啂䝁䅅䅥求䡁䅍䅉潁䍁䅑䅍睁䑁䅁克䅁偁䝙䅁睂䅁䅁睑桂䡁䅍䅡杁䕁䅙䅢療䡁䅣杏杁䙁䅁杣求䝁䄰兡ㅂ䝁䄰督杁䕁䅍睢獂䝁䅷党橂䡁䅑党歂䍁䅁杔求䡁䅑䅉療䝁䅙䅉卂䝁䅕兡畂䡁䅍兤祂䝁䅅杢橂䝁䅕䅉潁䍁䅑䅍睁䑁䅁克䅁偁䝣䅁㑁䅁䅁睑桂䡁䅍䅡杁䕁䅙杣療䝁䄰䅉偂䡁䅁党祂䝁䅅䅤灂䝁䄸杢穂䍁䅁䅋歁䑁䅁䅍睁䍁䅫䅁䩁睂䅁杇䅁䕁䅍党歂䝁䅅杣杁䙁䅉兙睂䝁䅫䅚穂䅁䅁兖䅳䑁䅉䅁䑂䝁䅕䅚桂䡁䅉䅉卂䝁䅅䅣灂䝁䅑督獁䍁䅁兓䉂䍁䅁䅋乂䝁䅕䅤祂䝁䄸克䅁䙁䱙䅁䭂䅁䅁睑求䝁䅑党歂䍁䅁兒桂䡁䅉杢杁䙁䅁杣求䝁䄰睌杁䕁䅣杣療䡁䅍督杁䕁䅕兙祂䝁䄴䅉兂䡁䅉党瑂䍁䅁䅋汁䍁䅫䅁䑄䅆䅁村䅁䕁䅍党畂䡁䅑党畂䝁䅕䅉䑂䝁䄸杣睂䍁䄴䅉潁䙁䅍杔䵂䍁䅁䅓求䝁䅅䅢あ䝁䅧䅉䡂䡁䅉睢ㅂ䡁䅁克䅁䕁乑䅁佂䅁䅁睑求䝁䄴䅤求䝁䄴党杁䕁䅍睢祂䡁䅁睢祂䝁䅅䅤灂䝁䄸杢杁䍁䅧睕佂䕁䅷䅉䥂䝁䅕兙獂䡁䅑䅡杁䕁䅣杣療䡁䅕䅣灁䅁䅁兒䄰䉁䅷䅁䑂䝁䅕杢あ䝁䅕杢求䍁䅁䅕獂䝁䅅来桂䅁䅁杒䄰䙁䅯䅁䑂䝁䅕杢あ䡁䅉兙獂䍁䅁兔ㅂ䡁䅑兤桂䝁䅷䅉䩂䝁䄴督ㅂ䡁䅉兙畂䝁䅍党杁䕁䅍睢畁䍁䅁䅋呂䕁䄴䅔杁䙁䅁杊䑂䍁䅁睒祂䝁䄸兤睂䍁䅫䅁剂兄䅁杙䅁䕁䅍党畂䡁䅑杣桂䝁䅷䅉乂䡁䅕䅤ㅂ䝁䅅䅢杁䕁䅫杢穂䡁䅕杣桂䝁䄴睙求䍁䅁睑療䝁䄰䅣桂䝁䄴入杁䍁䅧睕佂䕁䅷䅉兂䍁䅙睑杁䕁䅣杣療䡁䅕䅣灁䅁䅁䅕䄰䑁䅯䅁䑂䝁䅕杢あ䡁䅕杣灂䝁䄸杢杁䕁䅷兡浂䝁䅕䅉䩂䝁䄴督ㅂ䡁䅉兙畂䝁䅍党杁䕁䅍睢畁䅁䅁杗䄰䕁䅉䅁䑂䝁䅕杢あ䡁䅕杣灂䝁䄸杢杁䕁䅷兡浂䝁䅕䅉䩂䝁䄴督ㅂ䡁䅉兙畂䝁䅍党杁䕁䅍睢瑂䡁䅁兙畂䡁䅫䅁扂兄䅁䅌䅁䕁䅍䅡桂䝁䅫杣瑂䝁䅅杢杁䝁䄸杚杁䡁䅑䅡求䍁䅁村療䝁䅅杣歂䅁䅁䅖䅙䕁䅑䅁䑂䝁䅧兙畂䝁䅣党杁䝁䅫杢杁䙁䅕杢祂䝁䅕兙獂䝁䅫来求䝁䅑䅉坂䝁䅅䅢ㅂ䝁䅕䅉潁䍁䅑䅍睁䑁䅁克䅁䥁䉙䅁潁䅁䅁睑潂䝁䅅杣獂䝁䅕督杁䕁䅅䅢獂䝁䅕杢杁䙁䅁杣桂䝁䅷䅢䅁䥁剁䅁流䅁䅁睑潂䝁䅅杣獂䝁䅕督杁䕁䅑兡㉂䝁䅫䅤桂䍁䅁兓䩂䕁䅫䅁ぁ睄䅁杋䅁䕁䅍䅡桂䡁䅉䅢求䡁䅍䅉䙂䝁䅑睤桂䡁䅉䅚杁䕁䅅䅢獂䝁䅕杢䅁䥁䵍䅁ぁ䅁䅁睑潂䝁䅅杣獂䝁䅕督杁䕁䅕䅚㍂䝁䅅杣歂䍁䅁兔灂䝁䅷䅢求䡁䅉䅉䭂䡁䅉杌䅁䱁䱫䅁祁䅁䅁睑潂䝁䅅杣獂䝁䅕督杁䕁䅧杌杁䕁䅑兙畂䝁䅳兢求䡁䅫党祂䍁䅁杓祂䍁䄴䅁瑂兄䅁䅌䅁䕁䅍䅡桂䡁䅉䅢求䡁䅍䅉䥂䝁䅅杣祂䡁䅫䅉䕂䝁䅅杢湂䝁䅕䅢療䅁䅁硊䅍䍁䅧䅁䑂䝁䅧兙祂䝁䅷党穂䍁䅁杕畁䍁䅁杕灂䝁䄴党潂䝁䅅杣あ䅁䅁䈰䅁䍁䅷䅁䑂䝁䅧兙祂䝁䅷党穂䍁䅁杕療䝁䅉党祂䡁䅑䅉䡂䝁䄸䅡求䝁䅕杢䅁䙁偣䅁坁䅁䅁睑潂䝁䅅杣獂䝁䅕督あ䝁䄸杢䅁䅁乷䅁畁䅁䅁睑潂䝁䅅杣獂䝁䅕督あ䝁䄸杢獁䍁䅁睖坂䍁䅁䅋乂䝁䅕䅤祂䝁䄸克䅁䉁乁䅁啁䅁䅁睑潂䝁䅅杣獂䝁䄸䅤あ䝁䅕䅁䝂䅄䅁䅖䅁䕁䅍䅡桂䡁䅉䅢療䡁䅑䅤求䍁䄰睑療䝁䄴睙療䡁䅉䅚瑁䕁䅣兙穂䡁䅑睢畂䝁䅫兙獁䍁䅁杔䑂䍁䄰睕䑂䍁䅁䅋乂䝁䅕䅤祂䝁䄸克䅁䕁䵧䅁奁䅁䅁睑潂䝁䅅䅤あ䝁䅅杢療䝁䄸睚桂䅁䅁先䅳䑁䅙䅁䑂䝁䅧兙あ䡁䅑兙畂䝁䄸睢湂䝁䅅䅌杁䙁䅑杔瑁䕁䅣兑杁䍁䅧兔求䡁䅑杣療䍁䅫䅁桁睃䅁䅐䅁䕁䅍䅡求䡁䅍兙睂䝁䅕兙牂䝁䅕䅉䙂䝁䄰䅣獂䝁䄸入求䡁䅉督湁䍁䅁兓畂䡁䅍䅉䑂䝁䄸杌䅁䝁乍䅁兂䅁䅁睑潂䝁䅕督桂䡁䅁党桂䝁䅳党杁䕁䅕兢睂䝁䅷睢㕂䝁䅕杣穂䍁䅣䅉䩂䝁䄴督ㅂ䡁䅉兙畂䝁䅍党杁䕁䅍睢瑂䡁䅁兙畂䡁䅫䅁歂兄䅁䅍䅁䕁䅍䅡求䡁䅍䅤求䡁䅉䅉䙂䝁䄰党祂䡁䅍睢畂䍁䅁村ㅂ䡁䅉杣求䝁䅷䅢䅁䑁乍䅁慁䅁䅁睑潂䝁䅕督あ䝁䅕杣浂䝁䅫党獂䝁䅑䅁㕂权䅁杏䅁䕁䅍䅡湂䍁䅁兡畂䍁䅁睑桂䡁䅉杣㕂䝁䅫杢湂䍁䅁杖桂䝁䅷兤求䍁䅁䅋歁䑁䅁䅍睁䍁䅫䅁佃允䅁䅓䅁䕁䅍䅡湂䍁䅁兡畂䍁䅁䅔療䡁䅍督杁䕁䅅䅚煂䍁䅁兒㑂䡁䅁䅉卂䝁䅕督求䡁䅉杤求䡁䅍䅉潁䍁䅑䅍睁䑁䅁克䅁䝁䡑䅁允䅁䅁睑潂䝁䅫睙桂䝁䅣睢䅁䅁䨸䅁坂䅁䅁睑潂䝁䅫睙桂䝁䅣睢瑁䕁䄴兙睂䝁䅕杣㉂䝁䅫䅢獂䝁䅕兌䙂䝁䅷睚灂䝁䄴䅌杁䕁䅫䅔瑁䕁䅫杔瑁䙁䅣兓杁䍁䅧兔求䡁䅑杣療䍁䅫䅁㙂䅃䅁䅍䅁䕁䅍䅡灂䝁䅕杚杁䕁䅕䅥求䝁䅍兤あ䝁䅫杤求䍁䅁睔浂䝁䅙兡橂䝁䅕杣䅁䙁䝁䅁睁䅁䅁睑潂䝁䅫党浂䍁䅁杒灂䝁䄴兙畂䝁䅍兡桂䝁䅷䅉偂䝁䅙杚灂䝁䅍党祂䅁䅁兎䅙䍁䅧䅁䑂䝁䅧杣灂䡁䅍䅉塂䝁䅅杣祂䝁䅕杢杁䕁䅙党穂䡁䅑睢湂䅁䅁剒䅅䍁䅷䅁䑂䝁䅧杣灂䡁䅍䅤灂䝁䅅杢杁䙁䅁杌杁䕁䄰兡橂䝁䅧兙獂䝁䅫睡䅁偁呑䅁流䅁䅁睑潂䡁䅉兡穂䡁䅑兡畂䝁䅕䅉卂䍁䄴䅉呂䝁䅕兙祂䡁䅍䅁ぃ充䅁杌䅁䕁䅍䅡祂䝁䅫督あ䝁䄸䅣潂䝁䅕杣杁䕁䅅杌杁䙁䅣睢獂䝁䅳兡畂䝁䅣䅁佁䅅䅁李䅁䕁䅍䅡祂䝁䅫督あ䝁䄸䅣潂䝁䅕杣杁䕁䅅杣あ䝁䅧兤祂䍁䅁䅒療䝁䄴党獂䝁䅅杢䅁䕁佣䅁祁䅁䅁睑潂䡁䅉兡穂䡁䅑睢睂䝁䅧党祂䍁䅁睑桂䝁䅧兡獂䝁䅷䅉䍂䝁䄸睢あ䝁䅧䅁㍂杄䅁杋䅁䕁䅍䅡祂䝁䅫督あ䝁䄸䅣潂䝁䅕杣杁䕁䅑杌杁䙁䅍兢灂䡁䅑䅡䅁乁兯䅁睁䅁䅁睑潂䡁䅉兡穂䡁䅑睢睂䝁䅧党祂䍁䅁兒歂䡁䅣兙祂䝁䅑䅉䥂䝁䅅䅢獂䅁䅁睌䅷䑁䅷䅁䑂䝁䅧杣灂䡁䅍䅤療䡁䅁䅡求䡁䅉䅉䭂䝁䅅兢求䡁䅍䅉䵂䝁䅫䅤あ䝁䅷党浂䝁䅫党獂䝁䅑䅁牂元䅁杍䅁䕁䅍䅡祂䝁䅫督あ䝁䄸䅣潂䝁䅕杣杁䕁䅯党祂䝁䄸兢求䍁䅁睕㍂䝁䅫杚あ䅁䅁杹䅫䍁䅯䅁䑂䝁䅧杣灂䡁䅍䅤療䡁䅁䅡求䡁䅉䅉乂䝁䅍睒灂䝁䄴杢灂䡁䅍䅁䍃杄䅁李䅁䕁䅍䅡祂䝁䅫督あ䝁䄸䅣潂䝁䅕杣杁䕁䄰兡橂䝁䅧兙求䝁䅷䅉䥂䝁䅫䅢湂䝁䅕杣䅁䩁䭍䅁㉁䅁䅁睑潂䡁䅉兡穂䡁䅑睢睂䝁䅧党祂䍁䅁睕桂䝁䄰兡祂䍁䅁睕潂䝁䄸兤橂䝁䅅兡祂䅁䅁杰䄴䑁䄴䅁䑂䝁䅧兤楂䝁䅉䅉䵂䝁䅫兢灂䡁䅑党歂䍁䅁䅋呂䕁䄴䅔杁䕁䅷兡浂䝁䅕䅉䡂䡁䅉睢ㅂ䡁䅁克䅁䝁丸䅁㡁䅁䅁睑潂䡁䅕杙楂䍁䅁䅔灂䝁䄰兡あ䝁䅕䅚杁䍁䅧睕佂䕁䅷䅉兂䍁䅙睑杁䕁䅣杣療䡁䅕䅣灁䅁䅁儫䅧䑁䅧䅁䑂䝁䅧兤楂䝁䅉䅉䵂䡁䅑䅚畁䍁䅁䅋呂䕁䄴䅔杁䕁䅷兡浂䝁䅕䅉䡂䡁䅉睢ㅂ䡁䅁克䅁䡁乁䅁㉁䅁䅁睑潂䡁䅕杙楂䍁䅁䅔あ䝁䅑杌杁䍁䅧睕佂䕁䅷䅉兂䍁䅙睑杁䕁䅣杣療䡁䅕䅣灁䅁䅁䄫䅧䙁䅧䅁䑂䝁䅧兤祂䝁䅍䅡杁䕁䄰兤あ䡁䅕兙獂䍁䅁兓畂䡁䅍兤祂䝁䅅杢橂䝁䅕䅉䑂䝁䄸杌杁䍁䅧睕佂䕁䅷䅉兂䍁䅙睑杁䕁䅣杣療䡁䅕䅣灁䅁䅁入䄰䝁䅁䅁䑂䝁䅧兤祂䝁䅍䅡杁䕁䄰兤あ䡁䅕兙獂䍁䅁兓畂䡁䅍兤祂䝁䅅杢橂䝁䅕䅉䑂䝁䄸兢睂䝁䅅杢㕂䍁䅁䅋呂䕁䄴䅔杁䙁䅁杊䑂䍁䅁睒祂䝁䄸兤睂䍁䅫䅁㙂兄䅁材䅁䕁䅍兡湂䝁䄴兙杁䕁䅍睢祂䡁䅁杌杁䍁䅧睕佂䕁䅷䅉䥂䝁䅕兙獂䡁䅑䅡杁䕁䅣杣療䡁䅕䅣灁䅁䅁全䄰䑁䅯䅁䑂䝁䅫睚畂䝁䅅䅉䑂䝁䄸杣睂䍁䄴䅉潁䙁䅍杔䵂䍁䅁䅔灂䝁䅙党杁䕁䅣杣療䡁䅕䅣灁䅁䅁睁䅫䕁䅯䅁䑂䝁䅫睚畂䝁䅅䅉䑂䝁䄸杣睂䝁䄸杣桂䡁䅑兡療䝁䄴䅉潁䙁䅍杔䵂䍁䅁䅓求䝁䅅䅢あ䝁䅧䅉䡂䡁䅉睢ㅂ䡁䅁克䅁䥁乙䅁䝂䅁䅁睑灂䝁䅣杢桂䍁䅁睑療䡁䅉䅣療䡁䅉兙あ䝁䅫睢畂䍁䅁䅋呂䕁䄴䅔杁䕁䅷兡浂䝁䅕䅉䡂䡁䅉睢ㅂ䡁䅁克䅁䅁䩉䅁坁䅁䅁睑灂䝁䄴睙灂䝁䄴杢桂䡁䅑兡䅁䩁䥳䅁坂䅁䅁睑灂䝁䄴睙灂䝁䄴杢桂䡁䅑兡杁䕁䅙兡畂䝁䅅杢橂䝁䅫兙獂䍁䅁睑療䡁䅉䅣畁䍁䅁䅋呂䕁䄴䅔杁䙁䅁杊䑂䍁䅁睒祂䝁䄸兤睂䍁䅫䅁䩃兄䅁杙䅁䕁䅍兡畂䝁䅍兡畂䝁䄴兙あ䝁䅫䅉䝂䝁䅫杢桂䝁䄴睙灂䝁䅅䅢杁䕁䅍睢祂䡁䅁睢祂䝁䅅䅤灂䝁䄸杢杁䍁䅧睕佂䕁䅷䅉兂䍁䅙睑杁䕁䅣杣療䡁䅕䅣灁䅁䅁杩䄰䑁䅷䅁䑂䝁䅫杢橂䝁䅫杢畂䝁䅅䅤灂䍁䅁䅔灂䝁䅙党杁䕁䅫杢穂䡁䅕杣桂䝁䄴睙求䍁䅁睑療䍁䄴䅁啃兄䅁䅒䅁䕁䅍兡畂䝁䅍兡畂䝁䄴兙あ䝁䅫䅉䵂䝁䅫杚求䍁䅁兓畂䡁䅍兤祂䝁䅅杢橂䝁䅕䅉䑂䝁䄸兢睂䝁䅅杢㕂䅁䅁公䄰䑁䅯䅁䑂䝁䅫杢橂䝁䅫杢畂䝁䅅䅤灂䍁䅷䅉偂䕁䅧兌䱂䙁䅫兌䩂䕁䄴䅉潁䕁䄰党あ䡁䅉睢灁䅁䅁䅴䅙䍁䅯䅁䑂䝁䅫杣療䍁䅁兔灂䝁䅍䅡桂䝁䅕䅢杁䕁䅑党䝂䝁䅅䅢橂䝁䄸䅁獂充䅁材䅁䕁䅍兡あ䝁䅫来求䝁䄴督杁䕁䅫杢橂䍁䄴䅉潁䙁䅍杔䵂䍁䅁䅔灂䝁䅙党杁䕁䅣杣療䡁䅕䅣灁䅁䅁䅭䄰䕁䅁䅁䑂䝁䅫䅤灂䡁䅯党畂䡁䅍䅌杁䕁䅫杢橂䍁䄴䅉潁䙁䅍杔䵂䍁䅁䅔灂䝁䅙党杁䕁䅣杣療䡁䅕䅣灁䅁䅁六䄰䕁䅉䅁䑂䝁䅷兙祂䝁䅕兢療䝁䄴䅤瑁䕁䅷党楂䝁䅅杢療䝁䄴䅌杁䕁䄴䅓瑁䙁䅙䅖杁䍁䅧兔灂䝁䅍杣療䍁䅫䅁噁䅆䅁䅅䅁䕁䅍䅢桂䡁䅍督杁䑁䅅䅁啁䅁䅁杅䅁䕁䅍䅢桂䡁䅍督杁䑁䅅䅉䅁䉁䅷䅁允䅁䅁睑獂䝁䅅督穂䍁䅁杍䅁䉁䅧䅁十䅁䅁睑獂䝁䅅督穂䍁䅁杍杁䅁䅁睇䅁䉁䅁䅁䑂䝁䅷兙穂䡁䅍䅉穁䅁䅁睆䅁䉁䅉䅁䑂䝁䅷兙穂䡁䅍䅉穁䍁䅁䅁晁䅁䅁䅅䅁䕁䅍䅢桂䡁䅍督杁䑁䅑䅁婁䅁䅁杅䅁䕁䅍䅢桂䡁䅍督杁䑁䅑䅉䅁䉁䄰䅁允䅁䅁睑獂䝁䅅督穂䍁䅁兎䅁䉁䅕䅁十䅁䅁睑獂䝁䅅督穂䍁䅁兎杁䅁䅁䅉䅁䉁䅁䅁䑂䝁䅷兙穂䡁䅍䅉㉁䅁䅁杆䅁䉁䅉䅁䑂䝁䅷兙穂䡁䅍䅉㉁䍁䅁䅁敁䅁䅁䅊䅁䕁䅍䅢桂䡁䅕䅚求䍁䅁䅔畁䍁䅁䅔求䕁䅉䅢桂䝁䄴睙䅁䙁呣䅁啁䅁䅁睑獂䝁䅕杤求䝁䅷兙畂䝁䅑䅁㑄䅅䅁杏䅁䕁䅍䅢求䡁䅙党獂䝁䅅杢歂䍁䄰兒獂䡁䅫杣灂䝁䅅䅌杁䕁䄸䅓杁䍁䅧兔求䡁䅑杣療䍁䅫䅁療权䅁䅋䅁䕁䅍䅢灂䝁䅙杚療䡁䅉䅚杁䕁䅅䅢桂䝁䄴䅉䵂䝁䅅杢湂䝁䅕䅁䡁兄䅁杖䅁䕁䅍兢楂䝁䄴䅚杁䕁䅅杊䥂䑁䅯䅉䑂䝁䅧睚杁䝁䅫杢杁䙁䅕杢睂䝁䅅兡歂䍁䅁杔求䡁䅑䅉䵂䝁䄸督穂䝁䅕督杁䍁䅧䅊睁䑁䅁䅍灁䅁䅁睙䅣䙁䅑䅁䑂䝁䄰杙畂䝁䅑䅉䉂䍁䅙䅓㙁䍁䅁䅒灂䡁䅉党橂䡁䅑䅉兂䡁䅉党瑂䝁䅫兤瑂䡁䅍䅉塂䡁䅉兡あ䡁䅑党畂䍁䅁䅋歁䑁䅁䅍睁䍁䅫䅁捂睂䅁杖䅁䕁䅍兢楂䝁䄴䅚杁䕁䅅杊䥂䑁䅯䅉䵂䝁䄸督穂䝁䅕督杁䙁䅁兙灂䝁䅑䅉䵂䝁䅕督穂䍁䅁睕桂䝁䅷杤桂䝁䅣党杁䍁䅧䅊睁䑁䅁䅍灁䅁䅁䅙䅣䡁䅧䅁䑂䝁䄰杙畂䝁䅑䅉䉂䍁䅙䅓㙁䍁䅁兔灂䝁䅑兌䉂䡁䅑䅢桂䝁䄴䅤灂䝁䅍杏杁䕁䅑兡祂䝁䅕睙あ䍁䅁䅕祂䝁䅕兢灂䡁䅕兢穂䍁䅁睖祂䝁䅫䅤あ䝁䅕杢癁䍁䅁䅖療䡁䅑兙獂䍁䅁䅋汁䍁䅫䅁煁兆䅁杢䅁䕁䅍兢楂䝁䄴䅚杁䕁䅅杊䥂䑁䅯䅉乂䝁䅫䅚㍂䝁䅕督あ䑁䅯䅉䕂䝁䅫杣求䝁䅍䅤杁䙁䅁杣求䝁䄰兡ㅂ䝁䄰督杁䙁䅣杣灂䡁䅑䅤求䝁䄴睌杁䙁䅑睢あ䝁䅅䅢杁䍁䅧兊灁䅁䅁硌䅕䡁䅉䅁䑂䝁䄰杙畂䝁䅑䅉䉂䍁䅙䅓㙁䍁䅁杔療䡁䅉䅤潂䝁䅕兙穂䡁䅑杏杁䕁䅑兡祂䝁䅕睙あ䍁䅁䅕祂䝁䅕兢灂䡁䅕兢穂䍁䅁睖祂䝁䅫䅤あ䝁䅕杢癁䍁䅁䅖療䡁䅑兙獂䍁䅁䅋汁䍁䅫䅁潁兆䅁杣䅁䕁䅍兢楂䝁䄴䅚杁䕁䅅杊䥂䑁䅯䅉呂䝁䄸兤あ䝁䅧党桂䡁䅍䅤㙁䍁䅁䅒灂䡁䅉党橂䡁䅑䅉兂䡁䅉党瑂䝁䅫兤瑂䡁䅍䅉塂䡁䅉兡あ䡁䅑党畂䍁䄸䅉啂䝁䄸䅤桂䝁䅷䅉潁䍁䅕克䅁䍁嘰䅁祂䅁䅁睑瑂䝁䅉杢歂䍁䅁兑流䕁䅧杏杁䙁䅍睢ㅂ䡁䅑䅡㍂䝁䅕督あ䑁䅯䅉䕂䝁䅫杣求䝁䅍䅤杁䙁䅁杣求䝁䄰兡ㅂ䝁䄰督杁䙁䅣杣灂䡁䅑䅤求䝁䄴睌杁䙁䅑睢あ䝁䅅䅢杁䍁䅧兊灁䅁䅁剋䅕䝁䅧䅁䑂䝁䄰杙畂䝁䅑䅉䉂䍁䅙䅓㙁䍁䅁睖求䡁䅍䅤㙁䍁䅁䅒灂䡁䅉党橂䡁䅑䅉兂䡁䅉党瑂䝁䅫兤瑂䡁䅍䅉塂䡁䅉兡あ䡁䅑党畂䍁䄸䅉啂䝁䄸䅤桂䝁䅷䅉潁䍁䅕克䅁䑁噁䅁䵁䅁䅁睑療䝁䅑党杁䅁䅁睫䅣䍁䅑䅁䑂䝁䄸䅚求䍁䅁䅒求䡁䅍睙祂䝁䅫䅣あ䝁䅫睢畂䍁䅁䅁啃睂䅁䅎䅁䕁䅍睢獂䍁䄴䅉㉁䍁䅁兙穂䍁䅁兙杁䍁䅕䅉療䝁䅙䅉䵂䝁䅫杢求䍁䅁兏畁䑁䅣䅁㕁䅁䅁杊䅁䕁䅍睢獂䝁䄰䅉䭂䝁䄸督求䡁䅁䅡杁䕁䅙杣求䡁䅫杢求䅁䅁杺䅯䉁䅉䅁䑂䝁䄸䅢ㅂ䝁䄰杙灂䝁䅅䅁䵄䅄䅁杋䅁䕁䅍睢獂䡁䅕兢楂䝁䅫兙獁䍁䅁兔偂䍁䅁䅋乂䝁䅕䅤祂䝁䄸克䅁偁匰䅁煁䅁䅁睑療䝁䅷兤瑂䝁䅉兡桂䍁䅷䅉呂䕁䅍䅉潁䕁䄰党あ䡁䅉睢灁䅁䅁睹䅷䙁䄴䅁䑂䝁䄸䅢ㅂ䝁䄰杙灂䝁䅅杢杁䕁䄰兤あ䡁䅕兙獂䍁䅁䅔灂䝁䅙党杁䕁䅫杢穂䍁䅁睑療䍁䄴䅉潁䙁䅍杔䵂䍁䅁䅔灂䝁䅙党杁䕁䅣杣療䡁䅕䅣灁䅁䅁杰䄰䡁䅉䅁䑂䝁䄸䅢ㅂ䝁䄰杙灂䝁䅅杢杁䕁䄰兤あ䡁䅕兙獂䍁䅁䅔灂䝁䅙党杁䕁䅫杢穂䡁䅕杣桂䝁䄴睙求䍁䅁睑療䝁䄰䅣桂䝁䄴入杁䍁䅧睕佂䕁䅷䅉䵂䝁䅫杚求䍁䅁睒祂䝁䄸兤睂䍁䅫䅁汃兄䅁杅䅁䕁䅍睢獂䡁䅕兢楂䡁䅕督䅁䙁䥅䅁睁䅁䅁睑療䝁䅷兤瑂䝁䅉兤穂䍁䅷䅉䡂䕁䅅兌䉂䕁䅷䅉潁䕁䄰党あ䡁䅉睢灁䅁䅁兔䅧䍁䅯䅁䑂䝁䄸䅢ㅂ䝁䄰杙ㅂ䡁䅍䅌杁䕁䄸䅓杁䍁䅧兔求䡁䅑杣療䍁䅫䅁㉁权䅁杊䅁䕁䅍睢瑂䝁䅉兡畂䝁䅕䅚杁䙁䅉兙あ䝁䅫睢杁䍁䅧兊灁䅁䅁允䅣䙁䅁䅁䑂䝁䄸兢瑂䍁䅣䅢㙁䍁䅁睑潂䝁䅣䅉灂䝁䄴䅉噂䝁䄴䅣桂䝁䅫䅚杁䕁䄴党あ䍁䅁䅔療䡁䅍督求䡁䅍䅉潁䍁䅑䅍睁䑁䅁克䅁䝁䡉䅁兂䅁䅁睑療䝁䄰兢湁䝁䅷杏杁䕁䅷睢穂䡁䅍党穂䍁䅁䅕桂䝁䅫䅚杁䕁䅷党穂䡁䅍䅉呂䝁䅅䅢㉂䝁䅅睚求䍁䅁䅋歁䑁䅁䅍睁䍁䅫䅁坂睂䅁村䅁䕁䅍睢瑂䝁䄰党祂䝁䅍兡桂䝁䅷䅉䝂䝁䅫杢桂䝁䄴睙灂䝁䅅䅢杁䕁䅷兡畂䝁䅕督杁䕁䅙睢橂䡁䅕督䅁䭁䱫䅁䝂䅁䅁睑療䝁䄰兢求䡁䅉睙灂䝁䅅䅢杁䕁䅣党畂䝁䅕杣桂䝁䅷䅉䵂䝁䅫兙楂䝁䅫䅢灂䡁䅑入杁䕁䅙睢橂䡁䅕督䅁䩁䱑䅁畁䅁䅁睑療䝁䄰兢求䡁䅉睙灂䝁䅅䅢杁䕁䅷兡畂䝁䅕督杁䕁䅙睢橂䡁䅕督䅁䱁䝧䅁䭂䅁䅁睑療䝁䄰兢求䡁䅉睙灂䝁䅅䅢杁䕁䄰党歂䝁䅫睙桂䝁䅷䅉乂䝁䅅䅢睂䡁䅉兙橂䡁䅑兡橂䝁䅕䅉䝂䝁䄸睙ㅂ䡁䅍䅁塄兄䅁䅔䅁䕁䅍睢瑂䝁䄰党祂䝁䅍兡桂䝁䅷䅉兂䍁䅙睑杁䕁䅑兡祂䝁䅕睙あ䍁䅁䅕祂䝁䅕兢灂䡁䅕兢穂䍁䅁䅋歁䑁䅁䅍睁䍁䅫䅁兂睂䅁䅎䅁䕁䅍睢瑂䝁䄰党祂䝁䅍兡桂䝁䅷䅉兂䡁䅉睢睂䝁䅕杣あ䡁䅫䅉䝂䝁䄸睙ㅂ䡁䅍䅁穂元䅁䅔䅁䕁䅍睢瑂䝁䄰党祂䝁䅍兡桂䝁䅷䅉塂䝁䄸杣牂䝁䅕杣穂䍁䅁睑療䝁䄰䅣求䝁䄴督桂䡁䅑兡療䝁䄴䅉䝂䝁䄸睙ㅂ䡁䅍䅁牃权䅁杋䅁䕁䅍睢瑂䝁䄰兡穂䡁䅍兡療䝁䄴䅉卂䝁䅅䅤灂䝁䄸䅉潁䍁䅕克䅁䉁噑䅁潂䅁䅁睑療䝁䄰兢灂䡁䅍督灂䝁䄸杢穂䍁䅷䅉偂䡁䅑䅡求䡁䅉䅉䙂䡁䅧䅣杁䍁䅙䅉啂䝁䅅䅥求䡁䅍䅉䕂䡁䅕党杁䍁䅙䅉䉂䝁䅍睙祂䡁䅕党歂䍁䅁䅋歁䑁䅁䅍睁䍁䅫䅁䩂睂䅁䅗䅁䕁䅍睢瑂䝁䄰兡あ䝁䄰党畂䡁䅑䅉浂䝁䄸杣杁䕁䅅䅚歂䝁䅫䅤灂䝁䄸杢桂䝁䅷䅉䩂䝁䄴杤求䡁䅍䅤瑂䝁䅕杢あ䍁䅁䅋歁䑁䅁䅍睁䍁䅫䅁䵃允䅁䅔䅁䕁䅍睢瑂䝁䄰睢畂䍁䅁睑桂䡁䅁兡あ䝁䅅䅢杁䙁䅍䅤療䝁䅍睡杁䕁䅷兡桂䝁䅉兡獂䝁䅫䅤㕂䍁䅁䅋歁䑁䅁䅍睁䍁䅫䅁ぁ睂䅁杘䅁䕁䅍睢瑂䝁䄰睢畂䍁䅁䅒灂䡁䅙兡歂䝁䅕杢歂䡁䅍䅉䕂䝁䅕睙獂䝁䅅杣求䝁䅑䅉睂䝁䅕杣杁䙁䅍䅡桂䡁䅉党杁䍁䅧杕求䡁䅁睢祂䡁䅑党歂䍁䅫䅁⭃䅆䅁䅑䅁䕁䅍睢瑂䝁䄰睢畂䍁䅁兒硂䡁䅕兡あ䡁䅫睌杁䙁䅑睢あ䝁䅅䅢杁䕁䅅督穂䝁䅕䅤穂䍁䅁䅋汁䍁䅫䅁㡃䅆䅁䅋䅁䕁䅍睢瑂䝁䄰睢畂䍁䅁睕あ䝁䄸睙牂䍁䅁䅋歁䑁䅁䅍睁䍁䅫䅁硂睂䅁杓䅁䕁䅍睢瑂䝁䄰睢畂䍁䅁睕あ䝁䄸睙牂䡁䅍睌杁䕁䅍兙睂䝁䅫䅤桂䝁䅷䅉流䍁䅁睕ㅂ䡁䅉䅣獂䡁䅕督杁䍁䅧兊灁䅁䅁睕䅣䑁䅑䅁䑂䝁䄸兢睂䙁䅍睢ㅂ䡁䅉睙求䍁䅁兔ㅂ䡁䅑兤桂䝁䅷䅉䩂䝁䄴督杁䕁䅍睢畁䅁䅁睳䄰䕁䅧䅁䑂䝁䄸兢睂䙁䅍睢ㅂ䡁䅉睙求䍁䅁兔ㅂ䡁䅑兤桂䝁䅷䅉䩂䝁䄴督ㅂ䡁䅉兙畂䝁䅍党杁䕁䅍睢瑂䡁䅁兙畂䡁䅫䅁祃兄䅁䅍䅁䕁䅍睢瑂䡁䅁兙畂䡁䅫䅉䩂䝁䄴杤求䡁䅍䅤瑂䝁䅕杢あ䍁䅁睓求䡁䅫䅉䅁䥁䡑䅁敁䅁䅁睑療䝁䄰䅣桂䝁䄴入䡂䝁䅕杢求䡁䅉兙獂䅁䅁硏䅑䍁䅯䅁䑂䝁䄸兢睂䡁䅉党潂䝁䅕杢穂䝁䅫杤求䍁䅁䅓求䝁䅅䅢あ䝁䅧䅁䑃杂䅁䅐䅁䕁䅍睢畂䝁䅑兡あ䝁䅫睢畂䝁䅅䅢杁䕁䅙兙灂䡁䅉䅉坂䝁䅅䅢ㅂ䝁䅕䅉潁䍁䅑䅍睁䑁䅁克䅁䡁䉳䅁坂䅁䅁睑療䡁䅁䅣求䡁䅉䅕療䝁䅫杢あ䍁䅁兔ㅂ䡁䅑兤桂䝁䅷䅉䩂䝁䄴督杁䕁䅍睢畁䍁䅁䅋呂䕁䄴䅔杁䙁䅁杊䑂䍁䅁睒祂䝁䄸兤睂䍁䅫䅁㥃兄䅁条䅁䕁䅍睢睂䡁䅁党祂䙁䅁睢灂䝁䄴䅤杁䕁䄰兤あ䡁䅕兙獂䍁䅁兓畂䡁䅍兤祂䝁䅅杢橂䝁䅕䅉䑂䝁䄸兢睂䝁䅅杢㕂䍁䅁䅋呂䕁䄴䅔杁䙁䅁杊䑂䍁䅁睒祂䝁䄸兤睂䍁䅫䅁⭃兄䅁杆䅁䕁䅍睢穂䡁䅑兙杁䕁䄰党穂䝁䅅䅁㍂䅄䅁䅕䅁䕁䅍睢㉂䝁䅕杣㕂䡁䅍䅉䩂䝁䄴督ㅂ䡁䅉兙畂䝁䅍党杁䕁䅣杣療䡁䅕䅣杁䍁䅧睕佂䕁䅷䅉兂䍁䅙睑杁䕁䅣杣療䡁䅕䅣灁䅁䅁眰䄰䍁䅧䅁䑂䡁䅉兙灂䝁䅣䅉䉂䝁䅷䅢桂䝁䄴䅉䭂䝁䄸䅡畂䡁䅍睢畂䅁䅁兰䄴䍁䅑䅁䑂䡁䅉兙灂䝁䅣䅉䕂䡁䅣兙灂䝁䄴党杁䕁䅧兡獂䝁䅷䅁慃杄䅁䅋䅁䕁䅍杣桂䝁䅫睚杁䕁䄸睤求䝁䄴䅉啂䝁䅧睢瑂䡁䅁督療䝁䄴䅁⽄杄䅁䅌䅁䕁䅍杣桂䝁䅫睚杁䙁䅉兡橂䝁䅧兙祂䝁䅑䅉䍂䡁䅉睢瑂䝁䅷党㕂䅁䅁眯䅫䍁䅧䅁䑂䡁䅉兙灂䝁䅣䅉塂䝁䅫䅢獂䝁䅫兙瑂䍁䅁䅓療䡁䅣兡求䅁䅁䅢䄴䝁䅉䅁䑂䡁䅉䅚あ䍁䅁兑流䕁䅧䅉潁䕁䅣杣睂䍁䅷䅉䩂䝁䄴䅚灁䑁䅯䅉䍂䝁䅕杢求䝁䅙兡あ䍁䅁杕桂䡁䅑兡療䑁䅯䅉兂䡁䅉党瑂䝁䅫兤瑂䡁䅍䅉潁䍁䅕克䅁䑁噳䅁啂䅁䅁睑祂䝁䅑䅤杁䕁䅅杊䥂䍁䅁䅋䡂䡁䅉䅣獁䍁䅁兓畂䝁䅑克㙁䍁䅁睑療䝁䄰兢灂䡁䅍督灂䝁䄸杢杁䙁䅉兙あ䝁䅫睢杁䍁䅧兊灁䅁䅁剘䅕䝁䅉䅁䑂䡁䅉䅚あ䍁䅁兑流䕁䅧䅉潁䕁䅣杣睂䍁䅷䅉䩂䝁䄴䅚灁䑁䅯䅉䙂䡁䅧䅣求䝁䄴督求䍁䅁杕桂䡁䅑兡療䑁䅯䅉兂䡁䅉党瑂䝁䅫兤瑂䡁䅍䅉潁䍁䅕克䅁䙁噁䅁潂䅁䅁睑祂䝁䅑䅤杁䕁䅅杊䥂䍁䅁䅋䡂䡁䅉䅣獁䍁䅁兓畂䝁䅑克㙁䍁䅁䅕祂䝁䅕兢灂䡁䅕兢穂䍁䅁杊杁䕁䅍睢畂䡁䅍兡歂䡁䅍杏杁䕁䅉入杁䕁䅷睔䍂䍁䅁䅋汁䍁䅫䅁㥁兆䅁杗䅁䕁䅍杣歂䡁䅑䅉䵂䝁䅫杚求䍁䅁杊杁䕁䅅杊䥂䑁䅯䅉䍂䝁䅕杢求䝁䅙兡あ䍁䅁杕桂䡁䅑兡療䑁䅯䅉兂䡁䅉党瑂䝁䅫兤瑂䡁䅍䅉潁䍁䅕克䅁䕁噁䅁䵂䅁䅁睑祂䝁䅑䅤杁䕁䅷兡浂䝁䅕䅉流䍁䅁兑流䕁䅧杏杁䕁䅍睢瑂䝁䄰兡穂䡁䅍兡療䝁䄴䅉卂䝁䅅䅤灂䝁䄸䅉潁䍁䅕克䅁䙁噑䅁慂䅁䅁睑祂䝁䅑䅤杁䕁䅷兡浂䝁䅕䅉流䍁䅁兑流䕁䅧杏杁䕁䅕䅥睂䝁䅕杢穂䝁䅕䅉卂䝁䅅䅤灂䝁䄸杏杁䙁䅁杣求䝁䄰兡ㅂ䝁䄰督杁䍁䅧兊灁䅁䅁剅䅕䝁䅁䅁䑂䡁䅉䅚あ䍁䅁䅔灂䝁䅙党杁䍁䅙䅉䉂䍁䅙䅓㙁䍁䅁䅕祂䝁䅕兢灂䡁䅕兢穂䍁䅁杊杁䕁䅍睢畂䡁䅍兡歂䡁䅍杏杁䕁䅉入杁䕁䅷睔䍂䍁䅁䅋汁䍁䅫䅁穁兆䅁䅚䅁䕁䅍杣歂䡁䅑䅉䵂䝁䅫杚求䍁䅁䅋䡂䡁䅉䅣獁䍁䅁兓畂䝁䅑克㙁䍁䅁村求䝁䄴党浂䝁䅫䅤杁䙁䅉兙あ䝁䅫睢㙁䍁䅁䅕祂䝁䅕兢灂䡁䅕兢穂䍁䅁䅋汁䍁䅫䅁牁兆䅁杖䅁䕁䅍杣歂䡁䅑䅉䵂䝁䅫杚求䍁䅁䅋䡂䡁䅉䅣獁䍁䅁兓畂䝁䅑克㙁䍁䅁睑療䝁䄰兢灂䡁䅍督灂䝁䄸杢杁䙁䅉兙あ䝁䅫睢杁䍁䅧兊灁䅁䅁剗䅕䝁䅑䅁䑂䡁䅉䅚あ䍁䅁䅔灂䝁䅙党杁䍁䅧睒祂䡁䅁䅌杁䕁䅫杢歂䍁䅫杏杁䕁䅕䅥睂䝁䅕杢穂䝁䅕䅉卂䝁䅅䅤灂䝁䄸杏杁䙁䅁杣求䝁䄰兡ㅂ䝁䄰督杁䍁䅧兊灁䅁䅁䉔䅕䝁䅑䅁䑂䡁䅉䅚あ䍁䅁䅔灂䝁䅙党杁䍁䅧睒祂䡁䅁䅌杁䕁䅫杢歂䍁䅫杏杁䕁䅷兙睂䡁䅍党杁䍁䅙䅉呂䡁䅕杣祂䝁䅕杢歂䝁䅕杣杁䙁䅉兙あ䝁䅫睢杁䍁䅧兊灁䅁䅁硙䅕䝁䅯䅁䑂䡁䅉䅚あ䍁䅁䅔灂䝁䅙党杁䍁䅧睒祂䡁䅁䅌杁䕁䅫杢歂䍁䅫杏杁䙁䅁杣求䝁䄰兡ㅂ䝁䄰督杁䍁䅙䅉䑂䝁䄸杢穂䝁䅫䅚穂䑁䅯䅉䍂䡁䅫䅉䵂䕁䄸村杁䍁䅧兊灁䅁䅁桏䅕䍁䄴䅁䑂䡁䅉党歂䝁䅫䅤杁䕁䅫杢穂䡁䅕杣桂䝁䄴睙求䍁䅁杒療䝁䅍兤穂䅁䅁䅸䄴䩁䅁䅁䑂䡁䅉党歂䝁䅫䅤杁䙁䅑党畂䝁䅅杢あ䑁䅯䅉䍂䝁䄸杢歂䡁䅍杏杁䕁䅍杣求䝁䅑兡あ䍁䅁䅖求䝁䄴兙畂䡁䅑䅉䍂䝁䄸杢歂䡁䅍杏杁䕁䅍兙祂䡁䅉入灂䝁䄴睚杁䙁䅙兙獂䡁䅕党杁䍁䅧杍睁䑁䅅䅍灁䍁䅁䅋歁䑁䅁䅍睁䍁䅫䅁塄睂䅁杌䅁䕁䅍杣求䝁䅑兡あ䍁䅁䅖求䝁䄴兙畂䡁䅑杏杁䕁䅷䅖杁䕁䅉睢畂䝁䅑䅁允允䅁杌䅁䕁䅍杣求䝁䅑兡あ䍁䅁䅖求䝁䄴兙畂䡁䅑杏杁䙁䅍䅖杁䕁䅉睢畂䝁䅑䅁剂䅁䅁杉䅁䕁䅍兤祂䡁䅉党畂䡁䅑睌卂䝁䅕督あ䝁䅅䅤求䝁䅑䅁㑃䅆䅁杊䅁䕁䅍兤祂䡁䅑䅉呂䡁䅑党㉂䝁䅕杢杁䕁䅍兤獂䡁䅙党祂䅁䅁硅䅅䍁䅑䅁䑂䡁䅫杢あ䝁䅧兡桂䍁䅁睑療䡁䅧䅉䡂䝁䅕杣灂䝁䅳䅁獂睅䅁杂䅁䕁䅑兒䅁䩁剑䅁允䅁䅁䅒䙂䕁䅙兖佂䕁䅍䅖䅁䱁䡕䅁慂䅁䅁䅒桂䝁䅫兌灂䝁䅍䅡灂䍁䅁䅔灂䝁䅙党杁䕁䅧睢獂䝁䅑兡畂䝁䅣督杁䕁䅫杢橂䍁䄴䅉潁䙁䅍杔䵂䍁䅁䅔灂䝁䅙党杁䕁䅣杣療䡁䅕䅣灁䅁䅁兊䅫䙁䅷䅁䕂䝁䅅兡瑁䝁䅫睙潂䝁䅫䅉䵂䝁䅫杚求䍁䅁䅓療䝁䅷䅚灂䝁䄴睚穂䍁䅷䅉䩂䝁䄴睙畁䍁䅁䅋呂䕁䄴䅔杁䕁䅷兡浂䝁䅕䅉䡂䡁䅉睢ㅂ䡁䅁克䅁䍁䩙䅁䵁䅁䅁䅒桂䝁䅫䅢㕂䅁䅁䉕䅑䍁䅑䅁䕂䝁䅅䅢求䍁䅁杓求䝁䅙杚祂䝁䅕入杁䕁䅳党畂䡁䅑䅁䥁䅆䅁杄䅁䕁䅑兙獂䝁䅷兙穂䅁䅁䉗䅁䍁䄴䅁䕂䝁䅅䅢獂䝁䅅督杁䕁䅧兙畂䡁䅍党畂䍁䅁村祂䝁䅅䅚浂䝁䄸杣歂䅁䅁硊䅑䙁䅁䅁䕂䝁䅅䅢獂䝁䅅督瑁䕁䅙睢祂䡁䅑䅉塂䝁䄸杣あ䝁䅧兌䉂䡁䅉䅢灂䝁䄴睚あ䝁䄸杢獁䍁䅁䅖奂䍁䅁䅋乂䝁䅕䅤祂䝁䄸克䅁佁䭧䅁楁䅁䅁䅒桂䝁䅷入畂䝁䄴䅉䭂䝁䅕兙畂䍁䅁䅓療䝁䅍䅡䅁䕁䰰䅁潁䅁䅁䅒桂䝁䄴兡求䝁䅷䅉䭂䝁䅅兢求䡁䅍䅉䡂䝁䅕睢祂䝁䅣党䅁䱁光䅁流䅁䅁䅒桂䝁䄴兡求䝁䅷䅉䭂䝁䅅兢求䡁䅍䅉䱂䝁䅕䅢獂䡁䅫䅁汃杂䅁䅋䅁䕁䅑兙畂䝁䅫党獂䍁䅁杓桂䝁䄰党穂䍁䅁䅖ㅂ䡁䅉杢求䡁䅉䅁ㅂ睄䅁䅋䅁䕁䅑兙畂䝁䅫党獂䍁䅁杓桂䝁䄰党穂䍁䅁睖灂䝁䅷督療䝁䄴䅁䱁睅䅁䅍䅁䕁䅑兙畂䝁䅫党獂䍁䅁杓療䝁䄴兙あ䝁䅧兙畂䍁䅁䅖療䡁䅣杣灂䡁䅍督䅁偁乳䅁㉁䅁䅁䅒桂䝁䄴兡求䝁䅷䅉䭂䝁䄸督求䡁䅁䅡杁䕁䅧兡獂䝁䅙党祂䡁䅑入杁䕁䅫兓䩂䅁䅁䄫䄸䍁䅷䅁䕂䝁䅅杢灂䝁䅕䅢杁䕁䅯睢穂䝁䅕䅣潂䍁䅁䅓療䡁䅕督あ䝁䄸杢䅁䝁䭙䅁潁䅁䅁䅒桂䝁䄴兡求䝁䅷䅉䭂䝁䄸督求䡁䅁䅡杁䕁䅷睢求䡁䅁䅣䅁偁䵅䅁潁䅁䅁䅒桂䝁䄴兡求䝁䅷䅉乂䝁䅕杣獂䝁䅕䅉䱂䝁䅫党浂䝁䅕杣䅁䥁䭯䅁楁䅁䅁䅒桂䝁䄴兡求䝁䅷䅉兂䝁䅅兤獂䍁䅁兑瑂䝁䄸督䅁䙁䥙䅁祁䅁䅁䅒桂䝁䄴兡求䝁䅷䅉呂䡁䅑兙畂䝁䅙睢祂䝁䅑䅉䝂䍁䄴䅉䍂䝁䄸杣畂䝁䅕䅁㥂䅅䅁杌䅁䕁䅑兙畂䝁䅫党獂䍁䅁杖灂䝁䄴睙求䝁䄴䅤杁䕁䅍睢畂䝁䄴党獂䝁䅷䅁婄充䅁䅍䅁䕁䅑兙祂䡁䅉党畂䍁䅁䅖潂䝁䄸兢桂䡁䅍䅉䙂䝁䅷䅢灂䝁䄴睚穂䝁䄸杢䅁䅁卑䅁煁䅁䅁䅒桂䡁䅙兙杁䙁䅍䅡求䡁䅉杣灂䝁䅷䅢杁䕁䅍兙祂䡁䅍睢畂䅁䅁䅹䄴䉁䄴䅁䕂䝁䅅杤灂䝁䅑䅉䉂䍁䄴䅉䕂䡁䅯兡ㅂ䝁䅳䅁牂睄䅁䅊䅁䕁䅑兙㉂䝁䅫䅚杁䕁䅅䅢獂䝁䅅杢杁䙁䅣䅡求䝁䅅䅤䅁䕁偍䅁煁䅁䅁䅒桂䡁䅙兡歂䍁䅁兑畂䝁䅑杣求䡁䅣䅉䕂䝁䅫兙瑂䝁䄸杢歂䅁䅁杈䅯䍁䅷䅁䕂䝁䅅杤灂䝁䅑䅉䑂䝁䅧兙祂䝁䅷党穂䍁䅁杒獂䝁䄸杣灂䝁䅅杢䅁䝁乁䅁獁䅁䅁䅒桂䡁䅙兡歂䍁䅁睑潂䝁䅅杣獂䝁䅕督杁䙁䅣党あ䝁䄰睢祂䝁䅕䅁䭁睄䅁䅎䅁䕁䅑兙㉂䝁䅫䅚杁䕁䅍䅡祂䝁䅫督あ䝁䄸䅣潂䝁䅕杣杁䕁䅅䅤あ䝁䅅睤桂䡁䅫䅁扄䅃䅁杈䅁䕁䅑兙㉂䝁䅫䅚杁䕁䅑杌杁䙁䅣党灂䝁䅍睡䅁䩁吸䅁流䅁䅁䅒桂䡁䅙兡歂䍁䅁兒歂䡁䅣兙祂䝁䅑䅉乂䝁䅅杣祂䝁䅅䅁ㅂ杅䅁䅌䅁䕁䅑兙㉂䝁䅫䅚杁䕁䅕兤湂䝁䅕杢求䍁䅁睕桂䝁䄰督杁䕁䅯杣畁䅁䅁末䄰䍁䄴䅁䕂䝁䅅杤灂䝁䅑䅉䝂䡁䅉兙畂䝁䅍兡穂䍁䅁村祂䡁䅕督穂䝁䅅杣歂䅁䅁硨䅉䍁䅯䅁䕂䝁䅅杤灂䝁䅑䅉䡂䝁䅕杣桂䝁䅷䅚杁䙁䅁兡祂䡁䅉兤畂䝁䅣䅁奄睄䅁李䅁䕁䅑兙㉂䝁䅫䅚杁䕁䅣党祂䝁䅅杣歂䍁䅁䅕祂䝁䅕兡瑂䝁䅕督楂䝁䅕杣湂䝁䅕杣䅁䅁余䅁楁䅁䅁䅒桂䡁䅙兡歂䍁䅁䅓求䝁䄴杣㕂䍁䅁䅔療䝁䄴睚䅁佁䩑䅁煁䅁䅁䅒桂䡁䅙兡歂䍁䅁兓祂䡁䅙兡畂䝁䅣䅉坂䝁䅫睙牂䝁䅕杣穂䅁䅁栵䅍䑁䅧䅁䕂䝁䅅杤灂䝁䅑䅉䭂䝁䅅兢求䡁䅍䅉塂䝁䅫䅢獂䝁䅫兙瑂䍁䅁䅕祂䝁䄸睙あ䝁䄸杣䅁䑁估䅁杁䅁䅁䅒桂䡁䅙兡歂䍁䅁杓桂䡁䅫䅉䕂䝁䅫党あ䡁䅯䅁㑁䅆䅁杉䅁䕁䅑兙㉂䝁䅫䅚杁䕁䅯党浂䝁䅙䅉佂䝁䄸杙獂䝁䅕䅁剃䅃䅁䅋䅁䕁䅑兙㉂䝁䅫䅚杁䕁䅳党畂䝁䄴党歂䡁䅫䅉䝂䝁䅫睙橂䝁䅅䅁摃䅄䅁䅋䅁䕁䅑兙㉂䝁䅫䅚杁䕁䅷入畂䝁䄴䅉䥂䝁䄸䅢瑂䝁䅉党祂䝁䅣䅁䉃睄䅁杊䅁䕁䅑兙㉂䝁䅫䅚杁䕁䅷入畂䝁䄴䅉䱂䝁䅅兤浂䝁䄰兙畂䅁䅁桊䅅䍁䅷䅁䕂䝁䅅杤灂䝁䅑䅉乂䝁䅫睙潂䝁䅅党獂䍁䅁睑療䡁䅉䅚桂䝁䄴兡䅁䅁䩫䅁畁䅁䅁䅒桂䡁䅙兡歂䍁䅁兔灂䝁䅍䅡桂䝁䅕䅢杁䕁䄸睊乂䝁䅅䅢獂䝁䅕入䅁䙁䬰䅁獁䅁䅁䅒桂䡁䅙兡歂䍁䅁兔灂䝁䅍䅡求䝁䅅䅢杁䙁䅑兡獂䝁䅙睢祂䝁䅑䅁潄䅅䅁䅋䅁䕁䅑兙㉂䝁䅫䅚杁䙁䅉兙㕂䍁䅁睑桂䡁䅉䅣求䝁䄴䅤求䡁䅉䅁婄睃䅁杊䅁䕁䅑兙㉂䝁䅫䅚杁䙁䅉睢楂䝁䅕杣あ䍁䅁䅓ㅂ䝁䅉党祂䅁䅁䅴䄸䍁䅷䅁䕂䝁䅅杤灂䝁䅑䅉呂䝁䅍睢あ䡁䅑䅉䭂䝁䄸杣湂䝁䅕杢穂䝁䅕杢䅁䭁久䅁煁䅁䅁䅒桂䡁䅙兡歂䍁䅁睕橂䝁䄸䅤あ䍁䅁睖灂䝁䅍䅡瑂䝁䅅杢畂䅁䅁兆䅳䍁䅉䅁䕂䝁䅅杤灂䝁䅑䅉呂䝁䅕䅤潂䍁䅁村祂䝁䄸睤畂䅁䅁刯䅍䍁䅯䅁䕂䝁䅅杤灂䝁䅑䅉呂䡁䅑党睂䝁䅧党畂䍁䅁䅕桂䝁䄴睡桂䡁䅕䅁卄䅄䅁杉䅁䕁䅑兙㉂䝁䅫䅚杁䙁䅑䅡療䝁䄰兙穂䍁䅁杒療䡁䅫䅁摁䅆䅁䅇䅁䕁䅑兙㉂䝁䅫䅚杁䙁䅑杣灂䝁䅍睡䅁䭁䰰䅁潁䅁䅁䅒桂䡁䅙兡歂䍁䅁睖桂䡁䅉杣求䝁䄴䅉䥂䝁䅅杣祂䝁䅫督䅁䱁允䅁煁䅁䅁䅒桂䡁䅣杢杁䕁䄰兡橂䝁䅧党獂䝁䅕䅉䭂䝁䅅杚浂䡁䅉兙㕂䅁䅁䉶䅍䅁䄴䅁䕂䝁䅅入あ䝁䄸杢䅁䑁乷䅁流䅁䅁䅒桂䡁䅫䅤療䝁䄴䅌杁䕁䄸䅓杁䍁䅧兔求䡁䅑杣療䍁䅫䅁⽁兄䅁杋䅁䕁䅑党卂䝁䅫䅚歂䝁䅕杣獁䍁䅁䅔䉂䍁䅁䅋乂䝁䅫睙祂䝁䄸克䅁偁䱉䅁流䅁䅁䅒求䝁䅅杢杁䕁䅅杣あ䝁䅧兤祂䍁䅁睑療䝁䄴杢療䡁䅉䅁乄权䅁䅌䅁䕁䅑党桂䝁䄴杢桂䍁䅁兔桂䡁䅉兡求䍁䅁兔ㅂ䝁䅷䅢灂䝁䅣兙畂䅁䅁䅴䅫䉁䅉䅁䕂䝁䅕兙祂䝁䅉睢祂䝁䄴䅁⭂䅄䅁䅎䅁䕁䅑党楂䝁䄸杣桂䝁䅧䅉䵂䡁䅫杢畂䍁䅁杕灂䝁䅍党瑁䕁䅯睢潂䝁䄴督療䝁䄴䅁䍃睄䅁䅗䅁䕁䅑党獂䝁䅅睤桂䡁䅉党杁䕁䅷兡浂䝁䅕䅉兂䝁䅅杣あ䝁䄴党祂䡁䅍䅉䵂䕁䅷睑杁䍁䅧睕佂䕁䅷䅉䵂䝁䅫杚求䍁䅁睒祂䝁䄸兤睂䍁䅫䅁祄兄䅁杗䅁䕁䅑党獂䝁䅅睤桂䡁䅉党杁䕁䅷兡浂䝁䅕䅉兂䝁䅅杣あ䝁䄴党祂䡁䅍䅌杁䕁䅷䅔䑂䍁䅁䅋呂䕁䄴䅔杁䕁䅷兡浂䝁䅕䅉䡂䡁䅉睢ㅂ䡁䅁克䅁偁乍䅁十䅁䅁䅒求䝁䄰睢あ䝁䅕睙潂䅁䅁杓䅙䑁䅉䅁䕂䝁䅕杢灂䡁䅍䅉䭂䝁䅕兙畂䍁䄰兔桂䡁䅉兡求䍁䅁睓求䡁䅍督獂䝁䅕杣䅁䱁卫䅁獁䅁䅁䅒求䝁䄴杢灂䡁䅍䅉䭂䝁䅅兢求䡁䅍䅉䵂䝁䅅杢湂䡁䅣党獂䝁䅷䅁煄元䅁䅋䅁䕁䅑党畂䝁䄴兡穂䍁䅁杕療䝁䅉党祂䡁䅑䅉䡂䝁䅷兙穂䡁䅍䅁ㅄ元䅁䅌䅁䕁䅑党畂䝁䄴兡穂䍁䅁杕療䝁䅉党祂䡁䅑䅉坂䝁䅫睚畂䝁䅕兙ㅂ䅁䅁䅢䅫䅁䄴䅁䕂䝁䅕杢㉂䝁䅕杣䅁䍁免䅁䝂䅁䅁䅒求䝁䄴杤求䡁䅉兌䉂䡁䅕杣療䡁䅉兙瑁䕁䅷兙牂䝁䅕睤療䝁䄸䅚獁䍁䅁睑偂䍁䅁䅋乂䝁䅕䅤祂䝁䄸克䅁䭁䩧䅁佂䅁䅁䅒求䡁䅁䅉䑂䝁䄸杢あ䡁䅉兙橂䡁䅑督杁䕁䅑党睂䝁䄸督灂䡁䅑督杁䙁䅉党橂䝁䅕兡㉂䝁䅕䅚杁䍁䅧䅊睁䑁䅁䅍灁䅁䅁䉇䅕䕁䅑䅁䕂䝁䅕䅣療䡁䅍兡あ䍁䅁䅖㕂䡁䅁党杁䕁䅍睢畂䡁䅑杣桂䝁䅍䅤穂䍁䅁睒祂䝁䄸睤あ䝁䅧䅉潁䍁䅕克䅁䉁嘸䅁十䅁䅁䅒求䡁䅉兡歂䝁䅑党祂䅁䅁䄹䅳䉁䅙䅁䕂䝁䅕督杁䕁䄰睢灂䝁䄴党穂䅁䅁䅚䅯䕁䄴䅁䕂䝁䅕督杁䕁䄰睢灂䝁䄴党穂䍁䄰睖求䡁䅍䅤杁䕁䅑党穂䍁䅁兔療䝁䅫杢求䡁䅍䅌杁䕁䅫兑杁䍁䅧兔求䡁䅑杣療䍁䅫䅁佃䅃䅁杇䅁䕁䅑党穂䝁䅍杣灂䡁䅁䅤灂䝁䄸杢杁䅁䅁杨䅣䉁䅁䅁䕂䝁䅕䅤祂䝁䄸兡あ䅁䅁䅮䅳䕁䅧䅁䕂䝁䅕䅤祂䝁䄸兡あ䍁䄰睖桂䡁䅉杣求䝁䄴兌䕂䝁䅕兙祂䝁䅉睢祂䝁䄴䅌杁䕁䄰兓杁䍁䅧兔求䡁䅑杣療䍁䅫䅁桃睃䅁䅊䅁䕁䅑兡桂䝁䄴党杁䕁䅍兙祂䝁䄸䅢杁䕁䅑兙㉂䝁䅫督䅁䑁啯䅁楁䅁䅁䅒灂䝁䅅杢求䍁䅁䅔療䡁䅕兡穂䝁䅕䅉䵂䝁䅕党䅁䭁䵧䅁坂䅁䅁䅒灂䝁䅷兤あ䝁䅕䅚杁䕁䅕䅕呂䍁䅁兙浂䡁䅑党祂䍁䅁兒㑂䡁䅑杣桂䝁䄸杣歂䝁䅫杢桂䡁䅉入杁䍁䅧杕求䡁䅁睢祂䡁䅑党歂䍁䅫䅁䥄䅆䅁杊䅁䕁䅑兡畂䝁䄸䅉䙂䝁䄴杢灂䝁䄸䅉卂䝁䄸杙ㅂ䡁䅍䅤療䅁䅁䉪䅕䕁䄴䅁䕂䝁䅫杣求䝁䅍䅤杁䑁䅅督あ䍁䅁兗祂䍁䅁杊杁䙁䅍兡畂䝁䅣䅢求䍁䅁䅕祂䝁䅕兢灂䡁䅕兢穂䍁䅁䅋歁䑁䅁䅍睁䍁䅫䅁佁兆䅁杖䅁䕁䅑兡祂䝁䅕睙あ䍁䅁免穂䡁䅑䅉婂䡁䅉䅉流䍁䅁睕灂䝁䄴睚獂䝁䅕䅉兂䡁䅉党瑂䝁䅫兤瑂䡁䅍䅉䡂䡁䅉睢㍂䡁䅑䅡杁䍁䅧兊灁䅁䅁䉄䅕䑁䄴䅁䕂䝁䅫杣求䝁䅍䅤杁䙁䅁杣求䝁䄰兡ㅂ䝁䄰督杁䙁䅣杣灂䡁䅑䅤求䝁䄴䅉潁䍁䅑䅍睁䑁䅁克䅁偁䝅䅁䝂䅁䅁䅒灂䡁䅉党橂䡁䅑䅉兂䡁䅉党瑂䝁䅫兤瑂䡁䅍䅉塂䡁䅉兡あ䡁䅑党畂䍁䅁睒祂䝁䄸睤あ䝁䅧䅉潁䍁䅕克䅁䉁䠰䅁䝂䅁䅁䅒灂䡁䅉党橂䡁䅑䅉卂䝁䅕杢求䡁䅣兙獂䍁䅁䅕祂䝁䅕兢灂䡁䅕兢穂䍁䅁睒祂䝁䄸睤あ䝁䅧䅉潁䍁䅕克䅁䉁噫䅁杁䅁䅁䅒灂䡁䅉党橂䡁䅑䅉卂䝁䅕督睂䝁䄸杢穂䝁䅕䅁䭁䅄䅁䅓䅁䕁䅑兡祂䝁䅕睙あ䍁䅁杕求䡁䅍䅣療䝁䄴督求䍁䅷䅉䩂䝁䄴䅚求䡁䅁党畂䝁䅑党畂䡁䅑䅉䉂䝁䅣党畂䝁䅍入䅁偁佳䅁ぁ䅁䅁䅒灂䡁䅙兡歂䝁䅕杢歂䍁䅁䅕桂䡁䅫睢ㅂ䡁䅑䅉卂䝁䅅䅤灂䝁䄸䅉潁䍁䅕克䅁䵁啙䅁䕂䅁䅁䅒灂䡁䅙兡歂䝁䅕杢歂䡁䅍䅉啂䝁䄸䅉兂䝁䄸䅢灂䝁䅍入潂䝁䄸䅢歂䝁䅕杣穂䍁䅁䅋歁䑁䅁䅍睁䍁䅫䅁潂睂䅁村䅁䕁䅑兡㉂䝁䅫䅚求䝁䄴䅚穂䍁䅁䅖療䍁䅁睕あ䝁䄸睙牂䝁䅧睢獂䝁䅑党祂䡁䅍䅉潁䍁䅑䅍睁䑁䅁克䅁䍁䡳䅁捂䅁䅁䅒療䝁䅍䅤療䡁䅉督杁䕁䅍睢畁䍁䅁兑畂䍁䅁兓畂䡁䅑党祂䝁䅫杢穂䡁䅕杣桂䝁䄴睙求䍁䅁䅋呂䕁䄴䅔杁䙁䅁杊䑂䍁䅁睒祂䝁䄸兤睂䍁䅫䅁㥄兄䅁䅥䅁䕁䅑睢橂䡁䅑睢祂䡁䅍䅉䑂䝁䄸兢睂䝁䅅杢㕂䍁䅷䅉䉂䝁䄴䅉䩂䝁䄴䅤求䡁䅉兡畂䡁䅍兤祂䝁䅅杢橂䝁䅕䅉䙂䡁䅧睙潂䝁䅅杢湂䝁䅕䅉潁䙁䅍杔䵂䍁䅁䅕流䕁䅍䅉䡂䡁䅉睢ㅂ䡁䅁克䅁偁临䅁畁䅁䅁䅒療䝁䅑杣灂䝁䅑睚求䍁䅁䅒求䝁䄴䅤療䝁䄴䅉乂䝁䅫䅢獂䝁䅕杣䅁䩁卅䅁獁䅁䅁䅒療䝁䄰兡畂䝁䅫睙杁䕁䅯兙瑂䝁䅕督杁䕁䅅䅚歂䝁䅕督穂䝁䄸䅁牂杄䅁杌䅁䕁䅑睢瑂䝁䅫杢灂䝁䅍䅉䭂䝁䄸䅡畂䍁䅁杒祂䝁䅕䅚求䡁䅉兡橂䝁䄸䅁橂䅄䅁杊䅁䕁䅑睢畂䝁䅅䅢歂䍁䅁睑祂䝁䅅兡湂䍁䅁兔求䝁䄴督求䅁䅁杆䅫䑁䅁䅁䕂䝁䄸杢桂䝁䅷䅚杁䕁䅧党祂䝁䅉党祂䡁䅑䅉佂䝁䅫睡療䝁䅷兙ㅂ䡁䅍䅁偁杄䅁杋䅁䕁䅑睢畂䝁䅅䅢歂䍁䅁杓療䡁䅍党睂䝁䅧䅉呂䝁䅕兡楂䝁䅕䅢䅁䩁佑䅁慁䅁䅁䅒療䝁䄴兙獂䝁䅑䅉䵂䝁䅕睤灂䡁䅍䅁獂睄䅁杍䅁䕁䅑睢畂䝁䅅䅢歂䍁䅁兔灂䝁䅍䅡桂䝁䅕䅢杁䕁䅅杢あ䝁䄸杢ㅂ䝁䅍睙灂䅁䅁桡䅉䑁䅁䅁䕂䝁䄸杢桂䝁䅷䅚杁䙁䅉兡橂䝁䅧兙祂䝁䅑䅉塂䝁䅫䅢獂䝁䅫兙瑂䡁䅍䅁楁杅䅁䅊䅁䕁䅑睢畂䝁䅅䅢歂䍁䅁䅖畁䍁䅁睕橂䝁䅅杢獂䝁䄸杢䅁䵁偁䅁兂䅁䅁䅒療䝁䄴党湂䝁䅅䅢杁䕁䅫杢穂䡁䅕杣桂䝁䄴睙求䍁䅁睒祂䝁䄸兤睂䍁䅁䅋呂䕁䄴䅔杁䙁䅁杊䑂䍁䅁睒祂䝁䄸兤睂䍁䅫䅁䥁杄䅁䅍䅁䕁䅑睢祂䝁䅫杢橂䝁䄸䅉卂䝁䅕兡畂䡁䅍兤祂䝁䅅杢橂䝁䅕䅉䑂䝁䄸杌䅁䉁佉䅁㑁䅁䅁䅒療䡁䅉兡畂䝁䅍睢杁䙁䅉党灂䝁䄴督ㅂ䡁䅉兙畂䝁䅍党杁䕁䅍睢瑂䡁䅁兙畂䡁䅫䅁呁杄䅁䅋䅁䕁䅑睢祂䝁䄸䅤潂䡁䅫䅉䉂䝁䄴杢杁䕁䅍睢獂䝁䅕兢桂䝁䄴䅁㑂杄䅁杊䅁䕁䅑睢ㅂ䝁䅣䅢桂䡁䅍䅉䕂䝁䅕兙畂䍁䅁䅒灂䡁䅉睡穂䅁䅁免䄴䍁䅙䅁䕂䝁䄸兤湂䝁䅷兙穂䍁䅁睒獂䝁䅕杢杁䙁䅣睢獂䝁䅙杚䅁䵁䩅䅁獁䅁䅁䅒療䡁䅕睚獂䝁䅅督杁䕁䅣杣桂䝁䅧兙瑂䍁䅁兒獂䝁䅷兡療䡁䅑䅁䵄元䅁杋䅁䕁䅑睢ㅂ䝁䅣䅢桂䡁䅍䅉乂䍁䄴䅉呂䡁䅑党求䝁䄴䅢桂䝁䄴䅚䅁佁䡍䅁潁䅁䅁䅒療䡁䅕睚獂䝁䅅督杁䙁䅉兙畂䝁䅑睢畂䍁䅁杕求䝁䄴杢䅁䥁䰸䅁潁䅁䅁䅒療䡁䅕睚獂䝁䅅督杁䙁䅉兙㕂䍁䅁睕求䡁䅫兢療䡁䅕杣䅁佁伸䅁煁䅁䅁䅒療䡁䅕睚獂䝁䅅督杁䙁䅉党求䝁䅑䅉䥂䝁䅅杢橂䝁䄸睙牂䅁䅁杶䅷䑁䅑䅁䕂䝁䄸兤湂䝁䅷兙穂䍁䅁杕灂䝁䅍䅡桂䡁䅉䅚杁䙁䅑兡瑂䝁䄰党祂䝁䄰兙畂䅁䅁杯䅳䉁䅷䅁䕂䝁䄸睤畂䝁䅕杣穂䍁䅁睒祂䝁䄸杤求䅁䅁八䄸䉁䅑䅁䕂䝁䄸睤畂䝁䅣杣桂䝁䅑党䅁䙁䥫䅁流䅁䅁䅒祂䝁䅕睤杁䕁䅳兡求䝁䅧杢杁䙁䅍䅣灂䡁䅑来求䡁䅉䅁䅁元䅁杄䅁䕁䅑兤獂䡁䅕䅤潂䅁䅁剈䅉䍁䅙䅁䕂䡁䅣兙㕂䝁䄴党杁䕁䅅䅢獂䝁䅕杢杁䕁䅣兙畂䡁䅑来䅁偁卣䅁獁䅁䅁䅒㍂䝁䅅入畂䝁䅕䅉䕂䡁䅕杢橂䝁䅅杢杁䕁䅧兙獂䝁䅷兢桂䝁䄴䅁灃睄䅁李䅁䕁䅕䅕呂䍁䅁兙浂䡁䅑党祂䍁䅁兒㑂䡁䅑杣桂䍁䅁睒祂䝁䄸睤あ䝁䅧䅉潁䍁䅕克䅁䵁啫䅁䵁䅁䅁兒桂䝁䅣兙畂䅁䅁朲䅷䝁䄴䅁䙂䝁䅅杣畂䝁䅕䅚杁䕁䅉兤あ䍁䅁兖畂䝁䅉兡獂䝁䅷党歂䍁䅁䅕祂䝁䅕兢灂䡁䅕兢穂䍁䅁兑穂䡁䅍睢橂䝁䅫兙あ䝁䅕䅚杁䡁䅣睌杁䙁䅕兒兂䙁䅉䅉潁䍁䅑䅍睁䑁䅁克䅁乁啳䅁潂䅁䅁兒桂䡁䅉杢求䝁䅑䅉楂䡁䅕䅤杁䙁䅕杢楂䝁䅫䅢獂䝁䅕䅚杁䙁䅁杣求䝁䄰兡ㅂ䝁䄰督杁䕁䄴党あ䍁䅁杕求䝁䅫杢穂䡁䅕杣桂䝁䄴睙求䍁䅁䅋歁䑁䅁䅍睁䍁䅫䅁摄䅆䅁杍䅁䕁䅕䅚㍂䝁䅅杣歂䍁䅁杓桂䝁䄰党穂䍁䅁䅔桂䡁䅉睚求䝁䄴䅤杁䕁䅫兓䩂䅁䅁䉅䅑䍁䅙䅁䙂䝁䅑睤桂䡁䅉䅚杁䕁䅯睢潂䝁䄴䅉䍂䝁䄸杢桂䝁䅍䅡䅁䉁䨸䅁楁䅁䅁兒歂䡁䅣兙祂䝁䅑䅉䭂䝁䄸䅡畂䍁䅁睓ㅂ䝁䅧䅢䅁䭁內䅁煁䅁䅁兒歂䡁䅣兙祂䝁䅑䅉䭂䝁䄸督求䡁䅁䅡杁䙁䅍䅤桂䝁䄴睙療䅁䅁硩䅍䍁䅷䅁䙂䝁䅑睤桂䡁䅉䅚杁䕁䅷党㍂䝁䅫督杁䙁䅉兙畂䝁䅑䅉䭂䡁䅉杌䅁䍁卷䅁兂䅁䅁兒浂䝁䅙党橂䡁䅑兡㉂䝁䅕䅉䕂䝁䅅䅤求䍁䅁睢浂䍁䅁兔桂䡁䅑兤祂䝁䅫䅤㕂䍁䅁䅋瑂䝁䄰睌歂䝁䅑睌㕂䡁䅫入㕂䍁䅫䅁楃睂䅁䅏䅁䕁䅕杚浂䝁䅕睙あ䝁䅫杤求䍁䅁兓畂䡁䅑党祂䝁䅕督あ䍁䅁杕桂䡁䅑党杁䍁䅧兊灁䅁䅁杮䅣䍁䄴䅁䙂䝁䅙杚求䝁䅍䅤灂䡁䅙党杁䙁䅑兙㑂䍁䅁杕桂䡁䅑党杁䍁䅧兊灁䅁䅁杆䅣䉁䅯䅁䙂䝁䅫睚潂䡁䅑䅡杁䕁䅙䅢療䝁䄸杣䅁䭁䭯䅁睁䅁䅁兒灂䝁䅷党求䝁䄴䅉䑂䝁䅷兙灂䡁䅉党杁䕁䄰睙䕂䝁䄸杢畂䝁䅕䅢獂䅁䅁睗䅯䍁䅑䅁䙂䝁䅫䅢求䝁䅕杢杁䕁䅳兙㕂䍁䅁杒潂䝁䅅杢求䡁䅉䅁煄䅃䅁䅉䅁䕁䅕䅢桂䝁䅫杢求䍁䅁䅒畁䍁䅁杕療䡁䅍党畂䅁䅁兗䅷䑁䅁䅁䙂䝁䅷兡㙂䝁䅅杙求䡁䅑䅡杁䙁䅣兙祂䝁䅑䅉䑂䝁䅧兡橂䝁䅅杣求䡁䅍䅁䅁䅃䅁杓䅁䕁䅕兢楂䝁䅷党瑂䕁䅧党桂䝁䅷䅤潂䍁䅁兓畂䝁䅍杌杁䍁䅧睕佂䕁䅷䅉䥂䝁䅕兙獂䡁䅑䅡杁䕁䅣杣療䡁䅕䅣灁䅁䅁睈䄴䕁䅷䅁䙂䝁䄰杙獂䝁䅕兢䥂䝁䅕兙獂䡁䅑䅡獁䍁䅁兓畂䝁䅍杌杁䍁䅧睕佂䕁䅷䅉䥂䝁䅕兙獂䡁䅑䅡杁䕁䅣杣療䡁䅕䅣灁䅁䅁䅉䄴䙁䅑䅁䙂䝁䄰䅣獂䝁䄸入求䡁䅉督杁䕁䅫杢穂䡁䅕杣桂䝁䄴睙求䍁䅁睒祂䝁䄸兤睂䍁䅁䅋呂䕁䄴䅔杁䙁䅁杊䑂䍁䅁睒祂䝁䄸兤睂䍁䅫䅁灁杄䅁䅘䅁䕁䅕兢睂䝁䅷睢㕂䝁䅕杣穂䍁䅁兔ㅂ䡁䅑兤桂䝁䅷䅉䑂䝁䅅督ㅂ䝁䅅䅢あ䡁䅫䅉䑂䝁䄸杌杁䍁䅧睕佂䕁䅷䅉兂䍁䅙睑杁䕁䅣杣療䡁䅕䅣灁䅁䅁兎䄴䝁䅑䅁䙂䝁䄰䅣獂䝁䄸入求䡁䅉督杁䕁䄰兤あ䡁䅕兙獂䍁䅁睑桂䡁䅍兤桂䝁䅷䅤㕂䍁䅁睑療䝁䄰䅣桂䝁䄴入杁䍁䅧睕佂䕁䅷䅉兂䍁䅙睑杁䕁䅣杣療䡁䅕䅣灁䅁䅁李䄴䍁䅧䅁䙂䝁䄴睙ㅂ䝁䄰杙祂䝁䅅杢橂䝁䅕督杁䍁䅧䅊睁䑁䅁䅍灁䅁䅁六䅅䙁䅯䅁䙂䝁䄴䅚ㅂ䡁䅉兙畂䝁䅍党杁䙁䅍䅣求䝁䅍兡桂䝁䅷䅤㕂䍁䅁䅓療䝁䅷䅚灂䝁䄴睚穂䍁䅁䅋呂䕁䄴䅔杁䙁䅁杊䑂䍁䅁睒祂䝁䄸兤睂䍁䅫䅁⽁杄䅁䅚䅁䕁䅕杢歂䡁䅕杣桂䝁䄴睙求䍁䅁睕睂䝁䅕睙灂䝁䅅䅢あ䡁䅫䅉䥂䝁䄸䅢歂䝁䅫杢湂䡁䅍䅉䵂䡁䅑䅚畁䍁䅁䅋呂䕁䄴䅔杁䙁䅁杊䑂䍁䅁睒祂䝁䄸兤睂䍁䅫䅁䅂杄䅁杓䅁䕁䅕杢穂䡁䅑兙祂䍁䅁睒祂䝁䄸兤睂䍁䅁䅔灂䝁䄰兡あ䝁䅕䅚杁䍁䅧睕佂䕁䅷䅉兂䍁䅙睑杁䕁䅣杣療䡁䅕䅣灁䅁䅁兓䄴䕁䅑䅁䙂䝁䄴督あ䝁䅅杣杁䕁䅣杣療䡁䅕䅣杁䕁䅷䅤歂䍁䄴䅉潁䙁䅍杔䵂䍁䅁䅕流䕁䅍䅉䡂䡁䅉睢ㅂ䡁䅁克䅁䕁佯䅁歁䅁䅁兒畂䡁䅑兡あ䡁䅫䅉䵂䝁䄸杢湂䍁䅁杔桂䝁䄰党杁䅁䅁兲䅣䉁䅯䅁䙂䝁䄴䅤灂䡁䅑入杁䕁䄴兙瑂䝁䅕䅉䅁䉁䍯䅁㙁䅁䅁兒硂䡁䅕兡啂䡁䅉兤穂䡁䅑䅉䵂䝁䅫杚求䍁䅁兓畂䡁䅍兤祂䝁䅅杢橂䝁䅕䅉䑂䝁䄸杌䅁䑁䩉䅁䍂䅁䅁兒硂䡁䅕兡啂䡁䅉兤穂䡁䅑䅉䵂䝁䅫杚求䍁䅁兓畂䡁䅍兤祂䝁䅅杢橂䝁䅕䅉䑂䝁䄸兢睂䝁䅅杢㕂䅁䅁睍䅫䍁䅑䅁䙂䡁䅅兤灂䡁䅑入杁䕁䅣杣療䡁䅣䅤潂䍁䅁䅋汁䍁䅫䅁䵄䅆䅁䅐䅁䕁䅕兣ㅂ䝁䅫䅤㕂䍁䅁睕求䝁䅍兤祂䝁䅫䅤灂䝁䅕督癁䍁䅁兑穂䡁䅍党あ䡁䅍䅉潁䍁䅕克䅁䱁唸䅁歁䅁䅁兒祂䝁䅫睙杁䕁䅅杌杁䕁䅙党獂䝁䅑督あ䝁䅕兡畂䅁䅁睩䄸䍁䅯䅁䙂䡁䅉兡橂䍁䅁兑畂䡁䅍党獂䍁䅁杒求䝁䅷䅚穂䡁䅑党灂䝁䄴䅁⽃兆䅁䅋䅁䕁䅕杣灂䝁䅍䅉䥂䝁䅫杢瑂䝁䅅杢杁䙁䅍睙潂䡁䅕䅢あ䡁䅯䅁坂睄䅁䅊䅁䕁䅕杣灂䝁䅍䅉䵂䝁䅕睢畂䍁䅁䅓療䝁䅷睢瑂䝁䅅杢䅁䑁䩷䅁䭁䅁䅁兒祂䝁䅫党䅁䕁䩍䅁⭁䅁䅁兒祂䝁䅫党杁䕁䅙兙瑂䝁䅫䅢㕂䍁䅁䅔灂䝁䅙党杁䕁䅫杢穂䡁䅕杣桂䝁䄴睙求䍁䅁睑療䍁䄴䅁呂杄䅁杒䅁䕁䅕杣灂䝁䅕䅉䝂䝁䅅兢灂䝁䅷入杁䕁䅷兡浂䝁䅕䅉䩂䝁䄴督ㅂ䡁䅉兙畂䝁䅍党杁䕁䅍睢瑂䡁䅁兙畂䡁䅫䅁啂杄䅁杓䅁䕁䅕杣灂䝁䅕䅉䩂䝁䄴督ㅂ䡁䅉兙畂䝁䅍党杁䕁䅣杣療䡁䅕䅣杁䍁䅧睕佂䕁䅷䅉兂䍁䅙睑杁䕁䅣杣療䡁䅕䅣灁䅁䅁睐䅫䍁䅉䅁䙂䡁䅉兡求䍁䅷䅉兂䕁䅅䅉潁䕁䄰党あ䡁䅉睢灁䅁䅁杒䅫䍁䅧䅁䙂䡁䅉兡牂䍁䅁兔桂䝁䅣杢ㅂ䡁䅍䅉䥂䝁䅕䅢歂䝁䅫杢湂䅁䅁䅉䅫䑁䅙䅁䙂䡁䅉杢求䡁䅍䅤杁䕁䄰兙獂䝁䅍睢獂䝁䄰䅉乂䝁䅍杔求䝁䅫䅢獂䍁䅁杓祂䍁䄴䅁湁权䅁杊䅁䕁䅕杣畂䝁䅕督あ䍁䅁睕㕂䝁䅷杤桂䝁䄴䅉卂䝁䅅䅚㕂䅁䅁眴䄸䑁䅁䅁䙂䡁䅍杚桂䝁䄴䅚㕂䝁䅅杣杁䕁䅕杣ㅂ䝁䅍䅡杁䕁䅑兡畂䡁䅍䅡桂䡁䅣䅁䩃权䅁䅕䅁䕁䅕督穂䝁䅕杢あ䍁䅁兖呂䍁䅁䅓療䝁䅷䅚灂䝁䄴睚穂䍁䅁兓畂䝁䅍杌杁䍁䅧睕佂䕁䅷䅉兂䍁䅙睑杁䕁䅣杣療䡁䅕䅣灁䅁䅁兗䄴䙁䅉䅁䙂䡁䅍督求䝁䄴䅤杁䙁䅕睕杁䕁䅧睢獂䝁䅑兡畂䝁䅣督獁䍁䅁兓畂䝁䅍杌杁䍁䅧睕佂䕁䅷䅉兂䍁䅙睑杁䕁䅣杣療䡁䅕䅣灁䅁䅁杗䄴䕁䅷䅁䙂䡁䅙党祂䝁䅕督あ䍁䅁杕求䍁䅁睒祂䝁䄸兤睂䍁䅁䅔あ䝁䅑杌杁䍁䅧睕佂䕁䅷䅉兂䍁䅙睑杁䕁䅣杣療䡁䅕䅣灁䅁䅁睙䄴䕁䄴䅁䙂䡁䅙党祂䝁䅕督あ䍁䅁杕求䍁䅁睒祂䝁䄸兤睂䍁䅷䅉䵂䡁䅑䅚畁䍁䅁䅋呂䕁䄴䅔杁䙁䅁杊䑂䍁䅁睒祂䝁䄸兤睂䍁䅫䅁歂杄䅁䅎䅁䕁䅕䅥橂䝁䅕䅢獂䡁䅕督杁䕁䅧党桂䝁䅷䅤潂䍁䅁䅕獂䝁䅅杢杁䕁䅫杢橂䍁䄴䅁療杄䅁李䅁䕁䅕䅥橂䝁䅕䅢獂䡁䅕督杁䕁䅧党桂䝁䅷䅤潂䍁䅁䅕獂䝁䅅杢獁䍁䅁兓畂䝁䅍杌䅁䝁伴䅁歁䅁䅁兒㑂䡁䅁党畂䡁䅍党杁䙁䅉兙あ䝁䅫睢杁䍁䅧兊灁䅁䅁眯䅙䑁䅧䅁䙂䡁䅧䅣求䝁䄴督求䍁䅁杕桂䡁䅑兡療䑁䅯䅉兂䡁䅉党瑂䝁䅫兤瑂䡁䅍䅉潁䍁䅕克䅁䅁嘰䅁煁䅁䅁兒㑂䡁䅁党畂䡁䅍党穂䍁䅁䅕桂䝁䅫䅚杁䍁䅧䅊睁䑁䅁䅍灁䅁䅁兖䅣䙁䄴䅁䙂䡁䅧䅣祂䝁䅕督穂䍁䅁睕橂䡁䅉兡睂䡁䅑督杁䕁䅧睢獂䝁䅑兡畂䝁䅣䅉䑂䝁䄸杌杁䍁䅧睕佂䕁䅷䅉䥂䝁䅕兙獂䡁䅑䅡杁䕁䅣杣療䡁䅕䅣灁䅁䅁睥䄴䡁䅉䅁䙂䡁䅧䅣祂䝁䅕督穂䍁䅁睕橂䡁䅉兡睂䡁䅑督杁䕁䅧睢獂䝁䅑兡畂䝁䅣䅉䑂䝁䄸兢睂䝁䅅杢㕂䍁䅷䅉䩂䝁䄴睙畁䍁䅁䅋呂䕁䄴䅔杁䕁䅧党桂䝁䅷䅤潂䍁䅁睒祂䝁䄸兤睂䍁䅫䅁㡂杄䅁䅖䅁䕁䅙村䵂䍁䅁杒灂䝁䄴兙畂䝁䅍兡桂䝁䅷䅉䡂䡁䅉睢ㅂ䡁䅁䅉䩂䝁䄴睙畁䍁䅁䅋呂䕁䄴䅔杁䕁䅷兡浂䝁䅕䅉䡂䡁䅉睢ㅂ䡁䅁克䅁䩁佣䅁坂䅁䅁杒䍂䕁䅷䅉䝂䝁䅫杢桂䝁䄴睙灂䝁䅅䅢杁䕁䅣杣療䡁䅕䅣獁䍁䅁兓畂䝁䅍杌杁䍁䅧睕佂䕁䅷䅉䵂䝁䅫杚求䍁䅁睒祂䝁䄸兤睂䍁䅫䅁奃杄䅁杕䅁䕁䅙睑䑂䕁䅫䅉乂䡁䅕䅤ㅂ䝁䅅䅢杁䕁䅫杢穂䍁䅁䅓獂䝁䅑睚杁䕁䅍睢畁䍁䅁䅋呂䕁䄴䅔杁䙁䅁杊䑂䍁䅁睒祂䝁䄸兤睂䍁䅫䅁捃杄䅁䅢䅁䕁䅙睑䑂䕁䅫䅉乂䡁䅕䅤ㅂ䝁䅅䅢杁䕁䅫杢穂䡁䅕杣桂䝁䄴睙求䍁䅁䅓療䝁䅷䅚灂䝁䄴睚杁䕁䅍睢瑂䡁䅁兙畂䡁䅫䅉潁䙁䅍杔䵂䍁䅁䅕流䕁䅍䅉䡂䡁䅉睢ㅂ䡁䅁克䅁䩁估䅁䝁䅁䅁杒䵂䅁䅁杯䄴䑁䅑䅁䝂䕁䄰䅉䡂䝁䅷睢楂䝁䅅䅢杁䍁䅧睕佂䕁䅷䅉兂䍁䅙睑杁䕁䅣杣療䡁䅕䅣灁䅁䅁睢䅫䕁䅷䅁䝂䝁䅅兡祂䍁䅁杖桂䝁䅷兤求䍁䅁䅕求䡁䅉䅉噂䝁䄴兡あ䍁䅁䅋䉂䡁䅍䅉卂䝁䅕䅣療䡁䅉䅤求䝁䅑克杁䍁䅧䅊灁䅁䅁杭䅣䑁䅁䅁䝂䝁䅅兡祂䍁䅁杖桂䝁䅷兤求䍁䅁䅣求䡁䅉䅉噂䝁䄴兡あ䍁䅁䅋歁䍁䅫䅁婃睂䅁杖䅁䕁䅙兙灂䡁䅉杚桂䡁䅧䅉䝂䝁䅫杢桂䝁䄴睙灂䝁䅅䅢杁䕁䅧睢獂䝁䅑兡畂䝁䅣督杁䍁䅧睕佂䕁䅷䅉兂䍁䅙睑杁䕁䅣杣療䡁䅕䅣灁䅁䅁兔䅫䝁䅙䅁䝂䝁䅅兡祂䝁䅙兙㑂䍁䅁杒灂䝁䄴兙畂䝁䅍兡桂䝁䅷䅉䥂䝁䄸䅢歂䝁䅫杢湂䡁䅍䅉䵂䝁䅫兢灂䡁䅑党歂䍁䅁䅋呂䕁䄴䅔杁䙁䅁杊䑂䍁䅁睒祂䝁䄸兤睂䍁䅫䅁佂元䅁䅆䅁䕁䅙兙灂䡁䅉杚灂䝁䅕䅢歂䅁䅁睩䄰䍁䅙䅁䝂䝁䅅杣灂䝁䅉睢祂䡁䅯䅉卂䝁䄸督あ䝁䅅兢灂䝁䅅杢䅁佁偉䅁⭁䅁䅁杒桂䡁䅉兢杁䕁䅉兤祂䝁䅕兙ㅂ䍁䅁䅔灂䝁䅙党杁䕁䅫杢穂䍁䅁睑療䍁䄴䅉療䝁䅙䅉乂䕁䅫䅁䕃杄䅁杘䅁䕁䅙兙祂䝁䄰䅉䍂䡁䅕杣求䝁䅅兤杁䕁䅷兡浂䝁䅕䅉䩂䝁䄴督ㅂ䡁䅉兙畂䝁䅍党杁䕁䅍睢瑂䡁䅁兙畂䡁䅫䅉療䝁䅙䅉乂䝁䅫睙潂䝁䅫睚桂䝁䄴䅁䙃杄䅁杘䅁䕁䅙兙祂䝁䄰䅉䍂䡁䅕杣求䝁䅅兤杁䕁䄰兤あ䡁䅕兙獂䍁䅁䅓療䝁䅷䅚灂䝁䄴睚杁䕁䅍睢畁䍁䅁䅋呂䕁䄴䅔杁䙁䅁杊䑂䍁䅁睒祂䝁䄸兤睂䍁䅫䅁佃杄䅁杚䅁䕁䅙兙祂䝁䄰䅉䍂䡁䅕杣求䝁䅅兤杁䕁䄰兤あ䡁䅕兙獂䍁䅁䅓療䝁䅷䅚灂䝁䄴睚杁䕁䅍睢瑂䡁䅁兙畂䡁䅫䅉潁䙁䅍杔䵂䍁䅁䅕流䕁䅍䅉䡂䡁䅉睢ㅂ䡁䅁克䅁䥁估䅁煂䅁䅁杒桂䡁䅉兢求䡁䅉督杁䕁䅫杢穂䡁䅕杣桂䝁䄴睙求䍁䅁睒祂䝁䄸兤睂䍁䅁睢浂䍁䅁睑療䝁䄰䅣桂䝁䄴兡求䡁䅍䅉潁䙁䅍杔䵂䍁䅁䅕流䕁䅍䅉䡂䡁䅉睢ㅂ䡁䅁克䅁䙁䩧䅁敂䅁䅁杒桂䡁䅉兢求䡁䅉督杁䕁䅫杢穂䡁䅕杣桂䝁䄴睙求䍁䅁睒祂䝁䄸兤睂䍁䅁睢浂䍁䅁睑療䡁䅍䅉潁䙁䅍杔䵂䍁䅁䅕流䕁䅍䅉䡂䡁䅉睢ㅂ䡁䅁克䅁䙁䩫䅁楁䅁䅁杒桂䡁䅉兢灂䝁䄴睚あ䝁䄸杢杁䕁䅧兡獂䝁䅷督䅁䅁䵅䅁奁䅁䅁杒桂䡁䅧䅉佂䡁䅕兢楂䝁䅕杣杁䅁䅁桮䅑䕁䅷䅁䝂䝁䅕䅚求䡁䅉兙獂䍁䅁杊杁䕁䅙睢祂䝁䅕兡湂䝁䄴䅉䩂䝁䄴睙療䝁䄰党杁䙁䅑兙㑂䝁䅕督杁䍁䅧䅊睁䑁䅁䅍灁䅁䅁䅢䅣䑁䅯䅁䝂䝁䅕䅚求䡁䅉兙あ䝁䅕䅚杁䕁䅷兡浂䝁䅕䅉䩂䝁䄴督ㅂ䡁䅉兙畂䝁䅍党杁䕁䅍睢畁䅁䅁共䄴䕁䅉䅁䝂䝁䅕䅚求䡁䅉兙あ䝁䅕䅚杁䕁䅷兡浂䝁䅕䅉䩂䝁䄴督ㅂ䡁䅉兙畂䝁䅍党杁䕁䅍睢瑂䡁䅁兙畂䡁䅫䅁潃杄䅁杔䅁䕁䅙党歂䝁䅕杣桂䡁䅑党歂䍁䅁兔ㅂ䡁䅑兤桂䝁䅷䅉䡂䡁䅉睢ㅂ䡁䅁䅉潁䙁䅍杔䵂䍁䅁䅕流䕁䅍䅉䡂䡁䅉睢ㅂ䡁䅁克䅁䱁何䅁楁䅁䅁杒湂䝁䄴䅉䡂䝁䄸杤㙁䍁䅁䅔啂䍁䅁村療䝁䄴䅚䅁䅁䉷䅁楁䅁䅁杒湂䝁䄴䅉䡂䝁䄸杤㙁䍁䅁睕啂䍁䅁村療䝁䄴䅚䅁䝁䅳䅁杂䅁䅁杒灂䝁䅑党獂䝁䅫䅤㕂䍁䅁杊杁䕁䅣兤桂䡁䅉兙畂䡁䅑入杁䕁䅷兡浂䝁䅕䅉䡂䡁䅉睢ㅂ䡁䅁䅉潁䙁䅍杔䵂䍁䅁䅔灂䝁䅙党杁䕁䅣杣療䡁䅕䅣灁䅁䅁䅚䅫䉁䅧䅁䝂䝁䅫杚あ䝁䅧䅉䝂䝁䅷睢療䡁䅉䅁乂杄䅁条䅁䕁䅙兡畂䝁䅅杢橂䝁䅕䅉流䍁䅁睕求䡁䅉杤灂䝁䅍党杁䕁䅍䅡桂䡁䅉睚求䡁䅍䅉偂䡁䅑䅡求䡁䅉䅉あ䝁䅧兙畂䍁䅁䅕祂䝁䅕兢灂䡁䅕兢穂䍁䅁䅋歁䑁䅁䅍睁䍁䅫䅁煂睂䅁李䅁䕁䅙兡畂䝁䅅杢橂䝁䅫兙獂䍁䅁睒ㅂ䝁䅅杣桂䝁䄴䅤㕂䍁䅁兓畂䡁䅍䅉䑂䝁䄸杌䅁䱁佣䅁䭂䅁䅁杒灂䝁䄴兙畂䝁䅍兡桂䝁䅷䅉䡂䡁䅕兙祂䝁䅅杢あ䡁䅫䅉䩂䝁䄴督ㅂ䡁䅉兙畂䝁䅍党杁䕁䅍睢瑂䡁䅁兙畂䡁䅫䅁㑃杄䅁䅖䅁䕁䅙兡畂䝁䅅杢橂䝁䅫兙獂䍁䅁兓畂䡁䅍䅤灂䡁䅑兤あ䝁䅫睢畂䍁䅷䅉䩂䝁䄴䅚求䡁䅁党畂䝁䅑党畂䡁䅑䅉䉂䝁䅣党畂䝁䅍入䅁乁刴䅁㉁䅁䅁杒灂䝁䄴兙畂䝁䅍兡桂䝁䅷䅉呂䡁䅑杣求䝁䄴睚あ䝁䅧䅉卂䝁䅅䅤灂䝁䄴睚杁䅁䅁免䅙䙁䅧䅁䝂䝁䅫杢桂䝁䄴睙灂䝁䅅䅢杁䙁䅍䅤祂䝁䅕杢湂䡁䅑䅡杁䙁䅉兙あ䝁䅫杢湂䍁䅁䅒桂䡁䅑党杁䍁䅧兢瑂䍁䄸䅚歂䍁䄸入㕂䡁䅫入灁䅁䅁䅓䅙䕁䅯䅁䝂䝁䅫杢桂䝁䄴睙灂䝁䅅䅢杁䙁䅍䅤祂䝁䅕杢湂䡁䅑䅡杁䙁䅉兙あ䝁䅫杢湂䍁䅁䅒灂䡁䅉党橂䡁䅑兡療䝁䄴䅉䅁䑁䜴䅁䍂䅁䅁杒灂䝁䄴兙畂䝁䅍兡桂䝁䅷䅉呂䡁䅑杣求䝁䄴睚あ䝁䅧䅉卂䝁䅅䅤灂䝁䄴睚杁䙁䅣兙あ䝁䅍䅡杁䅁䅁杏䅙䉁䅷䅁䝂䝁䅫䅤橂䝁䅧䅉卂䝁䅅䅤灂䝁䄴睚穂䅁䅁䅑䅙䑁䅉䅁䝂䝁䅷睢㕂䝁䅑䅉䝂䝁䅫䅤㙂䍁䄰䅓ㅂ䝁䅉党祂䡁䅑䅉䑂䝁䅧兙歂䝁䅕党䅁䅁䭷䅁十䅁䅁杒療䡁䅉䅉呂䝁䅅䅢求䅁䅁䅥䅁䑁䅑䅁䝂䝁䄸杣求䝁䅫睚畂䍁䅁睑療䝁䅑党杁䕁䅑党穂䝁䅍杣灂䡁䅁䅤灂䝁䄸杢杁䅁䅁公䅣䙁䅯䅁䝂䝁䄸杣求䝁䅫睚畂䍁䅁兒㑂䝁䅍䅡桂䝁䄴睚求䍁䅁睑潂䝁䅅杢湂䝁䅕䅉灂䝁䄴䅉䍂䝁䄸睢牂䍁䅁杖桂䝁䅷兤求䍁䅁䅋歁䑁䅁䅍睁䍁䅫䅁䉃允䅁䅗䅁䕁䅙睢祂䝁䅕兡湂䝁䄴䅉䡂䝁䄸杤湁䡁䅑杏杁䕁䅉睢畂䝁䅑督㙁䍁䅁睑桂䡁䅉杣㕂䝁䅫杢湂䍁䅁杖桂䝁䅷兤求䍁䅁䅋歁䑁䅁䅍睁䍁䅫䅁偄睂䅁杆䅁䕁䅙睢祂䡁䅑䅉塂䝁䄸杣あ䝁䅧䅁䝄杄䅁杘䅁䕁䅙睢祂䡁䅑杣求䡁䅍督杁䕁䅫杢㉂䝁䅕督あ䝁䄰党畂䡁䅑䅉䡂䡁䅉睢ㅂ䡁䅁䅉䵂䕁䅷睑杁䍁䅧睕佂䕁䅷䅉䵂䝁䅫杚求䍁䅁睒祂䝁䄸兤睂䍁䅫䅁䍄杄䅁杘䅁䕁䅙睢穂䡁䅕杢杁䕁䅫杢あ䝁䅕杣畂䝁䅅䅤灂䝁䄸杢桂䝁䅷䅉䥂䝁䅷䅚湂䡁䅍䅉䵂䡁䅑䅚畁䍁䅁䅋呂䕁䄴䅔杁䙁䅁杊䑂䍁䅁睒祂䝁䄸兤睂䍁䅫䅁䭄杄䅁䅚䅁䕁䅙睢穂䡁䅕杢杁䕁䅫杢あ䝁䅕杣畂䝁䅅䅤灂䝁䄸杢桂䝁䅷䅉䥂䝁䄸䅢歂䝁䅫杢湂䡁䅍䅉䵂䡁䅑䅚畁䍁䅁䅋呂䕁䄴䅔杁䙁䅁杊䑂䍁䅁睒祂䝁䄸兤睂䍁䅫䅁䱄杄䅁杍䅁䕁䅙睢ㅂ䡁䅉䅉乂䝁䅅杢潂䝁䅅䅤あ䝁䅅杢㉂䝁䅫䅢獂䝁䅕䅉卂䝁䄸兙歂䅁䅁村䄴䉁䅯䅁䝂䝁䄸兤祂䡁䅑䅡杁䕁䅙䅢療䝁䄸杣䅁䉁乷䅁㉁䅁䅁杒祂䝁䅅杢橂䝁䅫督杁䕁䅯睢穂䝁䅕䅣潂䍁䅁䅔灂䝁䄴兙祂䝁䅑兡杁䕁䅯杣畁䅁䅁䅢䄰䍁䄴䅁䝂䡁䅉兙畂䝁䅍兡穂䍁䅁兔灂䝁䅍䅡桂䝁䅕䅢杁䕁䄰兡獂䝁䄸杢求䅁䅁兣䅷䑁䅯䅁䝂䡁䅉兙畂䝁䅍兡穂䍁䅁睖桂䝁䅷睤療䡁䅉䅤潂䍁䅁䅕ㅂ䡁䅉兢療䡁䅉䅤杁䕁䅫兓䩂䅁䅁䅗䄰䍁䅯䅁䝂䡁䅉兙畂䝁䅳䅉乂䝁䅅杣あ䝁䅫杢杁䙁䅍杤療䝁䅉睢歂䝁䅅䅁睄权䅁䅇䅁䕁䅙杣桂䝁䄴睡求䝁䄴兢ㅂ䡁䅑䅡䅁乁佣䅁坂䅁䅁杒祂䝁䅅杢牂䝁䅕杢瑂䡁䅕䅤潂䍁䅁兔ㅂ䡁䅑兤桂䝁䅷䅉䩂䝁䄴督杁䕁䅍睢畁䍁䅁䅋呂䕁䄴䅔杁䙁䅁杊䑂䍁䅁睒祂䝁䄸兤睂䍁䅫䅁呄杄䅁条䅁䕁䅙杣桂䝁䄴睡求䝁䄴兢ㅂ䡁䅑䅡杁䕁䄰兤あ䡁䅕兙獂䍁䅁兓畂䡁䅍兤祂䝁䅅杢橂䝁䅕䅉䑂䝁䄸兢睂䝁䅅杢㕂䍁䅁䅋呂䕁䄴䅔杁䙁䅁杊䑂䍁䅁睒祂䝁䄸兤睂䍁䅫䅁啄杄䅁䅆䅁䕁䅙杣求䝁䅑党祂䝁䅫睙牂䅁䅁桔䅁䑁䅙䅁䝂䡁䅉党歂䝁䅕杣灂䝁䅍睡杁䕁䅅䅢獂䝁䅕杢杁䕁䅕䅚瑂䝁䄸杢歂䍁䅁杓祂䍁䄴䅁捄杄䅁䅍䅁䕁䅙杣求䝁䅑党祂䝁䅫睙牂䍁䅁杓療䝁䅧杢杁䕁䅍杣桂䡁䅣杚療䡁䅉䅚䅁䙁䥣䅁卂䅁䅁杒ㅂ䝁䄴党祂䝁䅅䅢杁䕁䅑兡祂䝁䅕睙あ䝁䄸杣穂䍁䅁睒祂䝁䄸兤睂䍁䅁䅋呂䕁䄴䅔杁䕁䅷兡浂䝁䅕䅉䡂䡁䅉睢ㅂ䡁䅁克䅁乁伴䅁䝁䅁䅁睒䉂䅁䅁杕䅧䉁䅉䅁䡂䕁䅧免睁䑁䅍睍穁䑁䅫䅁䕃兄䅁杅䅁䕁䅣䅓硁䑁䅅免ㅁ䑁䅙䅎䅁䵁偅䅁十䅁䅁睒䥂䑁䅅免硁䑁䅕李㑁䅁䅁元䅳䉁䅁䅁䡂䕁䅧免硁䑁䅧睍睁䅁䅁刹䅁䉁䅁䅁䡂䕁䅧免硁䑁䅧睍硁䅁䅁䅹䅷䉁䅁䅁䡂䕁䅧免ぁ䑁䅙杍㍁䅁䅁䉸䅍䉁䅁䅁䡂䕁䅧免ㅁ䑁䅍兎㑁䅁䅁睧䄸䉁䅁䅁䡂䕁䅧免ㅁ䑁䅑䅍睁䅁䅁刹䅍䉁䅁䅁䡂䕁䅧免ㅁ䑁䅕免ㅁ䅁䅁档䅁䉁䅑䅁䡂䕁䅧䅎睁䑁䅁䅏穁䑁䅕睍䅁䭁䵫䅁啁䅁䅁睒䥂䑁䅑䅍祁䑁䅅䅍硁䑁䅣䅁療睃䅁䅆䅁䕁䅣䅓ぁ䑁䅁杍祁䑁䅙李硁䅁䅁睑䄰䉁䅑䅁䡂䕁䅧䅎睁䑁䅉杍㍁䑁䅍兎䅁䍁允䅁啁䅁䅁睒䥂䑁䅑䅍祁䑁䅍免穁䑁䅕䅁煄䅄䅁䅆䅁䕁䅣䅓ぁ䑁䅁䅎㉁䑁䅁杍祁䅁䅁䅌䄰䉁䅑䅁䡂䕁䅧䅎睁䑁䅑䅏㍁䑁䅣免䅁䕁倴䅁啁䅁䅁睒䥂䑁䅑䅍ㅁ䑁䅁䅎祁䑁䅅䅁塁睄䅁䅆䅁䕁䅣䅓ぁ䑁䅁兎硁䑁䅁李硁䅁䅁䉯䅍䉁䅑䅁䡂䕁䅧䅎睁䑁䅕免ぁ䑁䅙䅎䅁䝁偍䅁啁䅁䅁睒䥂䑁䅑䅍ㅁ䑁䅍䅏硁䑁䅧䅁い䅄䅁䅆䅁䕁䅣䅓ぁ䑁䅁兎㉁䑁䅁兏穁䅁䅁睱䄸䉁䅑䅁䡂䕁䅧䅎睁䑁䅕李ㅁ䑁䅅兏䅁䉁伴䅁啁䅁䅁睒䥂䑁䅑䅍ㅁ䑁䅙李穁䑁䅉䅁牃睅䅁䅆䅁䕁䅣䅓ぁ䑁䅁睎祁䑁䅍李ぁ䅁䅁睸䅧䉁䅑䅁䡂䕁䅧䅎睁䑁䅧䅍㍁䑁䅁杍䅁䉁剙䅁啁䅁䅁睒䥂䑁䅑䅍㑁䑁䅙兎㑁䑁䅁䅁橂杅䅁䅆䅁䕁䅣䅓ぁ䑁䅁䅏㍁䑁䅉睍祁䅁䅁光䄰䉁䅑䅁䡂䕁䅧䅎睁䑁䅫免㕁䑁䅅䅏䅁佁呧䅁啁䅁䅁睒䥂䑁䅑䅍㕁䑁䅉杍㉁䑁䅑䅁桄䅅䅁䅆䅁䕁䅣䅓ぁ䑁䅅睎硁䑁䅙䅎㑁䅁䅁桂䅉䉁䅑䅁䡂䕁䅧䅎硁䑁䅣睍睁䑁䅅免䅁乁䵕䅁啁䅁䅁睒䥂䑁䅑杍睁䑁䅁李ぁ䑁䅕䅁㉁兄䅁䅆䅁䕁䅣䅓ぁ䑁䅍免㑁䑁䅣兎硁䅁䅁来䄴䉁䅑䅁䡂䕁䅧䅎穁䑁䅣兎㉁䑁䅁䅎䅁䡁䜴䅁啁䅁䅁睒䥂䑁䅑睍㍁䑁䅕李硁䑁䅙䅁㍂睄䅁䅆䅁䕁䅣䅓ぁ䑁䅕睍㑁䑁䅕睎穁䅁䅁杋䄸䉁䅑䅁䡂䕁䅧䅎ㅁ䑁䅙䅍硁䑁䅙䅏䅁偁偁䅁十䅁䅁睒䱂䑁䅅䅍穁䑁䅉䅎㍁䅁䅁䅤䅧䉁䅉䅁䡂䕁䅳免睁䑁䅍杍㉁䑁䅍䅁塃兄䅁杅䅁䕁䅣睓硁䑁䅁睍祁䑁䅧兎䅁䍁兯䅁十䅁䅁睒䱂䑁䅅䅍穁䑁䅍䅍㑁䅁䅁硍䅁䉁䅉䅁䡂䕁䅳免睁䑁䅍睍硁䑁䅙䅁䭂䅃䅁杅䅁䕁䅣睓硁䑁䅁睍穁䑁䅉睍䅁佁䭕䅁十䅁䅁睒䱂䑁䅅䅍穁䑁䅍杍ぁ䅁䅁兇䅳䉁䅉䅁䡂䕁䅳免睁䑁䅍睍穁䑁䅁䅁奄睂䅁杅䅁䕁䅣睓硁䑁䅁睍穁䑁䅍兏䅁䅁䩅䅁十䅁䅁睒䱂䑁䅅䅍穁䑁䅍李祁䅁䅁眶䅫䉁䅉䅁䡂䕁䅳免睁䑁䅍睍㉁䑁䅍䅁权睄䅁杅䅁䕁䅣睓硁䑁䅁睍ぁ䑁䅅睎䅁䝁临䅁十䅁䅁睒䱂䑁䅅䅍穁䑁䅑杍穁䅁䅁䅰䅧䉁䅉䅁䡂䕁䅳免睁䑁䅍䅎祁䑁䅑䅁塃䅃䅁杅䅁䕁䅣睓硁䑁䅁睍ぁ䑁䅕䅍䅁䡁䭑䅁十䅁䅁睒䱂䑁䅅䅍穁䑁䅑李祁䅁䅁儹䅧䉁䅉䅁䡂䕁䅳免睁䑁䅍李ぁ䑁䅣䅁䍄元䅁杅䅁䕁䅣睓硁䑁䅁睍㉁䑁䅧睎䅁䩁余䅁十䅁䅁睒䱂䑁䅅免睁䑁䅉杍㕁䅁䅁䅑䅯䉁䅉䅁䡂䕁䅳免硁䑁䅁杍穁䑁䅁䅁敂权䅁杅䅁䕁䅣睓硁䑁䅅䅍祁䑁䅍兎䅁偁䡑䅁十䅁䅁睒䱂䑁䅅免睁䑁䅉䅎㑁䅁䅁兂䅧䉁䅉䅁䡂䕁䅳免硁䑁䅁杍ㅁ䑁䅧䅁呂权䅁杅䅁䕁䅣睓硁䑁䅅免ㅁ䑁䅙䅎䅁䵁倰䅁十䅁䅁睒䱂䑁䅅免硁䑁䅕李㑁䅁䅁杆䅳䉁䅉䅁䡂䕁䅳免硁䑁䅍兏睁䑁䅅䅁硃䅃䅁杅䅁䕁䅣睓硁䑁䅅睍㕁䑁䅉䅍䅁䕁䰸䅁十䅁䅁睒䱂䑁䅅免ぁ䑁䅕杍㍁䅁䅁睥䅫䉁䅁䅁䡂䕁䅳免穁䑁䅧兎穁䅁䅁制䅉䉁䅁䅁䡂䕁䅳免穁䑁䅫兎㕁䅁䅁杴䅯䉁䅁䅁䡂䕁䅳免ぁ䑁䅅兏穁䅁䅁末䅯䉁䅁䅁䡂䕁䅳免ぁ䑁䅣杍祁䅁䅁䅯䅷䉁䅁䅁䡂䕁䅳免ぁ䑁䅣睍ぁ䅁䅁术䅷䉁䅁䅁䡂䕁䅳免ぁ䑁䅧睎ぁ䅁䅁䅰䄰䉁䅁䅁䡂䕁䅳免ぁ䑁䅫睎祁䅁䅁朵䄰䉁䅁䅁䡂䕁䅳免ㅁ䑁䅍睍穁䅁䅁兲䅫䉁䅁䅁䡂䕁䅳免ㅁ䑁䅍兎㑁䅁䅁兪䄸䉁䅁䅁䡂䕁䅳免ㅁ䑁䅣李祁䅁䅁杆䅯䉁䅁䅁䡂䕁䅳免ㅁ䑁䅣兏睁䅁䅁硔䅅䉁䅁䅁䡂䕁䅳免ㅁ䑁䅧李㉁䅁䅁睄䅧䉁䅁䅁䡂䕁䅳免ㅁ䑁䅫兏睁䅁䅁䈴䅅䉁䅁䅁䡂䕁䅳免㉁䑁䅍䅍㉁䅁䅁䉗䅍䉁䅑䅁䡂䕁䅳䅎睁䑁䅁免ㅁ䑁䅍睍䅁䵁䱷䅁啁䅁䅁睒䱂䑁䅑䅍睁䑁䅕杍ㅁ䑁䅣䅁歁元䅁䅆䅁䕁䅣睓ぁ䑁䅁䅍ㅁ䑁䅍免ぁ䅁䅁硹䅅䉁䅑䅁䡂䕁䅳䅎睁䑁䅁兎㉁䑁䅧免䅁䅁䭅䅁啁䅁䅁睒䱂䑁䅑䅍睁䑁䅫杍祁䑁䅍䅁獄䅃䅁䅆䅁䕁䅣睓ぁ䑁䅁免硁䑁䅙免祁䅁䅁杸䄰䉁䅑䅁䡂䕁䅳䅎睁䑁䅉䅍㕁䑁䅁兎䅁䭁匸䅁啁䅁䅁睒䱂䑁䅑䅍祁䑁䅅䅍睁䑁䅙䅁杄睃䅁䅆䅁䕁䅣睓ぁ䑁䅁杍硁䑁䅁免㍁䅁䅁材䅧䉁䅑䅁䡂䕁䅳䅎睁䑁䅉免㉁䑁䅅睍䅁䥁䭉䅁啁䅁䅁睒䱂䑁䅑䅍祁䑁䅍免祁䑁䅉䅁兄元䅁䅆䅁䕁䅣睓ぁ䑁䅁杍穁䑁䅅兏祁䅁䅁睲䅳䉁䅑䅁䡂䕁䅳䅎睁䑁䅉兎硁䑁䅉杍䅁䕁䭫䅁啁䅁䅁睒䱂䑁䅑䅍祁䑁䅙睎硁䑁䅅䅁㝃䅃䅁䅆䅁䕁䅣睓ぁ䑁䅁睍㕁䑁䅧睍穁䅁䅁睳䅷䉁䅑䅁䡂䕁䅳䅎睁䑁䅑免穁䑁䅫李䅁䥁䭷䅁啁䅁䅁睒䱂䑁䅑䅍ぁ䑁䅅睎穁䑁䅣䅁汁睃䅁䅆䅁䕁䅣睓ぁ䑁䅁䅎硁䑁䅣䅏ㅁ䅁䅁末䄸䉁䅑䅁䡂䕁䅳䅎睁䑁䅑免㑁䑁䅑䅍䅁䭁八䅁啁䅁䅁睒䱂䑁䅑䅍ぁ䑁䅉免ㅁ䑁䅙䅁硁䅆䅁䅆䅁䕁䅣睓ぁ䑁䅁䅎祁䑁䅉䅎㑁䅁䅁桭䅅䉁䅑䅁䡂䕁䅳䅎睁䑁䅑睎ぁ䑁䅙杍䅁䭁䩅䅁啁䅁䅁睒䱂䑁䅑䅍ぁ䑁䅣䅏ㅁ䑁䅧䅁䕃䅃䅁䅆䅁䕁䅣睓ぁ䑁䅁䅎㑁䑁䅑䅍㑁䅁䅁䄫䅫䉁䅑䅁䡂䕁䅳䅎睁䑁䅑䅏㉁䑁䅁杍䅁䍁䭧䅁啁䅁䅁睒䱂䑁䅑䅍ぁ䑁䅧睎ぁ䑁䅅䅁㕃权䅁䅆䅁䕁䅣睓ぁ䑁䅁䅎㑁䑁䅣䅏穁䅁䅁儳䄴䉁䅑䅁䡂䕁䅳䅎睁䑁䅕䅍㕁䑁䅍睎䅁乁具䅁啁䅁䅁睒䱂䑁䅑䅍ㅁ䑁䅅睎睁䑁䅧䅁䍁䅃䅁䅆䅁䕁䅣睓ぁ䑁䅁兎㍁䑁䅉兎祁䅁䅁杸䅯䉁䅑䅁䡂䕁䅳䅎睁䑁䅣杍㕁䑁䅍杍䅁䉁䥷䅁啁䅁䅁睒䱂䑁䅑䅍㑁䑁䅫䅎祁䑁䅉䅁塁元䅁䅆䅁䕁䅣睓ぁ䑁䅁兏睁䑁䅅兎穁䅁䅁睔䅷䉁䅑䅁䡂䕁䅳䅎睁䑁䅫䅍祁䑁䅁䅍䅁䥁吴䅁啁䅁䅁睒䱂䑁䅑䅍㕁䑁䅅免㉁䑁䅁䅁䡃元䅁䅆䅁䕁䅣睓ぁ䑁䅅䅍㑁䑁䅧䅏ㅁ䅁䅁杴䅫䉁䅑䅁䡂䕁䅳䅎硁䑁䅉免ぁ䑁䅕睍䅁䙁偫䅁啁䅁䅁睒䱂䑁䅑免ぁ䑁䅕䅍ㅁ䑁䅍䅁䭂䅅䅁䅆䅁䕁䅣睓ぁ䑁䅅䅎㍁䑁䅍杍ぁ䅁䅁具䄴䉁䅑䅁䡂䕁䅳䅎硁䑁䅕睍ぁ䑁䅧睍䅁䉁乙䅁啁䅁䅁睒䱂䑁䅑免ㅁ䑁䅑兏睁䑁䅕䅁㙁睃䅁䅆䅁䕁䅣睓ぁ䑁䅅睎穁䑁䅅免㕁䅁䅁睃䄸䉁䅑䅁䡂䕁䅳䅎硁䑁䅣䅎睁䑁䅑睍䅁䝁䥧䅁啁䅁䅁睒䱂䑁䅑免㑁䑁䅉䅎㉁䑁䅉䅁噃睅䅁䅆䅁䕁䅣睓ぁ䑁䅅䅏㍁䑁䅉睍祁䅁䅁䉤䅕䉁䅑䅁䡂䕁䅳䅎硁䑁䅫睍ㅁ䑁䅅睍䅁䑁䭑䅁啁䅁䅁睒䱂䑁䅑免㕁䑁䅍李㉁䑁䅙䅁穂兆䅁䅆䅁䕁䅣睓ぁ䑁䅉䅍祁䑁䅅䅎祁䅁䅁硴䅅䉁䅑䅁䡂䕁䅳䅎祁䑁䅑兎穁䑁䅉杍䅁䉁卧䅁啁䅁䅁睒䱂䑁䅑杍ㅁ䑁䅑杍㍁䑁䅕䅁祂兆䅁䅆䅁䕁䅣睓ぁ䑁䅉睎睁䑁䅍睍睁䅁䅁兎䅧䉁䅑䅁䡂䕁䅳䅎祁䑁䅣睍㑁䑁䅧䅍䅁乁䥑䅁啁䅁䅁睒䱂䑁䅑杍㑁䑁䅅李祁䑁䅙䅁橂元䅁䅆䅁䕁䅣睓ぁ䑁䅉䅏穁䑁䅁䅍㉁䅁䅁䉏䅉䉁䅑䅁䡂䕁䅳䅎穁䑁䅅李睁䑁䅅李䅁䙁免䅁啁䅁䅁睒䱂䑁䅑睍㑁䑁䅣免睁䑁䅅䅁浂睃䅁䅆䅁䕁䅣睓ぁ䑁䅍䅏㑁䑁䅁免硁䅁䅁公䅫䉁䅑䅁䡂䕁䅳䅎ぁ䑁䅅兏㉁䑁䅉睍䅁偁久䅁啁䅁䅁睒䱂䑁䅑李祁䑁䅣李㉁䑁䅧䅁晁权䅁杅䅁䕁䅣䅕硁䑁䅁杍㑁䑁䅙䅎䅁䩁䱯䅁十䅁䅁睒兂䑁䅅䅍穁䑁䅉䅎㍁䅁䅁內䅧䉁䅉䅁䡂䙁䅁免睁䑁䅍杍㉁䑁䅉䅁䥃兄䅁杅䅁䕁䅣䅕硁䑁䅁睍穁䑁䅁䅏䅁䑁儴䅁十䅁䅁睒兂䑁䅅䅍穁䑁䅍睍睁䅁䅁兯䅧䉁䅉䅁䡂䙁䅁免睁䑁䅍睍穁䑁䅍䅁㙁䅄䅁杅䅁䕁䅣䅕硁䑁䅁睍穁䑁䅍李䅁䍁䰸䅁十䅁䅁睒兂䑁䅅䅍穁䑁䅍䅎穁䅁䅁䅄䅫䉁䅉䅁䡂䙁䅁免睁䑁䅍睍㉁䑁䅕䅁⭄䅅䅁杅䅁䕁䅣䅕硁䑁䅁睍穁䑁䅣睍䅁䝁剑䅁十䅁䅁睒兂䑁䅅䅍穁䑁䅍睎㍁䅁䅁剌䅉䉁䅉䅁䡂䙁䅁免睁䑁䅍睍㑁䑁䅍䅁潂权䅁杅䅁䕁䅣䅕硁䑁䅁睍穁䑁䅧李䅁䡁卙䅁十䅁䅁睒兂䑁䅅䅍穁䑁䅍兏㉁䅁䅁䉴䅍䉁䅉䅁䡂䙁䅁免睁䑁䅍䅎睁䑁䅉䅁歃睃䅁杅䅁䕁䅣䅕硁䑁䅁睍ぁ䑁䅁䅎䅁䍁啧䅁十䅁䅁睒兂䑁䅅䅍穁䑁䅑䅍ㅁ䅁䅁硸䅁䉁䅉䅁䡂䙁䅁免睁䑁䅍䅎睁䑁䅙䅁䩁充䅁杅䅁䕁䅣䅕硁䑁䅁睍ぁ䑁䅁睎䅁䭁前䅁十䅁䅁睒兂䑁䅅䅍穁䑁䅑免睁䅁䅁杗䅧䉁䅉䅁䡂䙁䅁免睁䑁䅍䅎硁䑁䅣䅁㍄䅃䅁杅䅁䕁䅣䅕硁䑁䅁睍ぁ䑁䅉睍䅁乁䰰䅁十䅁䅁睒兂䑁䅅䅍穁䑁䅑杍ぁ䅁䅁朲䅳䉁䅉䅁䡂䙁䅁免睁䑁䅍䅎ぁ䑁䅕䅁䑄充䅁杅䅁䕁䅣䅕硁䑁䅁睍ぁ䑁䅕免䅁乁单䅁十䅁䅁睒兂䑁䅅䅍穁䑁䅑李祁䅁䅁朵䅣䉁䅉䅁䡂䙁䅁免睁䑁䅍兎穁䑁䅙䅁㥄充䅁杅䅁䕁䅣䅕硁䑁䅁睍ㅁ䑁䅑免䅁䕁偑䅁十䅁䅁睒兂䑁䅅䅍穁䑁䅕李穁䅁䅁剗䅉䉁䅉䅁䡂䙁䅁免睁䑁䅍兎㍁䑁䅣䅁睁䅄䅁杅䅁䕁䅣䅕硁䑁䅁睍㉁䑁䅅兏䅁䑁䨴䅁十䅁䅁睒兂䑁䅅䅍穁䑁䅙䅎㍁䅁䅁兺䅫䉁䅉䅁䡂䙁䅁免硁䑁䅍兏睁䑁䅅䅁煄睃䅁杅䅁䕁䅣䅕硁䑁䅅䅎ㅁ䑁䅉睎䅁佁佣䅁允䅁䅁睒兂䑁䅅免ぁ䑁䅧兏䅁䝁䨴䅁允䅁䅁睒兂䑁䅅免㉁䑁䅣兏䅁䉁䵁䅁允䅁䅁睒兂䑁䅅免㉁䑁䅫䅏䅁䍁䵙䅁允䅁䅁睒兂䑁䅅免㍁䑁䅣睎䅁乁䤸䅁允䅁䅁睒兂䑁䅅免㑁䑁䅙兏䅁乁丰䅁允䅁䅁睒兂䑁䅅免㕁䑁䅉䅏䅁䕁丸䅁允䅁䅁睒兂䑁䅅免㕁䑁䅣䅏䅁䡁乧䅁允䅁䅁睒兂䑁䅅杍祁䑁䅑杍䅁偁乷䅁允䅁䅁睒兂䑁䅅杍祁䑁䅫李䅁䑁佑䅁允䅁䅁睒兂䑁䅅杍穁䑁䅕杍䅁乁剅䅁允䅁䅁睒兂䑁䅅杍穁䑁䅫李䅁䱁佑䅁允䅁䅁睒兂䑁䅅杍ㅁ䑁䅉杍䅁乁佉䅁允䅁䅁睒兂䑁䅅杍㉁䑁䅉䅍䅁䅁偅䅁允䅁䅁睒兂䑁䅅杍㑁䑁䅁杍䅁䉁內䅁允䅁䅁睒兂䑁䅅杍㕁䑁䅉杍䅁䕁充䅁允䅁䅁睒兂䑁䅅睍睁䑁䅅杍䅁乁义䅁允䅁䅁睒兂䑁䅅睍睁䑁䅅睎䅁䥁內䅁允䅁䅁睒兂䑁䅅睍硁䑁䅉兎䅁偁䱯䅁允䅁䅁睒兂䑁䅅睍穁䑁䅍䅎䅁䡁剙䅁允䅁䅁睒兂䑁䅅睍穁䑁䅙䅎䅁䥁剉䅁允䅁䅁睒兂䑁䅅睍穁䑁䅣兎䅁䝁刴䅁允䅁䅁睒兂䑁䅅睍ぁ䑁䅍睍䅁䅁啫䅁允䅁䅁睒兂䑁䅅睍ぁ䑁䅫䅏䅁偁剑䅁允䅁䅁睒兂䑁䅅睍ㅁ䑁䅕兎䅁䭁到䅁允䅁䅁睒兂䑁䅅睍㍁䑁䅅李䅁䙁卅䅁允䅁䅁睒兂䑁䅅睍㑁䑁䅕睍䅁偁卍䅁允䅁䅁睒兂䑁䅅睍㑁䑁䅙䅏䅁䅁呉䅁允䅁䅁睒兂䑁䅅睍㕁䑁䅕兏䅁䍁䥫䅁允䅁䅁睒兂䑁䅅䅎睁䑁䅅䅍䅁䝁呅䅁允䅁䅁睒兂䑁䅅䅎硁䑁䅫睍䅁䅁䱙䅁允䅁䅁睒兂䑁䅅䅎穁䑁䅫䅍䅁䉁唴䅁允䅁䅁睒兂䑁䅅䅎㕁䑁䅣杍䅁佁丸䅁啁䅁䅁睒兂䑁䅑䅍睁䑁䅕睍硁䑁䅑䅁䥂杄䅁䅆䅁䕁䅣䅕ぁ䑁䅁䅍ㅁ䑁䅣免ㅁ䅁䅁兄䅯䉁䅑䅁䡂䙁䅁䅎睁䑁䅅免㉁䑁䅅杍䅁䵁丸䅁啁䅁䅁睒兂䑁䅑䅍硁䑁䅉䅏硁䑁䅅䅁摁䅄䅁䅆䅁䕁䅣䅕ぁ䑁䅁杍睁䑁䅫䅍ㅁ䅁䅁桵䅉䉁䅑䅁䡂䙁䅁䅎睁䑁䅉免ぁ䑁䅙睎䅁䕁卉䅁啁䅁䅁睒兂䑁䅑䅍祁䑁䅅睎㕁䑁䅁䅁䵂元䅁䅆䅁䕁䅣䅕ぁ䑁䅁杍穁䑁䅅睍ㅁ䅁䅁兣䅳䉁䅑䅁䡂䙁䅁䅎睁䑁䅉䅎ㅁ䑁䅁兎䅁䍁呁䅁啁䅁䅁睒兂䑁䅑䅍ぁ䑁䅁睍祁䑁䅑䅁偄睄䅁䅆䅁䕁䅣䅕ぁ䑁䅁䅎硁䑁䅍兏ぁ䅁䅁儷䅳䉁䅑䅁䡂䙁䅁䅎睁䑁䅑杍硁䑁䅕李䅁䕁䱑䅁啁䅁䅁睒兂䑁䅑䅍ぁ䑁䅍兏硁䑁䅙䅁呁䅄䅁䅆䅁䕁䅣䅕ぁ䑁䅁兎睁䑁䅙杍ㅁ䅁䅁䉆䅅䉁䅑䅁䡂䙁䅁䅎睁䑁䅕䅍㉁䑁䅍李䅁䝁佉䅁啁䅁䅁睒兂䑁䅑䅍ㅁ䑁䅁睎㉁䑁䅍䅁十䅆䅁䅆䅁䕁䅣䅕ぁ䑁䅁兎硁䑁䅁睍㕁䅁䅁䉶䅁䉁䅑䅁䡂䙁䅁䅎睁䑁䅕免㍁䑁䅁䅏䅁䝁䉳䅁啁䅁䅁睒兂䑁䅑䅍ㅁ䑁䅍睎睁䑁䅑䅁婄睄䅁䅆䅁䕁䅣䅕ぁ䑁䅁兎ㅁ䑁䅕睍睁䅁䅁儸䅯䉁䅑䅁䡂䙁䅁䅎睁䑁䅕李㑁䑁䅑兏䅁䩁佳䅁啁䅁䅁睒兂䑁䅑䅍㉁䑁䅑䅎硁䑁䅧䅁歁杅䅁䅆䅁䕁䅣䅕ぁ䑁䅁睎ぁ䑁䅣李睁䅁䅁桦䅉䉁䅑䅁䡂䙁䅁䅎睁䑁䅣䅏祁䑁䅙䅍䅁䩁䱁䅁啁䅁䅁睒兂䑁䅑䅍㑁䑁䅁睎硁䑁䅙䅁䥃䅄䅁䅆䅁䕁䅣䅕ぁ䑁䅁䅏硁䑁䅫睍硁䅁䅁硄䅁䉁䅑䅁䡂䙁䅁䅎睁䑁䅧李硁䑁䅣兏䅁䑁伴䅁啁䅁䅁睒兂䑁䅑䅍㑁䑁䅙杍㕁䑁䅉䅁浄元䅁䅆䅁䕁䅣䅕ぁ䑁䅁䅏㑁䑁䅍䅎㕁䅁䅁硳䅁䉁䅑䅁䡂䙁䅁䅎睁䑁䅫䅍硁䑁䅕睍䅁䙁䵯䅁啁䅁䅁睒兂䑁䅑䅍㕁䑁䅁杍睁䑁䅁䅁扄权䅁䅆䅁䕁䅣䅕ぁ䑁䅁兏睁䑁䅫免㉁䅁䅁兘䅷䉁䅑䅁䡂䙁䅁䅎睁䑁䅫免硁䑁䅙䅍䅁偁佅䅁啁䅁䅁睒兂䑁䅑䅍㕁䑁䅅䅏睁䑁䅣䅁杁充䅁䅆䅁䕁䅣䅕ぁ䑁䅁兏㍁䑁䅣睍硁䅁䅁剂䅍䉁䅑䅁䡂䙁䅁䅎硁䑁䅉免㉁䑁䅑杍䅁䕁吸䅁啁䅁䅁睒兂䑁䅑免ぁ䑁䅁免㑁䑁䅣䅁呃䅃䅁䅆䅁䕁䅣䅕ぁ䑁䅅䅎祁䑁䅧兏㉁䅁䅁䅋䄴䉁䅑䅁䡂䙁䅁䅎硁䑁䅑䅎ㅁ䑁䅁李䅁䉁十䅁啁䅁䅁睒兂䑁䅑免ㅁ䑁䅕䅎硁䑁䅑䅁䕂䅄䅁䅆䅁䕁䅣䅕ぁ䑁䅅兎㕁䑁䅑睎㕁䅁䅁䅃䄰䉁䅑䅁䡂䙁䅁䅎硁䑁䅙李㑁䑁䅍李䅁䭁允䅁啁䅁䅁睒兂䑁䅑免㍁䑁䅅䅏ㅁ䑁䅫䅁歂睅䅁䅆䅁䕁䅣䅕ぁ䑁䅅睎ぁ䑁䅁䅎穁䅁䅁睨䅳䉁䅑䅁䡂䙁䅁䅎硁䑁䅧䅏硁䑁䅣䅏䅁䥁䱑䅁啁䅁䅁睒兂䑁䅑免㑁䑁䅧免㑁䑁䅑䅁祂䅄䅁䅆䅁䕁䅣䅕ぁ䑁䅅䅏㑁䑁䅉兎硁䅁䅁杉䄸䉁䅑䅁䡂䙁䅁䅎硁䑁䅫睍ㅁ䑁䅅睍䅁䑁䬴䅁啁䅁䅁睒兂䑁䅑杍睁䑁䅙兎睁䑁䅙䅁㝂䅄䅁䅆䅁䕁䅣䅕ぁ䑁䅉免硁䑁䅁李睁䅁䅁䉋䅅䉁䅑䅁䡂䙁䅁䅎祁䑁䅑睍穁䑁䅉李䅁䙁佧䅁啁䅁䅁睒兂䑁䅑杍ぁ䑁䅍䅏㉁䑁䅕䅁䡂充䅁䅆䅁䕁䅣䅕ぁ䑁䅉䅎㑁䑁䅧睎睁䅁䅁䅪䄴䉁䅑䅁䡂䙁䅁䅎祁䑁䅑兏硁䑁䅅睎䅁䅁佣䅁啁䅁䅁睒兂䑁䅑杍ぁ䑁䅫免硁䑁䅫䅁灁睅䅁䅆䅁䕁䅣䅕ぁ䑁䅉兎睁䑁䅅䅎祁䅁䅁硆䅍䉁䅑䅁䡂䙁䅁䅎祁䑁䅕䅎祁䑁䅣兎䅁䡁噕䅁啁䅁䅁睒兂䑁䅑杍ㅁ䑁䅑䅏㑁䑁䅫䅁佁睅䅁䅆䅁䕁䅣䅕ぁ䑁䅉李ㅁ䑁䅣李硁䅁䅁到䅍䉁䅑䅁䡂䙁䅁䅎祁䑁䅫䅍穁䑁䅁䅏䅁乁䭁䅁啁䅁䅁睒兂䑁䅑睍硁䑁䅁兏㕁䑁䅑䅁塂元䅁䅆䅁䕁䅣䅕ぁ䑁䅍杍穁䑁䅅䅍㉁䅁䅁兹䄴䉁䅑䅁䡂䙁䅁䅎穁䑁䅑睍祁䑁䅉李䅁䱁乷䅁流䅁䅁睒桂䝁䅉杣灂䝁䅕䅢杁䕁䅷杌杁䙁䅍䅡桂䝁䅧党求䝁䄴䅁煃睄䅁䅉䅁䕁䅣兙楂䡁䅉兡求䝁䅷䅉啂䝁䅫杣桂䝁䅑睢祂䅁䅁桂䅅䉁䅑䅁䡂䝁䅅䅢㉂䝁䅕督あ䝁䄸杢䅁䭁䥯䅁獁䅁䅁睒桂䡁䅉入杁䕁䅍䅡桂䝁䄴䅚祂䡁䅕䅉䍂䝁䅧睢煂䡁䅣兙畂䝁䅫䅁楁元䅁䅌䅁䕁䅣兙祂䡁䅫䅉䕂䝁䅕兙畂䍁䅁睕あ䍁䄴䅉䥂䝁䅫䅢桂䝁䅫杣求䅁䅁克䄰䍁䅑䅁䡂䝁䅅杣㕂䍁䅁杓療䝁䅧杢杁䕁䄰睙䡂䡁䅕兡祂䝁䅕䅁捁杄䅁䅔䅁䕁䅣兙祂䡁䅫䅉䵂䝁䅕党杁䕁䅍睢獂䝁䅕兢桂䝁䄴䅌杁䕁䅷兙祂䡁䅉入杁䕁䄰兙橂䍁䅁䅓ㅂ䡁䅑睙潂䝁䅫督療䝁䄴䅁癄权䅁䅉䅁䕁䅣兙祂䡁䅫䅉䵂䝁䅕党杁䕁䄰兤獂䝁䅷党祂䅁䅁眵䅳䍁䅧䅁䡂䝁䅅杣㕂䍁䅁䅖潂䝁䄸兢桂䡁䅍䅉䥂䡁䅕杚浂䝁䄰兙畂䅁䅁副䅅䕁䅷䅁䡂䝁䅕杢求䡁䅉兙獂䍁䅁兒獂䝁䅕睙あ䡁䅉兡橂䍁䅁睑療䍁䄴䅉潁䙁䅍杔䵂䍁䅁䅔灂䝁䅙党杁䕁䅣杣療䡁䅕䅣灁䅁䅁䅦䅫䕁䅯䅁䡂䝁䅕杢求䡁䅉兙獂䍁䅁兒獂䝁䅕睙あ䡁䅉兡橂䍁䅁睑療䍁䄴䅉潁䙁䅍杔䵂䍁䅁䅕流䕁䅍䅉䡂䡁䅉睢ㅂ䡁䅁克䅁佁佧䅁啂䅁䅁睒求䝁䄴党祂䝁䅅䅢杁䕁䅕䅢求䝁䅍䅤祂䝁䅫睙杁䕁䅍睢瑂䡁䅁兙畂䡁䅫䅉潁䙁䅍杔䵂䍁䅁䅔灂䝁䅙党杁䕁䅣杣療䡁䅕䅣灁䅁䅁兦䅫䙁䅉䅁䡂䝁䅕杢求䡁䅉兙獂䍁䅁兒獂䝁䅕睙あ䡁䅉兡橂䍁䅁睑療䝁䄰䅣桂䝁䄴入杁䍁䅧睕佂䕁䅷䅉兂䍁䅙睑杁䕁䅣杣療䡁䅕䅣灁䅁䅁儶䄴䍁䅧䅁䡂䝁䅕杢求䡁䅉兙獂䕁䅍睢瑂䡁䅁兙畂䡁䅫兕ㅂ䝁䅕杣㕂䅁䅁杵䅣䙁䅉䅁䡂䝁䅕杢㍂䝁䄸杣あ䝁䅧䅉䝂䝁䅫杢桂䝁䄴睙灂䝁䅅䅢杁䕁䅫杢橂䍁䄴䅉潁䙁䅍杔䵂䍁䅁䅔灂䝁䅙党杁䕁䅣杣療䡁䅕䅣灁䅁䅁䅩䅫䙁䅁䅁䡂䝁䅕杢㍂䝁䄸杣あ䝁䅧䅉䝂䝁䅫杢桂䝁䄴睙灂䝁䅅䅢杁䕁䅫杢橂䍁䄴䅉潁䙁䅍杔䵂䍁䅁䅕流䕁䅍䅉䡂䡁䅉睢ㅂ䡁䅁克䅁偁位䅁啂䅁䅁睒求䝁䄴睤療䡁䅉䅤潂䍁䅁杒灂䝁䄴兙畂䝁䅍兡桂䝁䅷䅌杁䕁䅫杢橂䍁䄴䅉潁䙁䅍杔䵂䍁䅁䅔灂䝁䅙党杁䕁䅣杣療䡁䅕䅣灁䅁䅁兩䅫䙁䅉䅁䡂䝁䅕杢㍂䝁䄸杣あ䝁䅧䅉䝂䝁䅫杢桂䝁䄴睙灂䝁䅅䅢獁䍁䅁兓畂䝁䅍杌杁䍁䅧睕佂䕁䅷䅉兂䍁䅙睑杁䕁䅣杣療䡁䅕䅣灁䅁䅁朸䄴䑁䅉䅁䡂䝁䅕睢浂䝁䅙杣求䡁䅫䅉乂䝁䅅杣あ䝁䅫杢杁䕁䅳睢獂䝁䅅杢歂䝁䅕杣䅁䭁乁䅁獁䅁䅁睒求䝁䄸睚祂䝁䅅䅣潂䡁䅫䅉乂䝁䅫杢灂䝁䄰兤瑂䍁䅁杔兂䙁䅣䅁慂允䅁䅈䅁䕁䅣党療䡁䅉睚求䍁䅁杓療䡁䅍党睂䝁䅧䅁䥁充䅁䅌䅁䕁䅣党療䡁䅉睚求䍁䅁兔灂䝁䅍䅡桂䝁䅕䅢杁䕁䄰兤祂䡁䅁䅡㕂䅁䅁剨䅉䍁䅑䅁䡂䝁䅕杣桂䝁䅷䅚杁䕁䅫兙畂䍁䅁睖灂䝁䅷督療䝁䄴䅁㡄充䅁杌䅁䕁䅣党祂䝁䅅䅢歂䍁䅁䅖潂䝁䄸兢桂䡁䅍䅉乂䡁䅕䅢獂䝁䅫睚桂䝁䄴䅁畃杅䅁杌䅁䕁䅣党祂䝁䅅杣歂䍁䅁兒歂䡁䅣兙祂䝁䅑䅉䥂䝁䄸䅢あ䝁䅧兙ㅂ䡁䅍䅁晃䅄䅁䅎䅁䕁䅣党祂䝁䅉党祂䍁䅁䅔灂䝁䅙党杁䕁䅫杢穂䡁䅕杣桂䝁䄴睙求䍁䅁睑療䍁䄴䅁ㅄ杄䅁䅐䅁䕁䅣党祂䝁䅉党祂䍁䅁䅔灂䝁䅙党杁䕁䅫杢穂䡁䅕杣桂䝁䄴睙求䍁䅁睑療䝁䄰䅣桂䝁䄴入䅁偁余䅁潁䅁䅁睒求䡁䅉杣㕂䍁䅁杓桂䝁䄴党獂䝁䅷党杁䕁䅙杣療䡁䅍䅤䅁偁䱣䅁歁䅁䅁睒灂䝁䄴兙杁䕁䄰兙祂䝁䅫党杁䕁䄰兙畂䝁䅷党㕂䅁䅁䉯䅉䉁䅙䅁䡂䝁䅷党畂䍁䅁兑獂䝁䅷党畂䅁䅁剷䅁䍁䄴䅁䡂䝁䅷党畂䝁䄴䅉䭂䝁䅅睙牂䡁䅍睢畂䍁䅁睖灂䝁䅷䅢灂䝁䅅兢穂䅁䅁䉉䅉䍁䅯䅁䡂䝁䅷党畂䝁䄴䅉乂䝁䄸杣祂䝁䅫督杁䙁䅉党畂䡁䅣兡橂䝁䅳䅁穂权䅁杅䅁䕁䅣䅢求䝁䄴杤灂䝁䅕睤䅁䡁久䅁祂䅁䅁睒獂䝁䄸杙桂䝁䅷䅉䉂䡁䅑䅢桂䝁䄴䅤灂䝁䅍䅉䝂䝁䅫杢桂䝁䄴睙灂䝁䅅䅢杁䕁䅣杣療䡁䅕䅣杁䕁䅷兡瑂䝁䅫䅤求䝁䅑䅉潁䙁䅍杔䵂䍁䅁䅔灂䝁䅙党杁䕁䅣杣療䡁䅕䅣灁䅁䅁睬䅫䙁䄴䅁䡂䝁䅷睢楂䝁䅅䅢杁䕁䅅䅤獂䝁䅅杢あ䝁䅫睙杁䕁䅙兡畂䝁䅅杢橂䝁䅫兙獂䍁䅁睒祂䡁䅁䅉潁䙁䅍杔䵂䍁䅁䅔灂䝁䅙党杁䕁䅣杣療䡁䅕䅣灁䅁䅁杬䅫䍁䅑䅁䡂䝁䄸杤杁䕁䅅睚橂䡁䅫杏杁䕁䅷䅖杁䕁䅉睢畂䝁䅑䅁佁允䅁䅊䅁䕁䅣睢㉂䍁䅁兑湂䝁䅍入㙁䍁䅁睕啂䍁䅁村療䝁䄴䅚䅁䕁䅣䅁坂䅁䅁睒療䡁䅙睊あ䍁䅁兑湂䝁䅕杢橂䡁䅫杏杁䕁䅉睢畂䝁䅑督㙁䍁䅁睑桂䡁䅉杣㕂䝁䅫杢湂䍁䅁杖桂䝁䅷兤求䍁䅁䅋歁䑁䅁䅍睁䍁䅫䅁卄睂䅁杖䅁䕁䅣杣桂䝁䄴睚求䍁䅁兔ㅂ䡁䅑兤桂䝁䅷䅉䑂䝁䅅督ㅂ䝁䅅䅢あ䡁䅫䅉䑂䝁䄸杌杁䍁䅧睕佂䕁䅷䅉兂䍁䅙睑杁䕁䅣杣療䡁䅕䅣灁䅁䅁睁䄸䙁䄴䅁䡂䡁䅉兙畂䝁䅣党杁䕁䄰兤あ䡁䅕兙獂䍁䅁睑桂䡁䅍兤桂䝁䅷䅤㕂䍁䅁睑療䝁䄰䅣桂䝁䄴入杁䍁䅧睕佂䕁䅷䅉兂䍁䅙睑杁䕁䅣杣療䡁䅕䅣灁䅁䅁杁䄸䍁䅧䅁䡂䡁䅉兙㕂䍁䅁䅒療䝁䄴兙獂䝁䅑䅉䕂䝁䅫䅢獂䝁䅅杣歂䅁䅁硺䅍䙁䄴䅁䡂䡁䅉党桂䡁䅑䅉塂䝁䅕督あ䝁䅕杣畂䍁䅁兓畂䡁䅍兤祂䝁䅅杢橂䝁䅕䅉䡂䡁䅉睢ㅂ䡁䅁䅉潁䙁䅍杔䵂䍁䅁䅔灂䝁䅙党杁䕁䅣杣療䡁䅕䅣灁䅁䅁䅄䄸䙁䅧䅁䡂䡁䅉党桂䡁䅑兌塂䝁䅕督あ䍁䅁兓畂䡁䅍兤祂䝁䅅杢橂䝁䅕䅉䡂䡁䅉睢ㅂ䡁䅁䅉潁䙁䅍杔䵂䍁䅁䅔灂䝁䅙党杁䕁䅣杣療䡁䅕䅣灁䅁䅁杯䅫䉁䅑䅁䡂䡁䅉党求䝁䄴睤灂䝁䅍䅡䅁䑁䱑䅁歁䅁䅁睒祂䝁䅕党畂䡁䅣睢療䝁䅑䅉坂䝁䅫䅢獂䝁䅅睚求䅁䅁䅰䅫䍁䅉䅁䡂䡁䅉党湂䝁䅣䅉䵂䝁䅕党杁䕁䅧兙畂䡁䅍睢畂䅁䅁朲䄰䍁䅷䅁䡂䡁䅉党湂䝁䄸杣㕂䍁䅁兑獂䝁䅅杢杁䙁䅍兤歂䝁䅑党祂䡁䅑䅡䅁偁䵍䅁獁䅁䅁睒祂䝁䅕睚療䡁䅉入杁䕁䅅杣あ䝁䅧兤祂䍁䅁村ㅂ䡁䅉䅤療䝁䄴䅁十兄䅁杍䅁䕁䅣杣求䝁䅣睢祂䡁䅫䅉䑂䝁䅧兙祂䝁䅷党穂䍁䅁睔楂䝁䅕杣獂䝁䅅杢歂䅁䅁睇䅧䍁䅷䅁䡂䡁䅉党湂䝁䄸杣㕂䍁䅁兒歂䡁䅣兙祂䝁䅑䅉乂䡁䅕杣睂䝁䅧入䅁乁匰䅁流䅁䅁睒祂䝁䅕睚療䡁䅉入杁䕁䅯睢潂䝁䄴䅉䑂䡁䅉兙楂䝁䅉䅁䍁䅄䅁杋䅁䕁䅣杣求䝁䅣睢祂䡁䅫䅉䭂䝁䄸䅡畂䍁䅁睒ㅂ䡁䅑䅤灂䝁䄴睚䅁䕁䩫䅁潁䅁䅁睒祂䝁䅕睚療䡁䅉入杁䕁䄰兙祂䝁䅳䅉䑂䝁䅧兙畂䝁䅕入䅁䑁乑䅁獁䅁䅁睒祂䝁䅕睚療䡁䅉入杁䙁䅍兙畂䝁䅑党祂䍁䅁村求䝁䄴党穂䝁䅧䅁噃睄䅁䅘䅁䕁䅣杣療䡁䅍督杁䕁䅫杢㉂䑁䅯䅉䉂䝁䅙杚灂䝁䅷兡桂䡁䅑党歂䍁䅁䅕祂䝁䅕杚求䡁䅉杣求䝁䅑䅉呂䡁䅑睢橂䝁䅳督杁䍁䅧䅊睁䑁䅁䅍灁䅁䅁杕䅣䑁䅷䅁䡂䡁䅉睢穂䡁䅍䅉兂䡁䅉党瑂䝁䅫兤瑂䡁䅍䅉塂䡁䅉兡あ䡁䅑党畂䍁䅁䅋歁䑁䅁䅍睁䍁䅫䅁啁睂䅁杔䅁䕁䅣杣療䡁䅍督杁䙁䅁杣求䝁䄰兡ㅂ䝁䄰督杁䙁䅣杣灂䡁䅑䅤求䝁䄴睌杁䕁䅅杤湂䍁䅁兒硂䡁䅕兡あ䡁䅫䅉潁䡁䅧克䅁䱁啕䅁㡁䅁䅁睒祂䝁䄸兤睂䍁䅁兑橂䝁䅍兡歂䝁䅕杢あ䍁䅁杊杁䕁䅧党桂䝁䅷䅤潂䍁䅁杒療䝁䅍兤穂䅁䅁村䅧䙁䅧䅁䡂䡁䅉睢ㅂ䡁䅁䅉䥂䝁䅕兙獂䡁䅑䅡杁䕁䅍睢療䡁䅁党祂䝁䅅䅤灂䡁䅙党杁䍁䅧睕佂䕁䅷䅉䥂䝁䅕兙獂䡁䅑䅡杁䕁䅣杣療䡁䅕䅣灁䅁䅁䅇䄸䕁䅯䅁䡂䡁䅉䅣杁䕁䅅杊䥂䑁䅯䅉䍂䝁䅕杢求䝁䅙兡あ䍁䅁杕桂䡁䅑兡療䑁䅯䅉兂䡁䅉党瑂䝁䅫兤瑂䡁䅍䅉潁䍁䅕克䅁䕁噑䅁㡁䅁䅁睒祂䡁䅁䅉䉂䍁䅙䅓㙁䍁䅁睑療䝁䄰兢灂䡁䅍督灂䝁䄸杢杁䙁䅉兙あ䝁䅫睢杁䍁䅧兊灁䅁䅁䉘䅕䕁䅯䅁䡂䡁䅉䅣杁䕁䅅杊䥂䑁䅯䅉䙂䡁䅧䅣求䝁䄴督求䍁䅁杕桂䡁䅑兡療䑁䅯䅉兂䡁䅉党瑂䝁䅫兤瑂䡁䅍䅉潁䍁䅕克䅁䕁嘸䅁兂䅁䅁睒祂䡁䅁䅉䉂䍁䅙䅓㙁䍁䅁䅕祂䝁䅕兢灂䡁䅕兢穂䍁䅁杊杁䕁䅍睢畂䡁䅍兡歂䡁䅍杏杁䕁䅉入杁䕁䅷睔䍂䍁䅁䅋汁䍁䅫䅁㡁兆䅁杖䅁䕁䅣杣睂䍁䅁兑畂䝁䄴兤灂䡁䅑兡求䡁䅍杏杁䕁䅉党畂䝁䅕杚灂䡁䅑䅉卂䝁䅅䅤灂䝁䄸杏杁䙁䅁杣求䝁䄰兡ㅂ䝁䄰督杁䍁䅧兊灁䅁䅁硑䅕䕁䅧䅁䡂䡁䅉䅣杁䕁䅅杢畂䡁䅕兡あ䝁䅫党穂䑁䅯䅉䑂䝁䄸兢瑂䝁䅫督穂䝁䅫睢畂䍁䅁杕桂䡁䅑兡療䍁䅁䅋汁䍁䅫䅁扂兆䅁杖䅁䕁䅣杣睂䍁䅁兑畂䝁䄴兤灂䡁䅑兡求䡁䅍杏杁䕁䅕䅥睂䝁䅕杢穂䝁䅕䅉卂䝁䅅䅤灂䝁䄸杏杁䙁䅁杣求䝁䄰兡ㅂ䝁䄰督杁䍁䅧兊灁䅁䅁桔䅕䙁䅷䅁䡂䡁䅉䅣杁䕁䅅杢畂䡁䅕兡あ䝁䅫党穂䑁䅯䅉兂䡁䅉党瑂䝁䅫兤瑂䡁䅍䅉流䍁䅁睑療䝁䄴督灂䝁䅑督㙁䍁䅁村㕂䍁䅁䅔偂䕁䅉䅉潁䍁䅕克䅁䑁噧䅁佂䅁䅁睒祂䡁䅁䅉䵂䝁䅫杚求䍁䅁杏杁䕁䅉党畂䝁䅕杚灂䡁䅑䅉卂䝁䅅䅤灂䝁䄸杏杁䙁䅁杣求䝁䄰兡ㅂ䝁䄰督杁䍁䅧兊灁䅁䅁桑䅕䕁䅁䅁䡂䡁䅉䅣杁䕁䅷兡浂䝁䅕䅉㙁䍁䅁睑療䝁䄰兢灂䡁䅍督灂䝁䄸杢杁䙁䅉兙あ䝁䅫睢杁䍁䅧兊灁䅁䅁桗䅕䕁䄴䅁䡂䡁䅉䅣杁䕁䅷兡浂䝁䅕䅉㙁䍁䅁兒㑂䡁䅁党畂䡁䅍党杁䙁䅉兙あ䝁䅫睢㙁䍁䅁䅕祂䝁䅕兢灂䡁䅕兢穂䍁䅁䅋汁䍁䅫䅁乂兆䅁杔䅁䕁䅣杣睂䍁䅁䅔灂䝁䅙党杁䑁䅯䅉䵂䝁䅅䅣穂䝁䅕䅉流䍁䅁睕ㅂ䡁䅉杣求䝁䄴䅚求䡁䅉䅉卂䝁䅅䅤灂䝁䄸䅉潁䍁䅕克䅁䝁噑䅁啂䅁䅁睒祂䡁䅁䅉䵂䝁䅫杚求䍁䅁杏杁䙁䅁杣求䝁䄰兡ㅂ䝁䄰督杁䍁䅙䅉䑂䝁䄸杢穂䝁䅫䅚穂䑁䅯䅉䍂䡁䅫䅉䵂䕁䄸村杁䍁䅧兊灁䅁䅁䉎䅕䙁䅯䅁䡂䡁䅕兙祂䝁䅑兡桂䝁䄴䅉䵂䝁䅫杚求䍁䅁兓畂䡁䅍䅉䑂䝁䄸杌杁䝁䄸杚杁䕁䅅兢杁䍁䅧睕佂䕁䅷䅉䵂䝁䅫杚求䍁䅁睒祂䝁䄸兤睂䍁䅫䅁畃元䅁䅥䅁䕁䅣兤桂䡁䅉䅚灂䝁䅅杢杁䕁䅷兡浂䝁䅕䅉䩂䝁䄴督ㅂ䡁䅉兙畂䝁䅍党杁䕁䅍睢瑂䡁䅁兙畂䡁䅫䅉療䝁䅙䅉䉂䝁䄰党祂䝁䅫睙桂䍁䅁䅋呂䕁䄴䅔杁䕁䅷兡浂䝁䅕䅉䡂䡁䅉睢ㅂ䡁䅁克䅁䭁䨸䅁兂䅁䅁睒ㅂ䝁䅣睚求䝁䄴䅡求䝁䅫兢杁䕁䅍兙睂䝁䅫䅤桂䝁䅷䅉䵂䕁䅷睑杁䍁䅧睕佂䕁䅷䅉䵂䝁䅫杚求䍁䅁睒祂䝁䄸兤睂䍁䅫䅁㑃元䅁杕䅁䕁䅣兤湂䝁䅣党畂䝁䅧党灂䝁䄰䅉䑂䝁䅅䅣灂䡁䅑兙獂䍁䅷䅉䵂䕁䅷睑杁䍁䅧睕佂䕁䅷䅉䵂䝁䅫杚求䍁䅁睒祂䝁䄸兤睂䍁䅫䅁㍃元䅁杒䅁䕁䅣兤灂䝁䅑党偂䝁䄴党杁䕁䅫杢穂䡁䅕杣桂䝁䄴睙求䍁䅁䅋呂䕁䄴䅔杁䙁䅁杊䑂䍁䅁睒祂䝁䄸兤睂䍁䅫䅁橁睄䅁䅚䅁䕁䅣兤灂䝁䅑党塂䝁䅕䅢獂䍁䅁兔ㅂ䡁䅑兤桂䝁䅷䅉䥂䝁䄸䅢歂䝁䅫杢湂䍁䅁睑療䡁䅉䅣畁䍁䅁䅋呂䕁䄴䅔杁䕁䅧党桂䝁䅷䅤潂䍁䅁睒祂䝁䄸兤睂䍁䅫䅁獁睄䅁䅣䅁䕁䅣兤灂䝁䅑党塂䝁䅕䅢獂䍁䅁兔ㅂ䡁䅑兤桂䝁䅷䅉䥂䝁䄸䅢歂䝁䅫杢湂䍁䅁睑療䡁䅉䅣療䡁䅉兙あ䝁䅫睢畂䍁䅁䅋呂䕁䄴䅔杁䕁䅧党桂䝁䅷䅤潂䍁䅁睒祂䝁䄸兤睂䍁䅫䅁牁睄䅁杋䅁䕁䅣兤㕂䍁䅁䅓ㅂ䝁䅑督療䝁䄴䅉呂䝁䄰兡あ䝁䅧䅉䩂䕁䅫兓䅁乁䥷䅁䝂䅁䅁䅓䑂䑁䅉䅉䥂䝁䄸䅢歂䝁䅫杢湂䡁䅍䅉䩂䝁䄴睙畁䍁䅁䅋呂䕁䄴䅔杁䕁䅷兡浂䝁䅕䅉䡂䡁䅉睢ㅂ䡁䅁克䅁䙁偯䅁䥂䅁䅁䅓䑂䑁䅉䅉䥂䝁䄸䅢歂䝁䅫杢湂䡁䅍䅌杁䕁䅫杢橂䍁䄴䅉潁䙁䅍杔䵂䍁䅁䅔灂䝁䅙党杁䕁䅣杣療䡁䅕䅣灁䅁䅁睗䄸䑁䅷䅁䥂䝁䅅杢畂䝁䄸杤求䡁䅉䅉䵂䝁䅫杚求䍁䅁杕求䝁䅅督穂䡁䅕杣桂䝁䄴睙求䍁䅁睑療䍁䄴䅁㑁睄䅁杗䅁䕁䅧兙畂䝁䄴睢㉂䝁䅕杣杁䕁䅷兡浂䝁䅕䅉卂䝁䅕兙穂䡁䅍兤祂䝁䅅杢橂䝁䅕䅉䑂䝁䄸兢睂䝁䅅杢㕂䍁䅁睢浂䍁䅁兑瑂䝁䅕杣灂䝁䅍兙䅁䑁偣䅁允䅁䅁䅓桂䝁䄴睢㉂䝁䅕杣䅁䉁啫䅁慂䅁䅁䅓桂䝁䄴睢㉂䝁䅕杣杁䕁䅫杢穂䡁䅕杣桂䝁䄴睙求䍁䅁睒祂䝁䄸兤睂䍁䅁兓畂䝁䅍杌杁䍁䅧睕佂䕁䅷䅉兂䍁䅙睑杁䕁䅣杣療䡁䅕䅣灁䅁䅁杒䄸䙁䅷䅁䥂䝁䅅杢療䡁䅙党祂䍁䅁兓畂䡁䅍兤祂䝁䅅杢橂䝁䅕䅉䡂䡁䅉睢ㅂ䡁䅁䅌杁䕁䅫杢橂䍁䄴䅉潁䙁䅍杔䵂䍁䅁䅕流䕁䅍䅉䡂䡁䅉睢ㅂ䡁䅁克䅁䕁偕䅁潁䅁䅁䅓桂䡁䅉睢獂䝁䅑䅉䵂䝁䅕杣療䡁䅫䅉䭂䝁䅕杢穂䝁䅕杢䅁䉁儸䅁坁䅁䅁䅓桂䡁䅉杣灂䡁䅍杙ㅂ䡁䅉睚䅁䍁乙䅁䅂䅁䅁䅓桂䡁䅉杣灂䡁䅍杙ㅂ䡁䅉睚瑁䕁䅍兙祂䝁䅷兡穂䝁䅷党獁䍁䅁䅕䉂䍁䅁䅋乂䝁䅕䅤祂䝁䄸克䅁䍁乍䅁流䅁䅁䅓桂䡁䅉杣㕂䍁䅁杕桂䝁䄴䅚桂䝁䅷䅉坂䝁䅕兙橂䝁䅧䅁橃权䅁杅䅁䕁䅧兙祂䡁䅑杚療䡁䅉䅚䅁䙁䈴䅁慂䅁䅁䅓桂䡁䅉䅤浂䝁䄸杣歂䍁䅁杒灂䝁䄴兙畂䝁䅍兡桂䝁䅷䅉呂䝁䅕杣㉂䝁䅫睙求䡁䅍䅉潁䙁䅍杔䵂䍁䅁䅔灂䝁䅙党杁䕁䅣杣療䡁䅕䅣灁䅁䅁睷䅫䙁䅧䅁䥂䝁䅅杣あ䝁䅙睢祂䝁䅑䅉䝂䝁䅫杢桂䝁䄴睙灂䝁䅅䅢杁䙁䅍党祂䡁䅙兡橂䝁䅕督杁䍁䅧睕佂䕁䅷䅉兂䍁䅙睑杁䕁䅣杣療䡁䅕䅣灁䅁䅁杺䅫䡁䅉䅁䥂䝁䅅杣あ䝁䅙睢祂䝁䅑䅉䝂䝁䅫杢桂䝁䄴睙灂䝁䅅䅢杁䙁䅍党祂䡁䅙兡橂䝁䅕督杁䕁䅣杣療䡁䅕䅣獁䍁䅁兓畂䝁䅍杌杁䍁䅧睕佂䕁䅷䅉䵂䝁䅫杚求䍁䅁睒祂䝁䄸兤睂䍁䅫䅁䕄元䅁䅣䅁䕁䅧兙祂䡁䅑杚療䡁䅉䅚杁䕁䅙兡畂䝁䅅杢橂䝁䅫兙獂䍁䅁睕求䡁䅉杤灂䝁䅍党穂䍁䅁睒祂䝁䄸兤睂䍁䅷䅉䩂䝁䄴睙畁䍁䅁䅋呂䕁䄴䅔杁䙁䅁杊䑂䍁䅁睒祂䝁䄸兤睂䍁䅫䅁偄元䅁杙䅁䕁䅧兙祂䡁䅑杚療䡁䅉䅚瑁䙁䅣党穂䡁䅑䅉䥂䝁䅅杣あ䝁䅙睢祂䝁䅑兌䙂䝁䅅督あ䍁䅁䅓桂䡁䅉䅤浂䝁䄸杣歂䍁䅷䅉䑂䙁䅑䅉潁䕁䄰党あ䡁䅉睢灁䅁䅁党䅅䝁䅯䅁䥂䝁䅅杣㉂䝁䅅杣歂䍁䅁䅕灂䝁䅷睚祂䝁䅫兢杁䕁䅧党桂䝁䅷䅤潂䍁䅁睑桂䡁䅉党獁䍁䅁兓畂䝁䅍杌杁䍁䅧睕佂䕁䅷䅉䥂䝁䅕兙獂䡁䅑䅡杁䕁䅣杣療䡁䅕䅣灁䅁䅁䅕䄸䝁䅉䅁䥂䝁䅅杣㉂䝁䅅杣歂䍁䅁䅕灂䝁䅷睚祂䝁䅫兢杁䕁䅧䅢あ䝁䅧睑桂䡁䅉党杁䕁䅫杢橂䍁䄴䅉潁䙁䅍杔䵂䍁䅁䅓求䝁䅅䅢あ䝁䅧䅉䡂䡁䅉睢ㅂ䡁䅁克䅁䕁倸䅁佁䅁䅁䅓求䝁䅅䅢あ䝁䅧䅁䭄䅃䅁杋䅁䕁䅧党桂䝁䅷䅤潂䍁䅁兌杁䕁䄸䅤潂䝁䅕杣杁䕁䅙睢橂䡁䅕督䅁䡁伴䅁煁䅁䅁䅓求䝁䅅䅢あ䝁䅧䅉䑂䝁䅅杣求䍁䅁䅒求䝁䅷兡㉂䝁䅕杣㕂䅁䅁兘䅁䭁䅙䅁䥂䝁䅕兙獂䡁䅑䅡杁䕁䅍兙祂䝁䅕䅉呂䝁䅕杣㉂䝁䅫睙求䍁䅁睑療䡁䅉䅣療䡁䅉兙あ䝁䅫睢畂䍁䅷䅉桂䍁䅁兔ㅂ䡁䅑兤桂䝁䅷䅉䵂䝁䅕睚桂䝁䅷䅉卂䝁䅕督求䡁䅉杤求䍁䅁睑療䝁䄰䅣桂䝁䄴入杁䍁䅧睕佂䕁䅷䅉䥂䝁䅕兙獂䡁䅑䅡杁䕁䅣杣療䡁䅕䅣灁䅁䅁䅨䄸䭁䅉䅁䥂䝁䅕兙獂䡁䅑䅡杁䕁䅍兙祂䝁䅕䅉呂䝁䅕杣㉂䝁䅫睙求䍁䅁睑療䡁䅉䅣療䡁䅉兙あ䝁䅫睢畂䍁䅷䅉桂䍁䅁兔ㅂ䡁䅑兤桂䝁䅷䅉䵂䝁䅕睚桂䝁䅷䅉卂䝁䅕督求䡁䅉杤求䍁䅁睑療䝁䄰䅣桂䝁䄴入杁䍁䅧睕佂䕁䅷䅉䵂䝁䅫杚求䍁䅁睒祂䝁䄸兤睂䍁䅫䅁偃睄䅁杔䅁䕁䅧党桂䝁䅷䅤潂䙁䅁兙祂䡁䅑杢求䡁䅉督杁䕁䅫杢橂䍁䄴䅉潁䙁䅍杔䵂䍁䅁䅓求䝁䅅䅢あ䝁䅧䅉䡂䡁䅉睢ㅂ䡁䅁克䅁䝁偑䅁兂䅁䅁䅓求䝁䅅䅢あ䝁䅧䅕桂䡁䅉䅤畂䝁䅕杣穂䍁䅷䅉䩂䝁䄴睙畁䍁䅁䅋呂䕁䄴䅔杁䕁䅧党桂䝁䅷䅤潂䍁䅁睒祂䝁䄸兤睂䍁䅫䅁求睄䅁杈䅁䕁䅧党祂䝁䅉党祂䡁䅑䅉塂䝁䅕杢歂䝁䅕杣䅁䝁卉䅁㑁䅁䅁䅓求䡁䅉兡あ䝁䅅睚求䍁䅁䅔灂䝁䅙党杁䕁䅫杢穂䡁䅕杣桂䝁䄴睙求䍁䅁睑療䍁䄴䅁畂睄䅁䅑䅁䕁䅧党祂䝁䅫䅤桂䝁䅣党杁䕁䅷兡浂䝁䅕䅉䩂䝁䄴督ㅂ䡁䅉兙畂䝁䅍党杁䕁䅍睢瑂䡁䅁兙畂䡁䅫䅁療睄䅁䅗䅁䕁䅧兡湂䝁䅧兢桂䡁䅉睡杁䕁䅫杢穂䡁䅕杣桂䝁䄴睙求䍁䅁睒祂䝁䄸兤睂䍁䅁䅋呂䕁䄴䅔杁䕁䅧党桂䝁䅷䅤潂䍁䅁睒祂䝁䄸兤睂䍁䅫䅁㑂睄䅁杘䅁䕁䅧䅢あ䝁䅧睑桂䡁䅉党杁䙁䅍杤橂䍁䅁睑療䡁䅉䅣畁䍁䅁兙杁䕁䄰兤あ䡁䅕兙獂䍁䅁䅋呂䕁䄴䅔杁䕁䅧党桂䝁䅷䅤潂䍁䅁睒祂䝁䄸兤睂䍁䅫䅁䙃睄䅁杗䅁䕁䅧䅢あ䝁䅧睑桂䡁䅉党杁䙁䅍杤橂䍁䅁睑療䡁䅉䅣畁䍁䅁兙杁䕁䄰兤あ䡁䅕兙獂䍁䅁䅋呂䕁䄴䅔杁䕁䅷兡浂䝁䅕䅉䡂䡁䅉睢ㅂ䡁䅁克䅁䥁倴䅁獁䅁䅁䅓療䝁䄰党穂䡁䅑党桂䝁䅑党祂䡁䅍䅉䵂䝁䅫杚求䍁䅁睑療䍁䄴䅁奃睄䅁䅎䅁䕁䅧睢瑂䝁䅕督あ䝁䅕兙歂䝁䅕杣穂䍁䅁䅔灂䝁䅙党杁䕁䅍睢瑂䡁䅁兙畂䡁䅫䅁塃睄䅁杗䅁䕁䅧睢祂䝁䅅睙求䍁䅁兔桂䝁䄴杢杁䕁䅕䅚ㅂ䝁䅍兙あ䝁䄸杣穂䍁䅁睑療䡁䅉䅣畁䍁䅁䅋呂䕁䄴䅔杁䕁䅷兡浂䝁䅕䅉䡂䡁䅉睢ㅂ䡁䅁克䅁䭁偅䅁浂䅁䅁䅓療䡁䅉兙橂䝁䅕䅉乂䝁䅅杢畂䍁䅁兒歂䡁䅕睙桂䡁䅑睢祂䡁䅍䅉䑂䝁䄸杣睂䝁䄸杣桂䡁䅑兡療䝁䄴䅉潁䙁䅍杔䵂䍁䅁䅔灂䝁䅙党杁䕁䅣杣療䡁䅕䅣灁䅁䅁杯䄸䝁䅯䅁䥂䝁䄸杣灂䡁䅯睢畂䍁䅁䅓求䝁䅅䅢あ䝁䅧睙桂䡁䅉党杁䙁䅍党祂䡁䅙兡橂䝁䅕督獁䍁䅁兓畂䝁䅍杌杁䍁䅧睕佂䕁䅷䅉䥂䝁䅕兙獂䡁䅑䅡杁䕁䅣杣療䡁䅕䅣灁䅁䅁䅲䄸䝁䅁䅁䥂䝁䄸杣灂䡁䅯睢畂䍁䅁䅓求䝁䅅䅢あ䝁䅧睙桂䡁䅉党杁䙁䅍杤橂䡁䅍䅉䩂䝁䄴睙畁䍁䅁䅋呂䕁䄴䅔杁䕁䅧党桂䝁䅷䅤潂䍁䅁睒祂䝁䄸兤睂䍁䅫䅁瑃睄䅁䅅䅁䕁䅧睢祂䡁䅍䅡桂䝁䄰䅁奂权䅁䅍䅁䕁䅧睢穂䡁䅁兡あ䝁䅅䅢穂䍁䅁兓畂䡁䅍兤祂䝁䅅杢橂䝁䅕䅉䑂䝁䄸杌䅁䱁偙䅁䕂䅁䅁䅓療䡁䅍䅣灂䡁䅑兙獂䡁䅍䅉䩂䝁䄴督ㅂ䡁䅉兙畂䝁䅍党杁䕁䅍睢瑂䡁䅁兙畂䡁䅫䅌杁䕁䅫杢橂䍁䄴䅁㍃睄䅁䅅䅁䕁䅧睢ㅂ䡁䅍䅤療䝁䄴䅁牃䅅䅁杗䅁䕁䅧睢ㅂ䡁䅍䅤療䝁䄴兌啂䝁䅧党杁䙁䅣睢療䝁䅑䅢桂䝁䄴䅚穂䍁䄰睕ㅂ䝁䅣兙祂䍁䅁䅔桂䝁䄴䅚獁䍁䅁䅖奂䍁䅁䅋乂䝁䅕䅤祂䝁䄸克䅁䭁䤰䅁獁䅁䅁䅓療䡁䅣兙祂䝁䅑䅉䩂䍁䄴䅉噂䝁䄴睚求䡁䅉䅢求䝁䅫䅚求䡁䅉䅁摁杄䅁杉䅁䕁䅧睢㍂䝁䅅杣歂䍁䅁䅔畁䍁䅁睑桂䡁䅉杤求䡁䅉䅁穄充䅁杉䅁䕁䅧兤湂䝁䅧䅉䝂䡁䅉兙畂䝁䅍兡穂䍁䅁兓䩂䕁䅫䅁⭁睅䅁材䅁䕁䅧兤瑂䝁䅅杢桂䍁䅁兓畂䝁䅍杌杁䍁䅧睕佂䕁䅷䅉䥂䝁䅕兙獂䡁䅑䅡杁䕁䅣杣療䡁䅕䅣灁䅁䅁杷䄸䑁䅯䅁䥂䡁䅕兢桂䝁䄴兙杁䕁䅫杢橂䍁䄴䅉潁䙁䅍杔䵂䍁䅁䅔灂䝁䅙党杁䕁䅣杣療䡁䅕䅣灁䅁䅁杺䄸䝁䅁䅁䥂䡁䅫杙祂䝁䅫䅚杁䙁䅍党橂䡁䅕杣灂䡁䅑兡求䡁䅍杏杁䕁䅉睢畂䝁䅑督㙁䍁䅁睑桂䡁䅉杣㕂䝁䅫杢湂䍁䅁杖桂䝁䅷兤求䍁䅁䅋歁䑁䅁䅍睁䍁䅫䅁坄睂䅁李䅁䕁䅧入楂䡁䅉兡歂䍁䅁睕求䝁䅍兤祂䝁䅫䅤灂䝁䅕督㙁䍁䅁䅔啂䍁䅁村療䝁䄴䅚䅁䩁䅑䅁㉁䅁䅁䅓㕂䝁䅉杣灂䝁䅑䅉呂䝁䅕睙ㅂ䡁䅉兡あ䝁䅫党穂䑁䅯䅉呂䙁䅑䅉䍂䝁䄸杢歂䅁䅁䅮䅁䅁䅙䅁䩂䕁䅅䅁䭃䅃䅁䅓䅁䕁䅫兑啂䍁䅁兓畂䡁䅍兤祂䝁䅅杢橂䝁䅕䅉䡂䡁䅉睢ㅂ䡁䅁䅉潁䙁䅍杔䵂䍁䅁䅕流䕁䅍䅉䡂䡁䅉睢ㅂ䡁䅁克䅁乁偁䅁祁䅁䅁兓䍂䕁䄴杕癁䍁䅁䅖療䡁䅑兙獂䍁䅁杕求䡁䅍党祂䡁䅙党穂䍁䅁䅋汁䍁䅫䅁歁睂䅁䅎䅁䕁䅫睑塂䍁䅁睒祂䝁䄸兤睂䍁䅁䅋呂䕁䄴䅔杁䙁䅁杊䑂䍁䅁睒祂䝁䄸兤睂䍁䅫䅁慄睄䅁杂䅁䕁䅫䅔䅁䍁䤸䅁䝁䅁䅁兓佂䅁䅁䅺䅧䅁䅷䅁䩂䙁䅍兓佂䍁䅁䅁汃睂䅁杖䅁䕁䅫睕乂䕁䅫兒杁䕁䄰兤あ䡁䅕兙獂䍁䅁兓畂䡁䅍兤祂䝁䅅杢橂䝁䅕䅉䑂䝁䄸杌杁䍁䅧睕佂䕁䅷䅉兂䍁䅙睑杁䕁䅣杣療䡁䅕䅣灁䅁䅁桇䅁䙁䄴䅁䩂䙁䅍兔䩂䕁䅕䅉乂䡁䅕䅤ㅂ䝁䅅䅢杁䕁䅫杢穂䡁䅕杣桂䝁䄴睙求䍁䅁睑療䝁䄰䅣桂䝁䄴入杁䍁䅧睕佂䕁䅷䅉兂䍁䅙睑杁䕁䅣杣療䡁䅕䅣灁䅁䅁則䅁䍁䅷䅁䩂䝁䅅杢杁䙁䅍䅤求䡁䅙党畂䍁䅁兖歂䡁䅙兙祂䝁䅧党獂䡁䅫兡䅁䡁关䅁㙁䅁䅁兓獂䝁䅷兡畂䝁䄸兡穂䍁䅁兔ㅂ䡁䅑兤桂䝁䅷䅉䵂䝁䅫杚求䍁䅁兓畂䡁䅍䅉䑂䝁䄸杌䅁佁偙䅁佂䅁䅁兓獂䝁䅷兡畂䝁䄸兡穂䍁䅁兔ㅂ䡁䅑兤桂䝁䅷䅉䵂䝁䅫杚求䍁䅁兓畂䡁䅍兤祂䝁䅅杢橂䝁䅕䅉䑂䝁䄸兢睂䝁䅅杢㕂䅁䅁儵䄸䍁䅑䅁䩂䝁䄰䅣桂䝁䅫杣瑂䝁䅕杢あ䍁䅁䅋歁䑁䅁䅍睁䍁䅫䅁獃允䅁䅊䅁䕁䅫杢橂䝁䄸兢求䍁䅁䅕祂䝁䄸䅚ㅂ䝁䅍䅤灂䝁䄸杢䅁偁䄴䅁歂䅁䅁兓畂䝁䅑党睂䝁䅕杢歂䝁䅕杢橂䝁䅕䅉䥂䝁䅕兙獂䡁䅑䅡杁䕁䅣杣療䡁䅕䅣杁䕁䅫杢橂䍁䄴䅉潁䙁䅍杔䵂䍁䅁䅓求䝁䅅䅢あ䝁䅧䅉䡂䡁䅉睢ㅂ䡁䅁克䅁偁偅䅁浂䅁䅁兓畂䝁䅑党睂䝁䅕杢歂䝁䅕杢橂䝁䅕䅉䥂䝁䅕兙獂䡁䅑䅡杁䕁䅣杣療䡁䅕䅣獁䍁䅁兓畂䝁䅍杌杁䍁䅧睕佂䕁䅷䅉䥂䝁䅕兙獂䡁䅑䅡杁䕁䅣杣療䡁䅕䅣灁䅁䅁朸䄸䍁䅙䅁䩂䝁䄴䅚求䡁䅁党畂䝁䅑党畂䡁䅑䅉䉂䝁䅣党畂䝁䅍入䅁䑁䩙䅁啂䅁䅁兓畂䝁䅑兡桂䝁䄴兙杁䕁䅙兙祂䝁䄰䅉䍂䡁䅕杣求䝁䅅兤杁䕁䅫杢橂䍁䄴䅉潁䙁䅍杔䵂䍁䅁䅔灂䝁䅙党杁䕁䅣杣療䡁䅕䅣灁䅁䅁眫䄸䙁䅙䅁䩂䝁䄴䅚灂䝁䅅杢桂䍁䅁杒桂䡁䅉兢杁䕁䅉兤祂䝁䅕兙ㅂ䍁䅷䅉䩂䝁䄴睙畁䍁䅁䅋呂䕁䄴䅔杁䕁䅷兡浂䝁䅕䅉䡂䡁䅉睢ㅂ䡁䅁克䅁偁偷䅁㙁䅁䅁兓畂䝁䅑兡桂䝁䄴兙杁䕁䄸䅢歂䍁䅁杔桂䡁䅑兡療䝁䄴兙獂䍁䅁兓畂䡁䅍䅉䑂䝁䄸杌䅁䅁兕䅁佂䅁䅁兓畂䝁䅑兡桂䝁䄴兙杁䕁䄸䅢歂䍁䅁杔桂䡁䅑兡療䝁䄴兙獂䍁䅁兓畂䡁䅍兤祂䝁䅅杢橂䝁䅕䅉䑂䝁䄸兢睂䝁䅅杢㕂䅁䅁桂䅁䉁䅯䅁䩂䝁䄴䅚灂䝁䅅杢桂䡁䅁睢獂䝁䅫督䅁䵁䤴䅁卂䅁䅁兓畂䝁䅑兡桂䝁䄴兙睂䝁䄸䅢灂䡁䅍兌䑂䝁䅅杣瑂䝁䅕䅢瑁䕁䅅杢歂䝁䅕杣穂䝁䄸杢獁䍁䅁兓佂䍁䅁䅋乂䝁䅕䅤祂䝁䄸克䅁乁䥅䅁獁䅁䅁兓畂䝁䅑兡㉂䝁䅫䅚ㅂ䝁䅅䅢杁䕁䅷兡浂䝁䅕䅉䝂䝁䄸睙ㅂ䡁䅍䅁啁䅃䅁䅐䅁䕁䅫杢歂䝁䅫杤灂䝁䅑兤桂䝁䅷䅉䵂䝁䅫杚求䍁䅁兙畂䝁䅑䅉䉂䍁䅙䅓杁䕁䅙睢橂䡁䅕督䅁䡁䥫䅁捁䅁䅁兓畂䝁䅑䅢㙁䍁䅁䅔啂䍁䅁村療䝁䄴䅚䅁䅁䉧䅁捁䅁䅁兓畂䝁䅑䅢㙁䍁䅁睕啂䍁䅁村療䝁䄴䅚䅁䭁䅑䅁坁䅁䅁兓畂䝁䅑兤穂䡁䅑杣灂䝁䅅䅢䅁䉁䉑䅁慂䅁䅁兓畂䝁䅑兤穂䡁䅑杣灂䝁䅅䅢杁䕁䅷兡浂䝁䅕杏杁䕁䅉党畂䝁䅕杚灂䡁䅑䅉卂䝁䅅䅤灂䝁䄸杏杁䙁䅁杣求䝁䄰兡ㅂ䝁䄰督杁䍁䅧兊灁䅁䅁硅䅕䕁䅷䅁䩂䝁䄴䅚ㅂ䡁䅍䅤祂䝁䅫兙獂䍁䅁䅔灂䝁䅙党㙁䍁䅁睑療䝁䄰兢灂䡁䅍督灂䝁䄸杢杁䙁䅉兙あ䝁䅫睢杁䍁䅧兊灁䅁䅁桓䅕䙁䅯䅁䩂䝁䄴䅚ㅂ䡁䅍䅤祂䝁䅫兙獂䍁䅁䅔灂䝁䅙党㙁䍁䅁兒㑂䡁䅁党畂䡁䅍党杁䙁䅉兙あ䝁䅫睢㙁䍁䅁䅕祂䝁䅕兢灂䡁䅕兢穂䍁䅁䅋汁䍁䅫䅁䥂兆䅁杗䅁䕁䅫杢歂䡁䅕督あ䡁䅉兡桂䝁䅷䅉䵂䝁䅫杚求䑁䅯䅉䵂䝁䅅䅣穂䝁䅕䅉流䍁䅁睕ㅂ䡁䅉杣求䝁䄴䅚求䡁䅉䅉卂䝁䅅䅤灂䝁䄸䅉潁䍁䅕克䅁䝁噅䅁杂䅁䅁兓畂䝁䅑兤穂䡁䅑杣灂䝁䅅䅢杁䕁䅷兡浂䝁䅕杏杁䙁䅁杣求䝁䄰兡ㅂ䝁䄰督杁䍁䅙䅉䑂䝁䄸杢穂䝁䅫䅚穂䑁䅯䅉䍂䡁䅫䅉䵂䕁䄸村杁䍁䅧兊灁䅁䅁桎䅕䙁䅉䅁䩂䝁䄴䅚ㅂ䡁䅍䅤祂䝁䅫兙獂䑁䅯䅉䍂䝁䄸杢歂䡁䅍杏杁䕁䅍兙祂䡁䅉入灂䝁䄴睚杁䙁䅙兙獂䡁䅕党杁䍁䅧䅊睁䑁䅁䅍灁䅁䅁眰䅣䍁䄴䅁䩂䝁䄴䅚ㅂ䡁䅍䅤祂䝁䅫兙獂䑁䅯䅉䑂䝁䄸兢瑂䍁䅁睕あ䝁䄸睙牂䅁䅁光䅅䕁䅙䅁䩂䝁䄴杚灂䝁䄴兡あ䡁䅫䅉兂䍁䅙睑杁䕁䅍睢祂䡁䅁杌杁䍁䅧睕佂䕁䅷䅉兂䍁䅙睑杁䕁䅣杣療䡁䅕䅣灁䅁䅁䉅䅁䡁䅙䅁䩂䝁䄴杚灂䝁䄴兡あ䡁䅫䅉兂䡁䅉睢睂䝁䅕杣あ䡁䅫䅉桂䝁䄴䅚杁䕁䅍兙穂䡁䅕兙獂䡁䅑入杁䕁䅍睢祂䡁䅁睢祂䝁䅅䅤灂䝁䄸杢杁䍁䅧睕佂䕁䅷䅉兂䍁䅙睑杁䕁䅣杣療䡁䅕䅣灁䅁䅁剅䅁䉁䅉䅁䩂䝁䄴兡あ䝁䅫兙あ䝁䅕䅁敄䅃䅁䅊䅁䕁䅫杢穂䡁䅑兡あ䡁䅕䅤灂䝁䄸杢杁䕁䄴兙瑂䝁䅕䅉䅁乁啅䅁⭁䅁䅁兓畂䡁䅍兤祂䝁䅅杢橂䝁䅕䅉䩂䝁䄴杤求䡁䅍䅤瑂䝁䅕杢あ䍁䅁兗灂䝁䅕䅢歂䍁䅁䅋汁䍁䅫䅁䙄䅆䅁䅡䅁䕁䅫杢穂䡁䅕杣桂䝁䄴睙求䍁䅁兙畂䝁䅑䅉䩂䝁䄴杤求䡁䅍䅤瑂䝁䅕杢あ䍁䅁杕求䡁䅍党祂䡁䅙党穂䍁䄸䅉啂䝁䄸䅤桂䝁䅷䅉䉂䡁䅍督求䡁䅑督杁䍁䅧兊灁䅁䅁剶䅑䙁䅑䅁䩂䝁䄴䅤求䡁䅉党穂䡁䅑䅉䕂䡁䅕党杁䍁䅙䅉䉂䝁䅍睙祂䡁䅕党歂䍁䅷䅉䉂䝁䅑兢杁䕁䅅督穂䝁䅕䅤穂䍁䅁䅋歁䑁䅁䅍睁䍁䅫䅁晃睂䅁䅊䅁䕁䅫杢あ䝁䅕杣求䡁䅍䅤杁䙁䅉兙あ䝁䅕䅉潁䍁䅕克䅁䩁䠰䅁䵂䅁䅁兓畂䡁䅑党祂䝁䅕督あ䍁䅁睢祂䍁䅁䅒灂䡁䅙兡歂䝁䅕杢歂䡁䅍䅉卂䝁䅕睙求䝁䅫杤求䝁䅑䅉潁䍁䅑䅍睁䑁䅁克䅁䩁䡣䅁㉁䅁䅁兓畂䡁䅙党穂䡁䅑兢求䝁䄴䅤杁䕁䅍兤祂䡁䅉党畂䡁䅑睐杁䙁䅫党穂䍁䄸杔療䅁䅁東䅣䑁䅉䅁䩂䝁䄴杤求䡁䅍䅤瑂䝁䅕杢あ䍁䅁兓畂䝁䅍睢瑂䝁䅕䅉潁䍁䅑䅍睁䑁䅁克䅁䵁䉣䅁㑁䅁䅁兓畂䡁䅙党穂䡁䅑兢求䝁䄴䅤杁䙁䅙兙獂䡁䅕党杁䡁䅑睢杁䕁䅍杊呂䍁䅁䅋汁䍁䅫䅁䱄杂䅁杋䅁䕁䅫杢㉂䝁䅕督あ䝁䄰党畂䡁䅑䅉婂䝁䅫党獂䝁䅑䅉潁䍁䅕克䅁䭁啳䅁歁䅁䅁兓穂䝁䅅兡桂䝁䅧䅉䥂䝁䅅杣祂䝁䅫督杁䕁䅯杣畁䅁䅁睃䅫䉁䅯䅁䩂䡁䅍督ㅂ䝁䅕杣杁䕁䄴兙瑂䝁䅕䅉䅁䥁䡣䅁㉁䅁䅁兓穂䡁䅍兤求䡁䅉䅉啂䡁䅫䅣求䍁䅁䅋䉂䡁䅍䅉卂䝁䅕䅣療䡁䅉䅤求䝁䅑克杁䅁䅁䅫䅣䍁䅙䅁䩂䡁䅍督ㅂ䝁䅕杣杁䝁䄸杙獂䝁䅫睚桂䡁䅑兡療䝁䄴督䅁䙁䉧䅁捁䅁䅁兓あ䝁䅕兢杁䙁䅉党瑂䝁䄸杤求䝁䅑䅉䅁乁䡕䅁敁䅁䅁杓畁䍁䅁睑獂䝁䅫杚浂䍁䅁兒桂䡁䅍睢畂䅁䅁䅧䅯䍁䅉䅁䭂䍁䄴䅉䝂䡁䅉兙畂䝁䅳䅢灂䝁䄴䅉䥂䝁䅅䅢獂䅁䅁剙䅉䍁䅑䅁䭂䝁䅅兙畂䍁䅁兒祂䝁䅫睡杁䙁䅍兡歂䝁䄸杣療䡁䅙䅁䱃充䅁䅊䅁䕁䅯兙橂䝁䅳䅉䍂䝁䅅杣あ䝁䄸杢杁䕁䅕杤桂䝁䄴督䅁䱁吰䅁畁䅁䅁杓桂䝁䅍睡杁䕁䅍䅡桂䡁䅉䅢求䡁䅍䅉呂䝁䅅䅢㙂䡁䅣党歂䝁䅕䅢䅁䭁䝑䅁歁䅁䅁杓桂䝁䅍睡杁䕁䅕䅢獂䝁䅫睢あ䍁䅁村祂䝁䄸睤畂䅁䅁儵䄰䉁䅁䅁䭂䝁䅅睙牂䡁䅍睢畂䅁䅁兮䅯䙁䅯䅁䭂䝁䅅睙牂䡁䅍睢畂䍁䅁杔桂䡁䅑兡療䝁䄴兙獂䍁䅁䅔灂䝁䅙党杁䕁䅣杣療䡁䅕䅣杁䍁䅧睕佂䕁䅷䅉䵂䝁䅫杚求䍁䅁睒祂䝁䄸兤睂䍁䅫䅁剄元䅁䅋䅁䕁䅯兙橂䝁䅳督療䝁䄴䅌杁䕁䄰睕杁䍁䅧兔求䡁䅑杣療䍁䅫䅁权权䅁杇䅁䕁䅯兙橂䝁䅳督療䝁䄴杤灂䝁䅷䅢求䅁䅁䅍䄸䑁䅉䅁䭂䝁䅅睙牂䡁䅍睢畂䡁䅙兡獂䝁䅷党獁䍁䅁杒䵂䍁䅁䅋乂䝁䅕䅤祂䝁䄸克䅁䍁倰䅁㑁䅁䅁杓桂䝁䅍兣ㅂ䝁䅕䅢㕂䝁䄴䅉乂䝁䅫睙潂䝁䅕䅢獂䝁䅕䅉䉂䝁䄴䅚求䡁䅉督療䝁䄴䅁ㅃ充䅁杋䅁䕁䅯兙灂䝁䄰党杁䙁䅑兡獂䝁䅷兢桂䝁䄴䅉啂䝁䅅兢桂䡁䅫睢䅁䱁兯䅁潁䅁䅁杓桂䝁䄰党穂䍁䅁兑畂䝁䅑杣求䡁䅣䅉乂䝁䄸杣湂䝁䅅杢䅁䭁卷䅁煁䅁䅁杓桂䝁䄰党穂䍁䅁村祂䝁䅫兙畂䍁䅁睕桂䝁䅷杤求䡁䅍党畂䅁䅁杖䅫䑁䅁䅁䭂䝁䅅兢求䡁䅍䅉䑂䝁䅧杣灂䡁䅍䅤療䡁䅁䅡求䡁䅉䅉䥂䝁䄸睤桂䡁䅑䅁呁兄䅁䅌䅁䕁䅯兙瑂䝁䅕督杁䕁䅑党塂䝁䅅入畂䝁䅕䅉塂䝁䅅䅢獂䝁䅅睙求䅁䅁䅋䄸䍁䄴䅁䭂䝁䅅兢求䡁䅍䅉䕂䝁䄸兤湂䝁䅷兙穂䍁䅁杕療䝁䅉兡畂䡁䅍睢畂䅁䅁砲䅍䍁䅑䅁䭂䝁䅅兢求䡁䅍䅉䙂䝁䅑睤桂䡁䅉䅚杁䕁䅳兤畂䝁䅳䅁硁睅䅁杊䅁䕁䅯兙瑂䝁䅕督杁䕁䅕䅚㍂䝁䅅杣歂䍁䅁䅕療䡁䅯来灂䅁䅁睲䅧䍁䅯䅁䭂䝁䅅兢求䡁䅍䅉䙂䡁䅯杣桂䍁䅁䅒桂䡁䅙党畂䡁䅁睢祂䡁䅑䅁㕁䅆䅁䅌䅁䕁䅯兙瑂䝁䅕督杁䕁䅧兙祂䡁䅉入杁䙁䅍兤あ䝁䅍䅢灂䝁䅙杚求䅁䅁睺䅯䍁䅙䅁䭂䝁䅅兢求䡁䅍䅉䱂䝁䅕兡あ䝁䅧䅉䵂䝁䅕杤灂䝁䄴党䅁䵁乑䅁潁䅁䅁杓桂䝁䄰党穂䍁䅁䅔療䡁䅕兡穂䍁䅁䅕桂䡁䅉杢求䝁䅷䅢䅁䥁䱉䅁潁䅁䅁杓桂䝁䄰党穂䍁䅁兔畁䍁䅁睑祂䝁䅅睙橂䝁䅧兡療䝁䅷睢䅁䱁䥧䅁畁䅁䅁杓桂䝁䄰党穂䍁䅁兔灂䝁䅍䅡桂䝁䅕䅢杁䕁䅣䅢灂䝁䅍睡瑂䝁䅅杢䅁䝁兕䅁歁䅁䅁杓桂䝁䄰党穂䍁䅁杔療䡁䅉兢桂䝁䄴䅉䥂䝁䅅䅢獂䅁䅁硨䅁䍁䅧䅁䭂䝁䅅兢求䡁䅍䅉兂䝁䅅杣牂䝁䅕杣杁䕁䅷睢祂䝁䅫杢湂䅁䅁睄䅷䍁䅷䅁䭂䝁䅅兢求䡁䅍䅉兂䝁䅅䅤祂䝁䅫睙牂䍁䅁村祂䝁䅅杢畂䝁䅕杢䅁䩁位䅁歁䅁䅁杓桂䝁䄰党穂䍁䅁䅕潂䝁䅫䅢灂䡁䅁䅉䉂䝁䅉党獂䅁䅁杸䅧䍁䅧䅁䭂䝁䅅兢求䡁䅍䅉卂䝁䅅杢歂䝁䅅䅢獂䍁䅁睒療䝁䅉党祂䅁䅁框䅁䍁䅷䅁䭂䝁䅅兢求䡁䅍䅉卂䝁䅫睙潂䝁䅅杣歂䍁䅁村求䝁䅷兙祂䝁䅑兡䅁乁䥯䅁流䅁䅁杓桂䝁䄰党穂䍁䅁杕療䝁䄴兙獂䝁䅑䅉呂䝁䄸䅣潂䝁䅅䅁塄元䅁杈䅁䕁䅯兙瑂䝁䅕督杁䙁䅍杌杁䙁䅉兡求䡁䅁党䅁䩁䩑䅁潁䅁䅁杓桂䝁䄰党穂䍁䅁睕橂䝁䄸䅤あ䍁䅁䅒桂䡁䅙兡穂䝁䄸杢䅁䕁䭣䅁潁䅁䅁杓桂䝁䄰党穂䍁䅁䅖潂䝁䄸兢桂䡁䅍䅉乂䝁䄸杣祂䝁䅫督䅁䙁䭅䅁獁䅁䅁杓桂䝁䄰党穂䍁䅁䅖療䝁䅑䅚杁䕁䅉䅢桂䝁䅍睡獂䝁䅕䅚湂䝁䅕䅁摁权䅁䅋䅁䕁䅯兙瑂䝁䅕督杁䙁䅙兡祂䝁䅣兡獂䍁䅁睓求䝁䅷䅢求䡁䅫䅁兄睅䅁䅍䅁䕁䅯兙瑂䝁䅕督杁䙁䅣兡獂䝁䅷兡桂䝁䄰䅉䙂䡁䅁䅣求䝁䅷䅉䭂䡁䅉杌䅁䱁呅䅁煁䅁䅁杓桂䝁䄰兡求䍁䅁村畁䍁䅁睕あ䝁䅕睤桂䡁䅉䅤杁䕁䅯杣畁䅁䅁䅷䄴䉁䄴䅁䭂䝁䅅杢求䡁䅑䅉呂䡁䅕党杁䕁䅳兙あ䡁䅯䅁䕄睃䅁䅋䅁䕁䅯兙畂䝁䅫睙求䍁䅁兒獂䝁䅅兡畂䝁䅕䅉䍂䝁䄸兙祂䝁䅑䅁䍂䅄䅁䅉䅁䕁䅯兙祂䝁䅕䅚杁䕁䅅杌杁䕁䄰睢祂䡁䅉兡穂䅁䅁儫䅳䍁䅙䅁䭂䝁䅅督療䝁䄴䅉䕂䝁䅅杤灂䝁䅑䅉䥂䝁䅫睙牂䝁䅕入䅁偁䵳䅁楁䅁䅁杓桂䡁䅍睢畂䍁䅁䅒求䝁䅅杢杁䕁䅍䅢桂䡁䅉睡䅁䱁乫䅁煁䅁䅁杓桂䡁䅫䅉呂䡁䅑党睂䝁䅧党畂䍁䅁兔桂䡁䅑兤穂䝁䅧兙牂</t>
  </si>
  <si>
    <t>䅁䅁儳䅷䍁䅉䅁䭂䝁䅅入杁䙁䅍䅤求䡁䅙党畂䍁䅁村求䝁䄴党あ䅁䅁䅪䅙䍁䅉䅁䭂䝁䅅入杁䙁䅍䅤ㅂ䝁䅅杣あ䍁䅁杕桂䝁䅷䅣潂䅁䅁督䅧䍁䅯䅁䭂䝁䅕兙畂䍁䄰䅕桂䡁䅕䅢杁䕁䅍睢畂䝁䄸督橂䝁䅕杢あ䝁䅕䅁䅄杅䅁杊䅁䕁䅯党浂䝁䅙党祂䡁䅍睢畂䍁䅁睖畁䍁䅁睓灂䡁䅉杙㕂䅁䅁党䅧䍁䄴䅁䭂䝁䅕杚浂䡁䅉党㕂䍁䅁兑獂䝁䅅杢杁䙁䅍睙潂䡁䅣兙畂䝁䅕睡求䅁䅁兔䄰䍁䅯䅁䭂䝁䅕杚浂䡁䅉党㕂䍁䅁䅒桂䡁䅙兡歂䍁䅁䅓療䝁䅷䅢求䡁䅫䅁䥂权䅁䅋䅁䕁䅯党浂䝁䅙杣求䡁䅫䅉䕂䝁䅕兙畂䍁䅁兔灂䝁䅷䅢求䡁䅉䅁允杄䅁杋䅁䕁䅯党浂䝁䅙杣求䡁䅫䅉䕂䝁䅕兙畂䍁䅁睕あ䝁䅕杚浂䝁䅕杢䅁䥁义䅁煁䅁䅁杓求䝁䅙杚祂䝁䅕入杁䕁䅕兙祂䝁䅷䅉䝂䝁䅕䅤あ䝁䅕杣穂䅁䅁杳䄴䍁䅙䅁䭂䝁䅕杚浂䡁䅉党㕂䍁䅁兒歂䡁䅣兙祂䝁䅑䅉卂䝁䄸党䅁䅁匴䅁睁䅁䅁杓求䝁䅙杚祂䝁䅕入杁䕁䅙杣桂䝁䄴睙灂䡁䅍䅉䥂䝁䅅杣祂䝁䄸䅢歂䅁䅁儶䅧䍁䅧䅁䭂䝁䅕杚浂䡁䅉党㕂䍁䅁兔桂䡁䅉睡杁䕁䅙兙祂䝁䅉党祂䅁䅁剭䅕䍁䅧䅁䭂䝁䅕杚浂䡁䅉党㕂䍁䅁睕橂䝁䄸䅤あ䍁䅁䅔桂䝁䄴睚求䅁䅁睏䅫䍁䅧䅁䭂䝁䅕杚浂䡁䅉党㕂䍁䅁睕橂䝁䄸䅤あ䍁䅁睕あ䝁䅕兡畂䅁䅁杲䅳䍁䅷䅁䭂䝁䅕杚浂䡁䅉党㕂䍁䅁睕橂䝁䄸䅤あ䍁䅁䅖桂䝁䅣督療䝁䅷䅚䅁佁䥳䅁流䅁䅁杓求䝁䄴杢灂䝁䅙党祂䍁䅁䅔㕂䝁䄴杢杁䙁䅕䅢ㅂ䝁䄰䅁桃杅䅁杍䅁䕁䅯党祂䝁䄸兢求䍁䅁兗㉂䝁䅕督杁䙁䅍杌杁䕁䅧杌杁䕁䅧兙獂䝁䅣兙畂䅁䅁睎䅷䉁䅧䅁䭂䝁䅕杣穂䝁䅕入杁䕁䅍兡あ䡁䅫䅁穁䅄䅁杊䅁䕁䅯睢䉂䝁䄴杢杁䕁䄰兙祂䝁䅫党杁䕁䄰兙祂䡁䅑兡畂䅁䅁䅸䅧䑁䅁䅁䭂䝁䄸䅡畂䍁䅁兑桂䡁䅉睢畂䍁䅁䅔灂䝁䄴䅚硂䡁䅕兡穂䡁䅑䅉䩂䕁䅫䅁坁睄䅁杈䅁䕁䅯睢潂䝁䄴䅉䉂䝁䄰兢求䝁䄴䅚療䝁䅷兙䅁䅁偧䅁祁䅁䅁杓療䝁䅧杢杁䕁䅍兙祂䡁䅉睢獂䝁䅷䅉卂䝁䅅兢穂䝁䅕入杁䕁䅧党獂䝁䅕䅁婂杂䅁杌䅁䕁䅯睢潂䝁䄴䅉䑂䝁䅧兙祂䝁䅷党穂䍁䅁村祂䡁䅕党橂䝁䅳杢求䡁䅉䅁㍃杅䅁杊䅁䕁䅯睢潂䝁䄴䅉䑂䝁䄸杢祂䝁䅅䅚杁䕁䄰睢獂䝁䅫杢桂䅁䅁硈䅅䍁䅙䅁䭂䝁䄸䅡畂䍁䅁䅒桂䡁䅙兡歂䍁䅁杒求䝁䅕杣灂䝁䅍睡䅁䍁佣䅁歁䅁䅁杓療䝁䅧杢杁䕁䅑兙㉂䝁䅫䅚杁䕁䅷兙祂䡁䅍睢畂䅁䅁䉗䅅䉁䄴䅁䭂䝁䄸䅡畂䍁䅁䅒求䝁䅅杢杁䕁䅉兤橂䝁䅳䅁煄䅅䅁杉䅁䕁䅯睢潂䝁䄴䅉䕂䝁䅫䅥療䝁䄴䅉䭂䝁䄸䅡畂䡁䅍䅁畁元䅁杋䅁䕁䅯睢潂䝁䄴䅉䕂䝁䄸兤湂䝁䅷兙穂䍁䅁杒療䡁䅉督㕂䡁䅑䅡䅁偁呷䅁煁䅁䅁杓療䝁䅧杢杁䕁䅕䅚㍂䝁䅅杣歂䍁䅁村祂䝁䅅杙桂䡁䅯睢畂䅁䅁割䅉䍁䅧䅁䭂䝁䄸䅡畂䍁䅁兒歂䡁䅣兙祂䝁䅑䅉䡂䝁䅅䅢獂䝁䅫杢桂䅁䅁眰䅧䍁䅷䅁䭂䝁䄸䅡畂䍁䅁兒歂䡁䅣兙祂䝁䅑䅉呂䝁䅍䅡獂䝁䅫杚穂䝁䅳党䅁䉁䥫䅁煁䅁䅁杓療䝁䅧杢杁䕁䅕䅢獂䝁䅫督杁䕁䅷兡畂䝁䅑兣ㅂ䝁䅫督あ䅁䅁兆䄸䍁䅁䅁䭂䝁䄸䅡畂䍁䅁兒祂䝁䅫睙杁䙁䅍兢灂䡁䅑䅡䅁乁䭧䅁奁䅁䅁杓療䝁䅧杢杁䕁䅙杌杁䙁䅉党㑂䅁䅁睅䅳䍁䅑䅁䭂䝁䄸䅡畂䍁䅁杒灂䝁䄴杢杁䕁䅉兙祂䡁䅉党あ䡁䅑䅁䍂睃䅁杊䅁䕁䅯睢潂䝁䄴䅉䝂䡁䅉兙畂䝁䅍兡穂䍁䅁村療䡁䅫䅢求䅁䅁来䅷䍁䅯䅁䭂䝁䄸䅡畂䍁䅁杒祂䝁䅅杢橂䝁䅫督杁䕁䅑睢畂䝁䄸䅡ㅂ䝁䅕䅁畁䅄䅁䅋䅁䕁䅯睢潂䝁䄴䅉䝂䡁䅉兙畂䝁䅍兡穂䍁䅁睒灂䝁䅉䅢灂䝁䄴䅁㡄䅄䅁杋䅁䕁䅯睢潂䝁䄴䅉䝂䡁䅉兙畂䝁䅍兡穂䍁䅁兔橂䕁䅣兙祂䡁䅉入䅁䍁䱍䅁歁䅁䅁杓療䝁䅧杢杁䕁䅣杣求䝁䅣睢祂䡁䅫䅉佂䝁䅕督穂䅁䅁睃䅯䍁䅁䅁䭂䝁䄸䅡畂䍁䅁䅓畁䍁䅁䅒桂䡁䅍杙ㅂ䡁䅉睚䅁偁䭫䅁流䅁䅁杓療䝁䅧杢杁䕁䅧兙祂䡁䅙党㕂䍁䅁杕潂䝁䄸䅚求䡁䅍䅁㉃充䅁䅉䅁䕁䅯睢潂䝁䄴䅉䥂䝁䅕杢祂䡁䅫䅉乂䝁䅫来求䅁䅁䉐䅍䍁䅯䅁䭂䝁䄸䅡畂䍁䅁杓療䡁䅍党睂䝁䅧䅉䕂䡁䅕杢畂䍁䅁杓祂䍁䄴䅁睃䅃䅁杊䅁䕁䅯睢潂䝁䄴䅉䭂䝁䄸督求䡁䅁䅡杁䕁䅙睢㍂䝁䅷党祂䅁䅁䅯䅫䍁䅷䅁䭂䝁䄸䅡畂䍁䅁杓療䡁䅍党睂䝁䅧䅉乂䝁䅅杣橂䝁䅧兡療䝁䄴兡䅁乁匴䅁祁䅁䅁杓療䝁䅧杢杁䕁䅷兙畂䝁䅣䅤療䝁䄴䅉呂䝁䅕杢畂䝁䄸䅤あ䍁䅁杓祂䍁䄴䅁歂䅃䅁䅌䅁䕁䅯睢潂䝁䄴䅉乂䝁䅫睙潂䝁䅅党獂䍁䅁兔桂䡁䅑睢㉂䝁䅫杢桂䅁䅁睪䅧䍁䅙䅁䭂䝁䄸䅡畂䍁䅁䅕桂䡁䅑杣灂䝁䅍睡杁䙁䅣党獂䝁䅍䅡䅁䍁唸䅁睁䅁䅁杓療䝁䅧杢杁䙁䅁兙ㅂ䝁䅷䅉乂䝁䅍睑桂䝁䅙杚祂䝁䅕入杁䕁䅯杣畁䅁䅁䄵䄰䍁䅯䅁䭂䝁䄸䅡畂䍁䅁䅕求䡁䅑党祂䍁䅁睕桂䡁䅕党祂䝁䅷兙畂䝁䅑䅁祂权䅁杊䅁䕁䅯睢潂䝁䄴䅉卂䝁䅫睙潂䝁䅅杣歂䍁䅁睒祂䝁䅕党歂䅁䅁䉒䅅䑁䅙䅁䭂䝁䄸䅡畂䍁䅁杕療䝁䅉党祂䡁䅑䅉呂䡁䅑杣桂䝁䄴睚浂䝁䅕䅢歂䍁䅁杓祂䍁䄴䅁流䅃䅁䅋䅁䕁䅯睢潂䝁䄴䅉呂䡁䅑党㍂䝁䅅杣あ䍁䅁村求䝁䄴督療䝁䄴䅁扄杄䅁杋䅁䕁䅯睢潂䝁䄴䅉啂䝁䅧睢瑂䝁䅅督杁䕁䅙䅢求䡁䅕杣桂䝁䄴䅤䅁䅁䤰䅁坁䅁䅁杓療䝁䅧杢杁䙁䅑兡湂䝁䅧党䅁䕁䴰䅁流䅁䅁杓療䝁䅧杢杁䙁䅙兡畂䝁䅍党畂䡁䅑䅉卂䝁䅕睚桂䝁䄴䅁婄权䅁䅈䅁䕁䅯睢潂䝁䄴䅉婂䝁䄸杢湂䍁䅁睓灂䝁䄰䅁佁䅃䅁杅䅁䕁䅯睢潂䝁䄴督あ䝁䄸杢䅁䡁䩁䅁流䅁䅁杓療䝁䄴䅉䑂䝁䅧兙祂䝁䅷党穂䍁䅁杒桂䡁䅉杢求䡁䅫䅁ぁ䅃䅁䅌䅁䕁䅯睢畂䝁䅅䅤潂䝁䅅杢杁䕁䅉党祂䡁䅑䅉呂䡁䅁兙祂䡁䅉睢㍂䅁䅁䉓䅁䑁䅁䅁䭂䝁䄸杢桂䡁䅑䅡桂䝁䄴䅉䙂䝁䅑睤桂䡁䅉䅚杁䕁䄰兡橂䝁䅧兙求䝁䅷䅁㡂杅䅁杊䅁䕁䅯睢穂䝁䅕䅉呂䡁䅕兙祂䝁䅕来杁䙁䅍兤硂䡁䅕党あ䅁䅁剷䅅䍁䅙䅁䭂䝁䄸督求䡁䅁䅡杁䕁䅅䅢桂䝁䄴䅉乂䝁䅅杣あ䝁䅫杢䅁䅁充䅁祁䅁䅁杓療䡁䅍党睂䝁䅧䅉䑂䝁䅧杣灂䡁䅍䅤灂䝁䅅杢杁䕁䅳睢潂䝁䄰兙畂䝁䄴䅁剁䅆䅁䅋䅁䕁䅯睢穂䝁䅕䅣潂䍁䅁兒畁䍁䅁睑療䝁䄴督療䝁䅷兡畂䝁䄸䅁权䅃䅁杋䅁䕁䅯睢穂䝁䅕䅣潂䍁䅁杒畁䍁䅁䅒療䡁䅉杙桂䝁䅑䅉䭂䡁䅉杌䅁䕁呧䅁㑁䅁䅁杓療䡁䅍党睂䝁䅧䅉䭂䝁䅅兢求䡁䅍䅉卂䝁䅫睙潂䝁䅅杣歂䡁䅍睢畂䍁䅁杓祂䍁䄴䅁䉃䅄䅁䅌䅁䕁䅯睢穂䝁䅕䅣潂䍁䅁杓療䝁䅧杢杁䕁䅉党畂䝁䅕䅚ㅂ䝁䅍睙灂䅁䅁桎䅉䑁䅁䅁䭂䝁䄸督求䡁䅁䅡杁䕁䅷兙㍂䡁䅉党畂䝁䅍党杁䕁䅙兙祂䡁䅉党獂䝁䅷䅁睁充䅁杊䅁䕁䅯睢穂䝁䅕䅣潂䍁䅁䅔求䡁䅍䅤求䡁䅉䅉兂䡁䅉兙㕂䅁䅁剮䅍䍁䅧䅁䭂䝁䄸督求䡁䅁䅡杁䕁䄰兙祂䝁䅫睢杁䕁䄰睢獂䝁䅫杢桂䅁䅁案䅅䑁䅉䅁䭂䝁䄸督求䡁䅁䅡杁䕁䄰兡橂䝁䅧兙求䝁䅷䅉慂䡁䅕杙祂䝁䅕䅤穂䝁䅳入䅁䕁偷䅁ぁ䅁䅁杓療䡁䅍党睂䝁䅧䅉兂䝁䅅䅤祂䝁䅫睙牂䍁䅁䅔桂䝁䅍䅡求䡁䅉䅉䭂䡁䅉杌䅁䑁兯䅁歁䅁䅁杓療䡁䅍党睂䝁䅧䅉卂䍁䄴䅉呂䡁䅣党歂䝁䅫督潂䅁䅁朰䅧䑁䅁䅁䭂䝁䄸督求䡁䅁䅡杁䙁䅍党桂䝁䅷入杁䙁䅣兡獂䡁䅍睢畂䍁䅁杓祂䍁䄴䅁剃䅅䅁䅍䅁䕁䅯睢穂䝁䅕䅣潂䍁䅁睖桂䡁䅉杢求䡁䅉䅉䍂䡁䅉睢㍂䝁䄴䅉䭂䡁䅉杌䅁䵁儴䅁獁䅁䅁杓ㅂ䝁䅷兡桂䝁䄴杢求䍁䅁兔桂䡁䅉兡求䍁䅁睕療䡁䅉兡橂䝁䅕䅁浂䅅䅁杅䅁䕁䅳兒婂䕁䅕杕卂䕁䄸杕䅁䅁䅳䅁䝁䅁䅁睓呂䅁䅁杧䅫䅁䅙䅁䱂䙁䅫䅁䡄睄䅁䅘䅁䕁䅳兗杁䕁䅙兙祂䝁䄰䅉䍂䡁䅕杣求䝁䅅兤杁䕁䄰兤あ䡁䅕兙獂䍁䅁兓畂䡁䅍䅉䑂䝁䄸杌杁䍁䅧睕佂䕁䅷䅉兂䍁䅙睑杁䕁䅣杣療䡁䅕䅣灁䅁䅁桑䅁䝁䅉䅁䱂䝁䅅兡穂䝁䅕杣杁䕁䅙杢歂䡁䅑杢杁䕁䅧党桂䝁䅷䅤潂䍁䅁䅕獂䝁䅅杢杁䕁䅫杢橂䍁䄴䅉潁䙁䅍杔䵂䍁䅁䅓求䝁䅅䅢あ䝁䅧䅉䡂䡁䅉睢ㅂ䡁䅁克䅁䍁充䅁畂䅁䅁睓桂䝁䅫督求䡁䅉䅉䝂䝁䄸兤畂䝁䅑兙あ䝁䅫睢畂䍁䅁䅓求䝁䅅䅢あ䝁䅧䅉兂䝁䅷兙畂䍁䅷䅉䩂䝁䄴睙畁䍁䅁䅋呂䕁䄴䅔杁䕁䅧党桂䝁䅷䅤潂䍁䅁睒祂䝁䄸兤睂䍁䅫䅁楁䅅䅁䅇䅁䕁䅳兙畂䡁䅍兙穂䍁䅁睑灂䡁䅑入䅁佁䱕䅁杂䅁䅁睓桂䝁䄴督桂䡁䅍䅉䑂䝁䅫䅤㕂䍁䅁䅔灂䝁䅙党杁䕁䅫杢穂䡁䅕杣桂䝁䄴睙求䍁䅁睑療䍁䄴䅉潁䙁䅍杔䵂䍁䅁䅔灂䝁䅙党杁䕁䅣杣療䡁䅕䅣灁䅁䅁䉌䅁䝁䅧䅁䱂䝁䅅杢穂䝁䅅督杁䕁䅍兡あ䡁䅫䅉䵂䝁䅫杚求䍁䅁兓畂䡁䅍兤祂䝁䅅杢橂䝁䅕䅉䑂䝁䄸兢睂䝁䅅杢㕂䍁䅁䅋呂䕁䄴䅔杁䕁䅷兡浂䝁䅕䅉䡂䡁䅉睢ㅂ䡁䅁克䅁䍁关䅁㉁䅁䅁睓桂䝁䄴督桂䡁䅍䅉䑂䝁䅫䅤㕂䍁䅷䅉乂䕁䄸兌䱂䙁䅍䅉潁䕁䄰党あ䡁䅉睢灁䅁䅁睦䅫䑁䅙䅁䱂䝁䅅杣求䝁䄴䅉䉂䝁䄴杢杁䕁䅣兡獂䝁䄰党祂䍁䄰䅕桂䡁䅕睙灂䝁䅕䅢獂䝁䄸䅁歄权䅁䅋䅁䕁䅳兙祂䝁䅕杢杁䕁䄰兙祂䝁䅫党杁䕁䅅杙祂䝁䅅䅡桂䝁䄰䅁潄䅄䅁䅋䅁䕁䅳兙祂䝁䅕杢杁䕁䄰兙祂䝁䅫党杁䕁䅫睚畂䝁䅅睚畂䝁䅫䅁汁杄䅁䅉䅁䕁䅳兙祂䝁䅕杢杁䙁䅍兤求䍁䅁䅔㕂䝁䄴睙潂䅁䅁睒䅧䍁䅧䅁䱂䝁䅅杣獂䍁䅁䅒療䡁䅕睚獂䝁䅅督杁䕁䅉杣灂䝁䅣睚穂䅁䅁䉗䅉䍁䅯䅁䱂䝁䅅杣獂䍁䅁睖灂䝁䅷䅢灂䝁䅅兢杁䕁䄰兤求䝁䅷䅢求䡁䅉䅁牃充䅁杊䅁䕁䅳兙あ䝁䅧党祂䝁䅫杢求䍁䅁䅔畁䍁䅁睓祂䝁䅅杢㙂䅁䅁核䅅䍁䅷䅁䱂䝁䅅䅤潂䡁䅉入畂䍁䅁䅔求䝁䅕䅉䵂䝁䅅杢橂䝁䅅督あ䝁䅕杣䅁䍁八䅁睁䅁䅁睓桂䡁䅑䅡祂䡁䅫杢杁䙁䅁党獂䝁䅣杣灂䝁䅙䅤杁䙁䅑兙㕂䝁䅷睢祂䅁䅁睋䄰䍁䅯䅁䱂䝁䅅䅤灂䝁䅕䅉乂䝁䅍睑療䡁䅉䅚杁䕁䅯党畂䝁䅳兡畂䡁䅍䅁癄睄䅁䅌䅁䕁䅳兙㕂䍁䅁兒獂䝁䅫来桂䝁䅉党あ䝁䅧䅉偂䡁䅍杙療䡁䅕杣畂䅁䅁睯䄰䍁䅙䅁䱂䝁䅕兡あ䝁䅧䅉䭂䝁䄸督求䡁䅁䅡杁䙁䅣睢獂䝁䅙党䅁乁䭯䅁煁䅁䅁睓求䝁䅫䅤潂䍁䅁兔灂䝁䅍䅡桂䝁䅕䅢杁䕁䅣兤楂䝁䅉兙㕂䅁䅁剣䅁䍁䄴䅁䱂䝁䅕兡あ䝁䅧䅉乂䝁䅫睙潂䝁䅅党獂䍁䅁睔湁䙁䅉党灂䝁䅷䅢㕂䅁䅁术䄴䉁䄴䅁䱂䝁䅕䅢獂䡁䅫䅉䵂䝁䅕党杁䕁䅣杣療䝁䅧䅁呃元䅁䅐䅁䕁䅳党瑂䡁䅁党祂䍁䅁睑療䡁䅉䅣畁䍁䅁䅋呂䕁䄴䅔杁䕁䅷兡浂䝁䅕䅉䡂䡁䅉睢ㅂ䡁䅁克䅁䑁兑䅁㙁䅁䅁睓求䝁䄰䅣求䡁䅉䅉䑂䝁䄸杣睂䍁䄴䅉潁䙁䅍杔䵂䍁䅁䅕流䕁䅍䅉䡂䡁䅉睢ㅂ䡁䅁克䅁䑁儸䅁䥂䅁䅁睓求䝁䄰䅣求䡁䅉䅉䑂䝁䄸杣睂䝁䄸杣桂䡁䅑兡療䝁䄴䅉潁䙁䅍杔䵂䍁䅁䅔灂䝁䅙党杁䕁䅣杣療䡁䅕䅣灁䅁䅁剎䅁䕁䅙䅁䱂䝁䅕兢睂䝁䅕杣杁䕁䅍睢祂䡁䅁睢祂䝁䅅䅤灂䝁䄸杢杁䍁䅧睕佂䕁䅷䅉兂䍁䅙睑杁䕁䅣杣療䡁䅕䅣灁䅁䅁䉑䅁䍁䅯䅁䱂䝁䅕杢畂䝁䅕䅤潂䍁䅁兑獂䝁䅅杢杁䕁䅉兤祂䝁䅑兡橂䝁䅳䅁祄睅䅁杊䅁䕁䅳党畂䝁䄴党あ䝁䅧䅉䕂䝁䅅杤灂䝁䅑䅉䱂䝁䅫杣牂䅁䅁典䄰䉁䅯䅁䱂䝁䅕杢畂䝁䅕䅤潂䍁䅁睓灂䝁䄴睚䅁䝁䰴䅁睁䅁䅁睓求䝁䄴杢求䡁䅑䅡杁䙁䅣兡獂䝁䅷兡桂䝁䄰䅉呂䡁䅑党橂䝁䅧党祂䅁䅁杫䄰䍁䅷䅁䱂䝁䅕杢あ䍁䅁睕あ䝁䅕杤求䝁䄴䅉乂䝁䅅杣硂䡁䅕兙祂䝁䅑䅤䅁䅁匸䅁歁䅁䅁睓求䝁䄴䅤杁䙁䅣兡獂䝁䅷兡桂䝁䄰䅉䵂䝁䅅兢楂䅁䅁剳䅁䡁䅷䅁䱂䝁䅕杢あ䡁䅕睙牂䡁䅫䅉䝂䝁䅅杣瑂䍁䅁村ㅂ䡁䅉党桂䡁䅕䅉乂䡁䅕䅤ㅂ䝁䅅䅢杁䕁䅫杢穂䡁䅕杣桂䝁䄴睙求䍁䅁睑療䝁䄰䅣桂䝁䄴入杁䍁䅧睕佂䕁䅷䅉兂䍁䅙睑杁䕁䅣杣療䡁䅕䅣灁䅁䅁硑䅁䍁䄴䅁䱂䝁䅕杣祂䝁䅫䅉乂䝁䅫睙潂䝁䅕䅢獂䝁䅕䅉乂䝁䄸䅢療䝁䄴党㕂䅁䅁兙䄰䍁䅙䅁䱂䝁䅕杣祂䡁䅫䅉䙂䡁䅙兙畂䍁䅁村桂䡁䅉杢求䡁䅑䅤䅁䩁匸䅁流䅁䅁睓求䡁䅙兡畂䍁䅁兑獂䝁䅅杢杁䙁䅍䅤求䝁䅫杢求䡁䅉䅁䡁䅆䅁䅊䅁䕁䅳党㉂䝁䅫杢杁䕁䅣党畂䝁䅕䅉卂䝁䄸睚求䡁䅉督䅁䩁何䅁潁䅁䅁睓求䡁䅙兡畂䍁䅁兔灂䝁䅍䅡桂䝁䅕䅢杁䙁䅁杣灂䝁䄸杣䅁佁偅䅁杁䅁䅁睓求䡁䅙兡畂䍁䅁睕畁䍁䅁兓畂䝁䅣杣桂䝁䄰䅁㕂元䅁杋䅁䕁䅳兡あ䡁䅑入杁䕁䅳党畂䝁䄴党歂䡁䅫䅉佂䝁䅕䅢穂䝁䄸杢䅁䝁前䅁潁䅁䅁睓祂䝁䅫督穂䍁䅁睑獂䝁䄸杢灂䝁䄴睚求䡁䅉䅉䩂䕁䅫兓䅁䙁䥧䅁流䅁䅁睓祂䝁䅫督あ䝁䅫杢杁䙁䅣党獂䝁䅍䅡杁䙁䅣兙獂䝁䅷䅁䝃䅅䅁䅈䅁䕁䅳兤祂䝁䅅睢杁䕁䄸杢療䡁䅕睙潂䝁䅫䅁癁充䅁杊䅁䕁䅳兤祂䡁䅑䅉䝂䡁䅉兙畂䝁䅳䅢灂䝁䄴䅉䍂䝁䄸睙牂䅁䅁䅺䄰䍁䅑䅁䱂䡁䅕杣あ䍁䅁杓畁䍁䅁䅓灂䝁䅷来灂䝁䄴睚求䡁䅉䅁䵄睄䅁䅌䅁䕁䅷杌杁䙁䅑兙祂䝁䅷䅤療䝁䄴䅉啂䝁䅧睢瑂䝁䅅督杁䕁䅫兓䩂䅁䅁兑䄰䅁䅙䅁䵂䕁䅅䅁硄睃䅁杏䅁䕁䅷䅖杁䕁䅍睢瑂䍁䅁兔祂䡁䅑睚瑁䕁䅫杢穂䍁䄸睒ㅂ䝁䅅杣畂䍁䅁杒療䡁䅉睙獂䡁䅍䅁㡂䅁䅁村䅁䕁䅷䅖杁䕁䅍睢瑂䍁䅁兔祂䡁䅑睚瑁䕁䅫杢穂䍁䄸睒ㅂ䝁䅅杣畂䍁䅁睒療䝁䄸䅚杁䙁䅍䅤畂䝁䅑睚䅁䑁䉕䅁䍂䅁䅁䅔啂䍁䅁睑療䝁䄰䅉乂䡁䅉䅤湂䍁䄰兓畂䡁䅍睌䡂䡁䅕兙祂䝁䄴䅉偂䡁䅙党祂䝁䅑兤求䍁䅁兏睁䅁䅁兖䅅䑁䅷䅁䵂䙁䅑䅉䑂䝁䄸兢杁䕁䄰杣あ䝁䅣兌䩂䝁䄴督癁䕁䅣兤桂䡁䅉杢杁䙁䅉党穂䡁䅑杣ㅂ䝁䅍䅁㥁允䅁杌䅁䕁䅷䅖杁䕁䅍睢瑂䍁䅁兔祂䡁䅑睚瑁䕁䄸䅤潂䍁䅁杒療䡁䅉睙獂䡁䅍䅁䝃䅁䅁李䅁䕁䅷䅖杁䕁䅍睢瑂䍁䅁兔祂䡁䅑睚瑁䕁䄸䅤潂䍁䅁睒療䝁䄸䅚杁䙁䅍䅤畂䝁䅑睚䅁䉁䉙䅁㉁䅁䅁䅔啂䍁䅁睑療䝁䄰䅉乂䡁䅉䅤湂䍁䄰睔あ䝁䅧䅉偂䡁䅙党祂䝁䅑兤求䍁䅁兏睁䅁䅁睓䅅䑁䅁䅁䵂䙁䅑䅉䑂䝁䄸兢杁䕁䄰杣あ䝁䅣兌偂䡁䅑䅡杁䙁䅉党穂䡁䅑杣ㅂ䝁䅍䅁䉂允䅁李䅁䕁䅷䅖杁䕁䅙兙祂䝁䄰䅉乂䡁䅉䅤湂䍁䅁睒療䝁䄸䅚杁䙁䅍䅤桂䝁䄴䅚灂䝁䄴睚䅁䑁䉍䅁潁䅁䅁䅔啂䍁䅁杒桂䡁䅉兢杁䕁䄰杣あ䝁䅣兌䝂䝁䄸杣橂䝁䅷督䅁䡁䄴䅁睁䅁䅁䅔啂䍁䅁杒桂䡁䅉兢杁䕁䄰杣あ䝁䅣兌偂䡁䅙党祂䝁䅑兤求䍁䅁兏睁䅁䅁睕䅅䍁䅯䅁䵂䙁䅑䅉䝂䝁䅅杣瑂䍁䅁兔祂䡁䅑睚瑁䙁䅉党穂䡁䅑杣ㅂ䝁䅍䅁㝁允䅁䅊䅁䕁䅷䅖杁䕁䅫督穂䡁䅕党祂䍁䅁杕桂䡁䅑兡畂䝁䅣䅉䅁䕁䝳䅁䝂䅁䅁䅔啂䍁䅁兓穂䡁䅍兤求䡁䅉䅉卂䝁䅅䅤灂䝁䄴睚杁䕁䅑兙あ䝁䅕䅉潁䝁䄰兢癁䝁䅑䅚癁䡁䅫入㕂䡁䅫克䅁䕁䝷䅁㑁䅁䅁䅔啂䍁䅁兓穂䡁䅍兤求䡁䅉䅉卂䝁䅅䅤灂䝁䄴睚杁䕁䅑兡祂䝁䅕睙あ䝁䅫睢畂䍁䅁䅁䡂杂䅁䅍䅁䕁䅷䅖杁䕁䅫督穂䡁䅕党祂䍁䅁杕桂䡁䅑兡畂䝁䅣䅉塂䝁䅅䅤橂䝁䅧䅉䅁䑁䝷䅁流䅁䅁䅔啂䍁䅁兔求䡁䅯䅉䵂䝁䄸兙畂䍁䄰杒療䡁䅉睙獂䡁䅍䅁䍃䅁䅁杌䅁䕁䅷䅖杁䕁䄰党㙂䍁䅁䅔療䝁䅅杢瑁䕁䅣睢療䝁䅑䅉呂䡁䅑杢歂䝁䅣䅁硁允䅁杌䅁䕁䅷䅖杁䕁䄰党㙂䍁䅁䅔療䝁䅅杢瑁䕁䄸杤求䡁䅉䅚ㅂ䝁䅕䅉㕁䑁䅁䅁剂允䅁䅋䅁䕁䅷䅖杁䕁䄰党㙂䍁䅁䅔療䝁䅅杢瑁䙁䅉党穂䡁䅑杣ㅂ䝁䅍䅁䡂允䅁杍䅁䕁䅷䅖杁䕁䄰睢祂䡁䅑睚桂䝁䅣党穂䍁䄰杒療䡁䅉党橂䝁䅷睢穂䡁䅕杣求䅁䅁杩䅁䑁䅙䅁䵂䙁䅑䅉乂䝁䄸杣あ䝁䅣兙湂䝁䅕督瑁䕁䅣睢療䝁䅑䅉呂䡁䅑兙畂䝁䅑兡畂䝁䅣䅁㕁允䅁䅍䅁䕁䅷䅖杁䕁䄰睢祂䡁䅑睚桂䝁䅣党穂䍁䄰睔㉂䝁䅕杣歂䡁䅕党杁䑁䅫䅍䅁䕁䈰䅁ぁ䅁䅁䅔啂䍁䅁兔療䡁䅉䅤湂䝁䅅睚求䡁䅍兌卂䝁䅕督あ䡁䅉兤橂䡁䅑兤祂䝁䅕䅚䅁䕁䉍䅁捁䅁䅁䅔啂䍁䅁兔祂䡁䅑睚杁䕁䅷睢桂䝁䄴督䅁䥁䄴䅁䅃䅁䅁䅔啂䍁䅁兔祂䡁䅑睚瑁䕁䅙睢祂䝁䅕睙獂䝁䄸督ㅂ䡁䅉党㙁䍁䅁兓畂䡁䅙䅉坂䝁䅅䅢ㅂ䝁䅕䅉求䡁䅧睙杁䕁䅅睙橂䍁䅁兓畂䡁䅑睌杁䙁䅑睢あ䝁䅅䅢杁䕁䄰睢祂䡁䅑睚桂䝁䅣党穂䍁䅁䅋汁䍁䅫䅁㑂睂䅁䅥䅁䕁䅷䅖杁䕁䄰杣あ䝁䅣兌䝂䝁䄸杣求䝁䅍䅢療䡁䅍兤祂䝁䅕杏杁䕁䅫杢㉂䝁䅕督あ䝁䄰党畂䡁䅑䅉坂䝁䅅䅢ㅂ䝁䅕䅉求䡁䅧睙獂䍁䅁兑橂䝁䅍䅉䩂䝁䄴䅤癁䍁䅁睑流䙁䅍䅉潁䍁䅕克䅁䙁䡫䅁䕃䅁䅁䅔啂䍁䅁兔祂䡁䅑睚瑁䕁䅣睢療䝁䅑䅉呂䡁䅑兙畂䝁䅑兡畂䝁䅣杏杁䕁䅫杢㉂䍁䅁杖桂䝁䅷兤求䍁䅁党㑂䝁䅍䅉䉂䝁䅍睙杁䕁䅫杢あ䍁䄸䅉啂䝁䄸䅤桂䝁䅷䅉乂䝁䄸杣あ䝁䅣兙湂䝁䅕督杁䍁䅧兊灁䅁䅁入䅣䑁䅯䅁䵂䙁䅑䅉卂䝁䅕督杁䕁䄰杣あ䝁䅣兌䩂䝁䄴督癁䕁䅣兤桂䡁䅉杢杁䕁䅙睢祂䝁䅍䅢穂䅁䅁兤䅁䕁䅉䅁䵂䙁䅑䅉卂䝁䅕督杁䕁䄰杣あ䝁䅣兌䩂䝁䄴督癁䕁䅣兤桂䡁䅉杢杁䕁䅣睢療䝁䅑䅉呂䡁䅑杢歂䝁䅣䅁㍁允䅁村䅁䕁䅷䅖杁䙁䅉党穂䍁䅁兔祂䡁䅑睚瑁䕁䅫杢穂䍁䄸睒ㅂ䝁䅅杣畂䍁䅁睔㉂䝁䅕杣歂䡁䅕党杁䑁䅫䅍䅁䕁䉫䅁㡁䅁䅁䅔啂䍁䅁杕求䡁䅍䅉乂䡁䅉䅤湂䍁䄰兓畂䡁䅍睌䡂䡁䅕兙祂䝁䄴䅉卂䝁䅕督あ䡁䅉兤橂䅁䅁睉䅅䍁䄴䅁䵂䙁䅑䅉卂䝁䅕督杁䕁䄰杣あ䝁䅣兌偂䡁䅑䅡杁䕁䅙睢祂䝁䅍䅢穂䅁䅁来䅁䑁䅙䅁䵂䙁䅑䅉卂䝁䅕督杁䕁䄰杣あ䝁䅣兌偂䡁䅑䅡杁䕁䅣睢療䝁䅑䅉呂䡁䅑杢歂䝁䅣䅁癁允䅁李䅁䕁䅷䅖杁䙁䅉党穂䍁䅁兔祂䡁䅑睚瑁䕁䄸䅤潂䍁䅁睔㉂䝁䅕杣歂䡁䅕党杁䑁䅫䅍䅁䕁䈸䅁睁䅁䅁䅔啂䍁䅁杕求䡁䅍䅉乂䡁䅉䅤湂䍁䄰睔あ䝁䅧䅉卂䝁䅕督あ䡁䅉兤橂䅁䅁兒䅅䍁䄴䅁䵂䙁䅑䅉噂䝁䄴睙獂䝁䅅督穂䍁䅁兔祂䡁䅑睚瑁䕁䅙睢祂䝁䅍䅢穂䅁䅁䅧䅁䑁䅙䅁䵂䙁䅑䅉噂䝁䄴睙獂䝁䅅督穂䍁䅁兔祂䡁䅑睚瑁䕁䅣睢療䝁䅑䅉呂䡁䅑杢歂䝁䅣䅁睄䅁䅁李䅁䕁䅷䅖杁䙁䅕杢橂䝁䅷兙穂䡁䅍䅉乂䡁䅉䅤湂䍁䄰睔㉂䝁䅕杣歂䡁䅕党杁䑁䅫䅍䅁䙁䉣䅁㙁䅁䅁䅔啂䍁䅁兖畂䝁䅍䅢桂䡁䅍督杁䕁䄰杣あ䝁䅣兌卂䝁䅕督あ䡁䅉兤橂䡁䅑兤祂䝁䅕䅚䅁䑁䈸䅁奁䅁䅁䅔桂䝁䅳党杁䕁䅙睢祂䝁䅕督あ䅁䅁桭䅍䍁䅷䅁䵂䝁䅅杢橂䝁䅅督あ䝁䅕杣獁䍁䅁䅕䉂䍁䅁䅋乂䝁䅕䅤祂䝁䄸克䅁䅁估䅁允䅁䅁䅔桂䝁䄴督灂䝁䄴睚䅁佁䥕䅁䍂䅁䅁䅔桂䝁䄴督灂䝁䄴睚瑁䕁䅕兙穂䡁䅑䅉䵂䝁䅅杢穂䝁䅫杢湂䍁䅷䅉乂䕁䅫䅉潁䕁䄰党あ䡁䅉睢灁䅁䅁眵䅧䑁䅁䅁䵂䝁䅅杣湂䝁䅕䅉卂䝁䅕兡畂䡁䅍兤祂䝁䅅杢橂䝁䅕䅉䝂䝁䄸睙ㅂ䡁䅍䅁摂䅃䅁杋䅁䕁䅷兙祂䡁䅉入杁䕁䅉党祂䝁䄴兙祂䝁䅑䅉塂䝁䄸睢あ䝁䅕杢䅁䡁剕䅁⭁䅁䅁䅔桂䡁䅑党穂䡁䅑䅉䩂䝁䄴杤求䡁䅍䅤瑂䝁䅕杢あ䍁䅁䅋瑂䝁䄰睌歂䝁䅑睌㕂䡁䅫入㕂䍁䅫䅁权睂䅁杊䅁䕁䅷兙ㅂ䡁䅉兙杁䕁䄰兙潂䝁䅅杢杁䕁䅉兡穂䝁䅧睢睂䅁䅁䅂䅳䑁䅙䅁䵂䝁䅅睤祂䝁䅕杢橂䝁䅕䅉䙂䝁䅑兢療䝁䄴䅚杁䕁䄰睙䉂䝁䅷党求䍁䅁杓祂䍁䄴䅁桂杄䅁杍䅁䕁䅷兙㍂䡁䅉党畂䝁䅍党杁䕁䅕䅚瑂䡁䅕杢歂䍁䅁䅒桂䡁䅕杣求䝁䅷䅢求䅁䅁䉬䅍䑁䅉䅁䵂䝁䅅睤祂䝁䅕杢橂䝁䅕䅉䙂䝁䅑睤桂䡁䅉䅚杁䙁䅯兙楂䝁䅫杢穂䝁䅳兡䅁䝁䴸䅁允䅁䅁䅔求䝁䅅睤療䝁䄸䅚䅁䱁卍䅁佂䅁䅁䅔求䝁䅣兙獂䍁䅁杊杁䕁䅣党畂䝁䅕杣桂䝁䅷䅉䡂䡁䅉睢ㅂ䡁䅁䅉潁䙁䅍杔䵂䍁䅁䅔灂䝁䅙党杁䕁䅣杣療䡁䅕䅣灁䅁䅁䉔䅁䙁䅙䅁䵂䝁䅕睚桂䝁䅷䅉流䍁䅁睒求䝁䄴党祂䝁䅅䅢杁䕁䅣杣療䡁䅕䅣杁䙁䅁䅢橂䍁䅁䅋呂䕁䄴䅔杁䕁䅷兡浂䝁䅕䅉䡂䡁䅉睢ㅂ䡁䅁克䅁䕁关䅁獁䅁䅁䅔求䡁䅍䅤求䡁䅉䅉䵂䝁䅅睤祂䝁䅕杢橂䝁䅕䅉䵂䡁䅫䅢求䡁䅍䅁䙁睃䅁杕䅁䕁䅷兡桂䝁䅉兡獂䝁䅫䅤灂䝁䅕督杁䝁䅅杢歂䍁䅁睑桂䡁䅁兡あ䝁䅅䅢杁䍁䅙䅉呂䡁䅕杣睂䝁䅷兤穂䍁䅁䅋歁䑁䅁䅍睁䍁䅫䅁乂睂䅁村䅁䕁䅷兡桂䝁䅉兡獂䝁䅫䅤灂䝁䅕督癁䍁䅁兓畂䡁䅙党穂䡁䅑党歂䍁䅁兑穂䡁䅍党あ䡁䅍䅉潁䍁䅕克䅁䅁䡕䅁奂䅁䅁䅔灂䝁䅉党祂䡁䅑入杁䕁䅉兙畂䝁䅳党祂䡁䅍䅉䵂䝁䅫杚求䍁䅁睒祂䝁䄸兤睂䍁䅁䅋呂䕁䄴䅔杁䕁䅷兡浂䝁䅕䅉䡂䡁䅉睢ㅂ䡁䅁克䅁䙁兑䅁敁䅁䅁䅔灂䝁䅉党祂䡁䅑入杁䕁䅍睢祂䝁䄴党祂䅁䅁䅡䄴䑁䄴䅁䵂䝁䅫杙求䡁䅉䅤㕂䍁䅁䅔灂䝁䅙党杁䕁䅅督穂䡁䅉䅉䑂䝁䄸䅉療䝁䅙䅉䍂䝁䄸督あ䝁䄸杢䅁乁䩫䅁卂䅁䅁䅔灂䝁䅉党祂䡁䅑入杁䕁䅷兡浂䝁䅕䅉䉂䡁䅍督ㅂ䡁䅉兙畂䝁䅍党杁䕁䅍睢瑂䡁䅁兙畂䡁䅫䅉療䝁䅙䅉䍂䝁䄸督あ䝁䄸杢䅁乁䩯䅁⭁䅁䅁䅔灂䝁䅉党祂䡁䅑入杁䕁䄰兤あ䡁䅕兙獂䍁䅁䅋呂䕁䄴䅔杁䙁䅁杊䑂䍁䅁睒祂䝁䄸兤睂䍁䅫䅁湄元䅁权䅁䕁䅷兡浂䝁䅕䅁扄睂䅁杋䅁䕁䅷兡浂䝁䅕䅉䩂䝁䄴督ㅂ䡁䅉兙畂䝁䅍党杁䕁䅙睢橂䡁䅕督䅁䅁倰䅁楁䅁䅁䅔灂䝁䅙党杁䕁䄰兡畂䝁䅫兢ㅂ䝁䄰䅉佂䙁䅁睖䅁乁䨰䅁流䅁䅁䅔灂䝁䅙党杁䝁䅅杢歂䍁䅁兑流䕁䅧䅉䝂䝁䄸睙ㅂ䡁䅍䅁煄权䅁杍䅁䕁䅷兡浂䝁䅕䅉桂䝁䄴䅚杁䕁䅅杢畂䡁䅕兡あ䝁䅫党穂䍁䅁杒療䝁䅍兤穂䅁䅁䄫䅣䙁䅯䅁䵂䝁䅫杚求䍁䅁党㑂䍁䅁兑畂䝁䄴兤灂䡁䅑入㙁䍁䅁䅔桂䡁䅁督求䍁䅁杊杁䙁䅍兤祂䡁䅉党畂䝁䅑党祂䍁䅁杕桂䡁䅑兡療䍁䅁䅋汁䍁䅫䅁求兆䅁杘䅁䕁䅷兡浂䝁䅕䅉求䡁䅧䅉䑂䡁䅉䅚あ䍁䅁䅔灂䝁䅙党㙁䍁䅁村求䝁䄴党浂䝁䅫䅤杁䙁䅉兙あ䝁䅫睢㙁䍁䅁䅕祂䝁䅕兢灂䡁䅕兢穂䍁䅁䅋汁䍁䅫䅁流兆䅁䅕䅁䕁䅷兡浂䝁䅕䅉求䡁䅧䅉䑂䡁䅉䅚あ䍁䅁䅔灂䝁䅙党㙁䍁䅁睑療䝁䄰兢灂䡁䅍督灂䝁䄸杢杁䙁䅉兙あ䝁䅫睢杁䍁䅧兊灁䅁䅁桕䅕䙁䄴䅁䵂䝁䅫杚求䍁䅁党㑂䍁䅁睑祂䝁䅑䅤杁䕁䅷兡浂䝁䅕杏杁䕁䅕䅥睂䝁䅕杢穂䝁䅕䅉卂䝁䅅䅤灂䝁䄸杏杁䙁䅁杣求䝁䄰兡ㅂ䝁䄰督杁䍁䅧兊灁䅁䅁䉅䅕䝁䅑䅁䵂䝁䅫杚求䍁䅁党㑂䍁䅁睑祂䝁䅑䅤杁䕁䅷兡浂䝁䅕杏杁䙁䅁杣求䝁䄰兡ㅂ䝁䄰督杁䍁䅙䅉䑂䝁䄸杢穂䝁䅫䅚穂䑁䅯䅉䍂䡁䅫䅉䵂䕁䄸村杁䍁䅧兊灁䅁䅁前䅕䱁䅉䅁䵂䝁䅫杚求䍁䅷䅉䉂䝁䄴杢杁䝁䅕䅥杁䙁䅍兤睂䡁䅁䅌杁䕁䄸䅤潂䑁䅯䅉乂䝁䅫䅚瑁䕁䅅䅤獂䝁䅅杢あ䝁䅫睙㙁䍁䅁䅒灂䡁䅉䅉兂䡁䅉党瑂䍁䅁杊杁䕁䅅杢畂䍁䅁杙㕂䍁䅁睒求䝁䄸睚祂䝁䅅䅣潂䡁䅫睌杁䙁䅑睢あ䝁䅅䅢杁䕁䅍睢瑂䡁䅁兙畂䡁䅫䅉䕂䙁䅁睖杁䍁䅧兊灁䅁䅁剉䅕䭁䅧䅁䵂䝁䅫杚求䍁䅷䅉䉂䝁䄴杢杁䝁䅕䅥杁䙁䅍兤睂䡁䅁䅌杁䕁䄸䅤潂䑁䅯䅉乂䝁䅫䅚㍂䝁䅕督あ䑁䅯䅉䕂䝁䅫杣杁䙁䅁杣求䝁䄰䅉流䍁䅁兑畂䝁䄴䅉楂䡁䅫䅉䡂䝁䅕睢湂䡁䅉兙睂䝁䅧入癁䍁䅁䅖療䡁䅑兙獂䍁䅁睑療䝁䄰䅣桂䝁䄴入杁䕁䅑䅕塂䍁䅁䅋汁䍁䅫䅁橁兆䅁䅲䅁䕁䅷兡浂䝁䅕䅌杁䕁䅅杢畂䍁䅁党㑂䍁䅁睕ㅂ䡁䅁䅣獁䍁䅁睔あ䝁䅧杏杁䕁䄴睢祂䡁䅑䅡求䝁䅅督あ䑁䅯䅉䕂䝁䅫杣杁䙁䅁杣求䝁䄰䅉流䍁䅁兑畂䝁䄴䅉楂䡁䅫䅉䡂䝁䅕睢湂䡁䅉兙睂䝁䅧入癁䍁䅁䅖療䡁䅑兙獂䍁䅁睑療䝁䄰䅣桂䝁䄴入杁䕁䅑䅕塂䍁䅁䅋汁䍁䅫䅁杁兆䅁䅲䅁䕁䅷兡浂䝁䅕䅌杁䕁䅅杢畂䍁䅁党㑂䍁䅁睕ㅂ䡁䅁䅣獁䍁䅁睔あ䝁䅧杏杁䙁䅍睢ㅂ䡁䅑䅡求䝁䅅督あ䑁䅯䅉䕂䝁䅫杣杁䙁䅁杣求䝁䄰䅉流䍁䅁兑畂䝁䄴䅉楂䡁䅫䅉䡂䝁䅕睢湂䡁䅉兙睂䝁䅧入癁䍁䅁䅖療䡁䅑兙獂䍁䅁睑療䝁䄰䅣桂䝁䄴入杁䕁䅑䅕塂䍁䅁䅋汁䍁䅫䅁楁兆䅁䅲䅁䕁䅷兡浂䝁䅕䅌杁䕁䅅杢畂䍁䅁党㑂䍁䅁睕ㅂ䡁䅁䅣獁䍁䅁睔あ䝁䅧杏杁䙁䅍睢ㅂ䡁䅑䅡㍂䝁䅕督あ䑁䅯䅉䕂䝁䅫杣杁䙁䅁杣求䝁䄰䅉流䍁䅁兑畂䝁䄴䅉楂䡁䅫䅉䡂䝁䅕睢湂䡁䅉兙睂䝁䅧入癁䍁䅁䅖療䡁䅑兙獂䍁䅁睑療䝁䄰䅣桂䝁䄴入杁䕁䅑䅕塂䍁䅁䅋汁䍁䅫䅁汁兆䅁杯䅁䕁䅷兡浂䝁䅕䅌杁䕁䅅杢畂䍁䅁党㑂䍁䅁睕ㅂ䡁䅁䅣獁䍁䅁睔あ䝁䅧杏杁䙁䅣党穂䡁䅑杏杁䕁䅑兡祂䍁䅁䅕祂䝁䅕兢杁䍁䅙䅉䉂䝁䄴杢杁䝁䅉入杁䕁䅣党療䝁䅣杣桂䡁䅁䅡㕂䍁䄸䅉啂䝁䄸䅤桂䝁䅷䅉䑂䝁䄸兢睂䝁䅅杢㕂䍁䅁䅒兂䙁䅣䅉潁䍁䅕克䅁䍁噑䅁畁䅁䅁䅔灂䝁䅙党䑂䝁䅅杣求䍁䅁兑穂䡁䅍兤祂䝁䅅杢橂䝁䅕䅉䑂䝁䄸杌䅁䙁儰䅁㉁䅁䅁䅔灂䝁䅙党䑂䝁䅅杣求䍁䅁兑穂䡁䅍兤祂䝁䅅杢橂䝁䅕䅉䑂䝁䄸兢睂䝁䅅杢㕂䅁䅁桘䅁䉁䅁䅁䵂䝁䅫杢橂䝁䄸䅢畂䅁䅁䅷䅧䑁䅉䅁䵂䝁䅫杢橂䝁䄸䅢畂䍁䅁村求䝁䄴党浂䝁䅫䅤杁䕁䅷兡浂䝁䅕䅉䑂䝁䄸杌䅁䝁內䅁㙁䅁䅁䅔灂䝁䄴睙療䝁䅷杢杁䕁䅉党畂䝁䅕杚灂䡁䅑䅉䵂䝁䅫杚求䍁䅁睑療䝁䄰䅣桂䝁䄴入䅁䝁八䅁兂䅁䅁䅔灂䝁䄴睙療䝁䅷杢杁䕁䄴兙あ䝁䅫睢畂䝁䅅䅢杁䕁䅍睢祂䡁䅁杌杁䍁䅧睕佂䕁䅷䅉䵂䝁䅫杚求䍁䅁睒祂䝁䄸兤睂䍁䅫䅁獄元䅁䅘䅁䕁䅷兡畂䝁䅍睢獂䝁䄴䅉佂䝁䅅䅤灂䝁䄸杢桂䝁䅷䅉䑂䝁䄸杣睂䝁䄸杣桂䡁䅑兡療䝁䄴䅉潁䙁䅍杔䵂䍁䅁䅔灂䝁䅙党杁䕁䅣杣療䡁䅕䅣灁䅁䅁儷䅫䍁䅧䅁䵂䝁䅫杢橂䝁䄸䅢畂䍁䅷䅉佂䕁䅕䅉潁䕁䄰党あ䡁䅉睢灁䅁䅁杷䅧䍁䅙䅁䵂䝁䅫杢歂䝁䅅䅉乂䝁䅅杣灂䝁䅕䅉䍂䡁䅉党桂䡁䅉䅚䅁䉁倸䅁㉁䅁䅁䅔灂䝁䄴党杁䑁䅅䅍畁䑁䅣䅉桂䡁䅍䅉桂䍁䅁兊杁䝁䄸杚杁䕁䅍睢獂䍁䄴䅉㑁䅁䅁睉䅁䑁䅙䅁䵂䝁䅫杢求䍁䅁免硁䍁䄴睎杁䝁䅅督杁䝁䅅䅉汁䍁䅁睢浂䍁䅁睑療䝁䅷杌杁䑁䅙䅁湁䅁䅁杍䅁䕁䅷兡畂䝁䅕䅉硁䑁䅅杌㍁䍁䅁兙穂䍁䅁兙杁䍁䅕䅉療䝁䅙䅉䵂䝁䅫杢求䅁䅁克䅁䑁䅙䅁䵂䝁䅫杢求䍁䅁免祁䍁䄴睎杁䝁䅅督杁䝁䅅䅉汁䍁䅁睢浂䍁䅁睑療䝁䅷杌杁䑁䅙䅁流䅁䅁杍䅁䕁䅷兡畂䝁䅕䅉硁䑁䅉杌㍁䍁䅁兙穂䍁䅁兙杁䍁䅕䅉療䝁䅙䅉䵂䝁䅫杢求䅁䅁兊䅁䑁䅑䅁䵂䝁䅫杢求䍁䅁兏畁䑁䅣䅉桂䡁䅍䅉桂䍁䅁兊杁䝁䄸杚杁䕁䅍睢獂䍁䄴䅉㉁䅁䅁䅋䅁䕁䅧䅁䵂䝁䅫兣ㅂ䝁䅫䅚杁䕁䅫杢㉂䝁䅕督あ䝁䄰党畂䡁䅑督癁䍁䅁䅔灂䝁䅅杙灂䝁䅷兡あ䝁䅫党穂䍁䅁䅋汁䍁䅫䅁㙄杂䅁䅇䅁䕁䅷兡あ䡁䅑䅢求䍁䅁杕療䝁䅍睡䅁䵁呫䅁楂䅁䅁䅔灂䡁䅑䅤獂䝁䅕䅉卂䝁䄸睙牂䍁䄰杔療䡁䅉䅤潂䍁䅁䅔灂䡁䅑䅤獂䝁䅕䅉卂䝁䄸睙牂䍁䄰睑療䝁䄴睤桂䡁䅫䅌杁䕁䅅杕杁䍁䅧兔求䡁䅑杣療䍁䅫䅁䵄睅䅁杆䅁䕁䅷睢畂䝁䅣䅉䍂䝁䅕兙橂䝁䅧䅁慁充䅁䅇䅁䕁䅷睢穂䍁䅁兑畂䝁䅣党獂䝁䅕督䅁䅁前䅁坂䅁䅁䅔療䡁䅍䅉䉂䝁䄴睚求䝁䅷党穂䍁䄰䅔療䝁䄴睚杁䕁䅉党桂䝁䅍䅡瑁䕁䅅杢桂䝁䅧党灂䝁䄰䅌杁䕁䅍兑杁䍁䅧兔求䡁䅑杣療䍁䅫䅁杂元䅁䅓䅁䕁䅷睢穂䡁䅍䅉流䍁䅁䅔療䡁䅍督杁䕁䅅䅚煂䍁䅁兒㑂䡁䅁䅉卂䝁䅕督求䡁䅉杤求䡁䅍䅉潁䍁䅑䅍睁䑁䅁克䅁佁䝯䅁兂䅁䅁䅔療䡁䅍督杁䍁䅙䅉䵂䝁䄸督穂䍁䅁兑歂䝁䅯䅉䙂䡁䅧䅣杁䙁䅉党穂䝁䅕杣㉂䝁䅕督杁䕁䅣杣療䡁䅣䅤潂䍁䅁䅋汁䍁䅫䅁捁睂䅁䅔䅁䕁䅷睢穂䡁䅍䅉流䍁䅁䅔療䡁䅍督杁䕁䅅䅚煂䍁䅁兒㑂䡁䅁䅉卂䝁䅕督求䡁䅉杤求䡁䅍睌杁䕁䄴䅕䙂䍁䅁䅋汁䍁䅫䅁穄杂䅁材䅁䕁䅷睢穂䡁䅍䅉流䍁䅁䅔療䡁䅍督杁䕁䅅䅚煂䍁䅁兒㑂䡁䅁党畂䡁䅍党杁䍁䅧䅊睁䑁䅁䅍灁䅁䅁睃䅣䕁䅑䅁䵂䝁䄸督穂䍁䅁杊杁䕁䅷睢穂䡁䅍䅉䉂䝁䅑条杁䕁䅕䅥睂䝁䅕杢穂䝁䅕䅉卂䝁䅅䅤灂䝁䄸䅉潁䍁䅕克䅁偁䜴䅁㉁䅁䅁䅔療䡁䅍督杁䕁䅅䅚煂䍁䅁兒㑂䡁䅁党畂䡁䅍党杁䙁䅉兙あ䝁䅫睢杁䍁䅧兊灁䅁䅁䅅䅣䑁䅷䅁䵂䝁䄸督穂䍁䅁兑歂䝁䅯䅉䙂䡁䅧䅣求䝁䄴督求䡁䅍䅉兂䝁䅅兡歂䍁䅁䅋歁䑁䅁䅍睁䍁䅫䅁剂睂䅁杈䅁䕁䅷睢穂䡁䅍䅉卂䝁䅅䅤灂䝁䄸䅉潁䍁䅕克䅁䅁䡁䅁畁䅁䅁䅔療䡁䅍督求䡁䅍䅉䩂䝁䄴睙ㅂ䡁䅉杣求䝁䅑䅉潁䍁䅑䅍睁䑁䅁克䅁佁啙䅁䅂䅁䅁䅔療䡁䅍督求䡁䅍䅉兂䝁䅅兡歂䍁䅁䅔求䡁䅍督杁䙁䅍兙獂䡁䅙兙湂䝁䅕䅉潁䍁䅑䅍睁䑁䅁克䅁䕁䠸䅁煂䅁䅁䅔療䡁䅍督求䡁䅍䅉兂䝁䅅兡歂䍁䅁䅔求䡁䅍督杁䙁䅍兙獂䡁䅙兙湂䝁䅕杏杁䕁䅅督穂䡁䅕兢求䝁䅑䅉卂䝁䅕兡畂䡁䅍兤祂䝁䅅杢橂䝁䅕䅉潁䍁䅑䅍睁䑁䅁克䅁佁啑䅁畂䅁䅁䅔療䡁䅍督求䡁䅍䅉兂䝁䅅兡歂䍁䅁䅔求䡁䅍督杁䙁䅍兙獂䡁䅙兙湂䝁䅕杏杁䕁䅑兡祂䝁䅕睙あ䍁䅁村ㅂ䡁䅍兡畂䝁䅕督穂䍁䅁䅋噂䍁䅙兓灁䍁䅁䅋歁䑁䅁䅍睁䍁䅫䅁橄䅆䅁杢䅁䕁䅷睢穂䡁䅍党穂䍁䅁䅕桂䝁䅫䅚杁䕁䅷党穂䡁䅍䅉呂䝁䅅䅢㉂䝁䅅睚求䑁䅯䅉卂䝁䅕睙療䡁䅙党祂䝁䅕䅚杁䙁䅉党灂䝁䄴督ㅂ䡁䅉兙畂䝁䅍党杁䍁䅧䅊睁䑁䅁䅍灁䅁䅁刵䅑䍁䅷䅁䵂䝁䄸兤灂䡁䅍䅉兂䝁䅧兡獂䝁䅫䅣杁䕁䅫睚獂䝁䅕督灂䝁䅅督䅁䩁䱫䅁䕃䅁䅁䅔療䡁䅕兡穂䝁䅫兙畂䝁䅅䅉䥂䝁䅕兙獂䡁䅑䅡杁䙁䅍党祂䡁䅙兡橂䝁䅕䅉桂䝁䄴䅚杁䕁䅫杢歂䝁䅕兢畂䝁䅫䅤㕂䍁䅁睑療䝁䄰䅣桂䝁䄴入杁䍁䅧睕佂䕁䅷䅉䥂䝁䅕兙獂䡁䅑䅡杁䕁䅣杣療䡁䅕䅣灁䅁䅁䉤䅁䝁䅑䅁䵂䝁䄸兤灂䡁䅍兡桂䝁䄴兙杁䕁䅧䅢あ䝁䅧䅉呂䡁䅙睙杁䍁䅙䅉䩂䝁䄴䅚求䝁䄰䅉䑂䝁䄸杌杁䍁䅧睕佂䕁䅷䅉䥂䝁䅕兙獂䡁䅑䅡杁䕁䅣杣療䡁䅕䅣灁䅁䅁硣䅁䑁䅷䅁䵂䝁䄸兤灂䡁䅍兡桂䝁䄴兙杁䙁䅣睢祂䝁䅳党祂䡁䅍睊杁䕁䅍睢瑂䡁䅁䅉䑂䝁䄸杣睂䍁䄴䅁⽂䅅䅁䅗䅁䕁䅷睢ㅂ䝁䅫督灂䝁䅅杢桂䍁䅁睖療䡁䅉睡求䡁䅉督湁䍁䅁睑療䝁䄰䅣求䝁䄴督桂䡁䅑兡療䝁䄴䅉䑂䝁䄸杣睂䝁䄸杣桂䡁䅑兡療䝁䄴䅁䅃䅅䅁杆䅁䕁䅷睢ㅂ䝁䅫督㉂䝁䅫䅢獂䝁䅕䅁䝄睄䅁杖䅁䕁䅷睢ㅂ䝁䅫督㉂䝁䅫䅢獂䝁䅕睌䭂䝁䅕杚浂䝁䅕杣穂䝁䄸杢杁䕁䅍睢ㅂ䝁䄴䅤㕂䍁䅷䅉䱂䙁䅫兌䩂䕁䄴䅉潁䕁䄰党あ䡁䅉睢灁䅁䅁䅸䄸䍁䅯䅁䵂䡁䅫杢畂䝁䅕䅤あ䝁䅕䅉乂䝁䅅杣灂䝁䅕䅉乂䝁䅅䅤㙂䝁䅅䅁扄兄䅁杂䅁䕁䄰兑䅁偁䡣䅁卂䅁䅁兔䉂䕁䅣䅉乂䡁䅕䅤ㅂ䝁䅅䅢杁䕁䅫杢穂䡁䅕杣桂䝁䄴睙求䍁䅁睑療䍁䄴䅉潁䙁䅍杔䵂䍁䅁䅕流䕁䅍䅉䡂䡁䅉睢ㅂ䡁䅁克䅁䥁兯䅁慂䅁䅁兔䉂䕁䅣䅉乂䡁䅕䅤ㅂ䝁䅅䅢杁䕁䅫杢穂䡁䅕杣桂䝁䄴睙求䍁䅁睑療䝁䄰䅣桂䝁䄴入杁䍁䅧睕佂䕁䅷䅉兂䍁䅙睑杁䕁䅣杣療䡁䅕䅣灁䅁䅁剩䅁䑁䅑䅁乂䕁䅅䅕䝂䙁䅉兒杁䙁䅍兑杁䍁䅧睕佂䕁䅷䅉兂䍁䅙睑杁䕁䅣杣療䡁䅕䅣灁䅁䅁䉴䅁䑁䅑䅁乂䕁䅉兓䉂䍁䅁兓畂䝁䅍杌杁䍁䅧睕佂䕁䅷䅉兂䍁䅙睑杁䕁䅣杣療䡁䅕䅣灁䅁䅁䉹䅁䑁䅙䅁乂䕁䅍兓䑂䍁䅁杖啂䍁䅁䅋䉂䍁䅁杕求䝁䅍兡睂䡁䅉睢橂䝁䅅䅢杁䙁䅉杕䡂䍁䅫䅁啄䅅䅁杙䅁䕁䄰睑䩂䕁䅍䅉坂䝁䅕杣瑂䝁䄸杢あ䍁䅁䅋䉂䍁䅁杕求䝁䅍兡睂䡁䅉睢橂䝁䅅䅢杁䙁䅉兡穂䝁䅳䅉卂䝁䅕䅤求䝁䄴䅤灂䝁䄸杢杁䕁䅣杣療䡁䅕䅣灁䅁䅁砰䅁䅁䅙䅁乂䕁䅑䅁䅃杂䅁䅔䅁䕁䄰睒䩂䕁䅍䅉䩂䝁䄴杤求䡁䅍䅤瑂䝁䅕杢あ䍁䅁睑療䡁䅉䅣畁䍁䅁䅋呂䕁䄴䅔杁䙁䅁杊䑂䍁䅁睒祂䝁䄸兤睂䍁䅫䅁䱁充䅁䅗䅁䕁䄰睒䩂䕁䅍䅉䩂䝁䄴杤求䡁䅍䅤瑂䝁䅕杢あ䍁䅁睑療䡁䅉䅣療䡁䅉兙あ䝁䅫睢畂䍁䅁䅋呂䕁䄴䅔杁䙁䅁杊䑂䍁䅁睒祂䝁䄸兤睂䍁䅫䅁䭁充䅁杆䅁䕁䄰睒䩂䕁䅍䅉兂䝁䅷兙㙂䝁䅅䅁偁充䅁杂䅁䕁䄰兓䅁佁䥍䅁楁䅁䅁兔乂䕁䄰杒㙁䍁䅁睑療䝁䄰兢杁䙁䅍䅤療䝁䅍睡䅁䉁䈸䅁䝁䅁䅁兔佂䅁䅁兢䅧䅁䅙䅁乂䕁䄸䅁㍂权䅁䅃䅁䕁䄰杕婂䅁䅁杌䅙䅁䅙䅁乂䙁䅍䅁敃权䅁条䅁䕁䄰睕流䕁䅅䅒杁䕁䅫杢穂䡁䅕杣桂䝁䄴睙求䍁䅁睒祂䝁䄸兤睂䍁䅁䅓療䝁䅷䅚灂䝁䄴睚穂䍁䅷䅉䩂䝁䄴睙畁䍁䅁䅋呂䕁䄴䅔杁䙁䅁杊䑂䍁䅁睒祂䝁䄸兤睂䍁䅫䅁灁充䅁杘䅁䕁䄰睕流䕁䅅䅒杁䕁䅫杢穂䡁䅕杣桂䝁䄴睙求䍁䅁睒祂䡁䅁䅉䥂䝁䅷䅚湂䡁䅍䅉䩂䝁䄴睙畁䍁䅁䅋呂䕁䄴䅔杁䙁䅁杊䑂䍁䅁睒祂䝁䄸兤睂䍁䅫䅁煁充䅁杉䅁䕁䄰睕瑁䙁䅉党湂䍁䅁杒灂䝁䄴兙畂䝁䅍兡桂䝁䅷䅁⽂睅䅁䅍䅁䕁䄰兙橂䝁䅅杣桂䝁䄴䅉䉂䝁䅷党㑂䝁䅅杢歂䝁䅕杣杁䕁䅉兙灂䡁䅉䅚䅁䱁呍䅁允䅁䅁兔桂䝁䅑兡穂䝁䄸杢䅁䭁䝁䅁潁䅁䅁兔桂䝁䅑兡穂䝁䄸杢獁䍁䅁睖䩂䍁䅁䅋乂䝁䅕䅤祂䝁䄸克䅁䩁䝧䅁㙁䅁䅁兔桂䝁䅫䅚求䝁䄴䅉卂䝁䅕䅉佂䝁䄸杣あ䝁䅧䅉䉂䝁䄰党祂䝁䅫睙桂䍁䅁兓畂䝁䅍杌䅁䩁兕䅁佂䅁䅁兔桂䝁䅫䅚求䝁䄴䅉卂䝁䅕兡畂䡁䅍兤祂䝁䅅杢橂䝁䅕䅉佂䝁䄸杣あ䝁䅧䅉䉂䝁䄰党祂䝁䅫睙桂䍁䅷䅉䩂䝁䄴睙畁䅁䅁桬䅁䍁䅉䅁乂䝁䅅兡獂䍁䅁睕あ䝁䅅䅤灂䝁䄸杢杁䍁䅍兏睁䅁䅁材䅳䉁䄴䅁乂䝁䅅兡獂䍁䅁睕あ䝁䄸䅣杁䕁䅅睍ㅁ䑁䅣䅁ㅂ䅄䅁䅖䅁䕁䄰兙灂䝁䄴䅉呂䡁䅑杣求䝁䅕䅤杁䕁䅅兢求䡁䅉兡橂䝁䅅䅉䡂䡁䅉睢ㅂ䡁䅁䅉潁䙁䅍杔䵂䍁䅁䅕流䕁䅍䅉䡂䡁䅉睢ㅂ䡁䅁克䅁䭁充䅁煁䅁䅁兔桂䝁䅷睙療䝁䅷兢杁䕁䅉杣ㅂ䝁䅍党杁䕁䅧兤畂䡁䅑党祂䅁䅁䅁䄸䍁䄴䅁乂䝁䅅䅢橂䝁䄸䅢瑂䍁䅁兒歂䡁䅣兙祂䝁䅑䅉呂䝁䅕䅢獂䝁䅕杣穂䅁䅁䄱䅷䍁䅧䅁乂䝁䅅䅢橂䝁䄸䅢瑂䍁䅁睖桂䡁䅫杢求䍁䅁村祂䝁䅅睤畂䅁䅁兊䅷䙁䅙䅁乂䝁䅅杢潂䝁䅅䅤あ䝁䅅杢杁䕁䅫杢穂䡁䅕杣桂䝁䄴睙求䍁䅁睒祂䝁䄸兤睂䍁䅁䅋呂䕁䄴䅔杁䕁䅷兡浂䝁䅕䅉䡂䡁䅉睢ㅂ䡁䅁克䅁䭁兯䅁啂䅁䅁兔桂䝁䄴兤獂䝁䅫杚求䍁䅁杒灂䝁䄴兙畂䝁䅍兡桂䝁䅷䅉䑂䝁䄸杣睂䍁䄴䅉潁䙁䅍杔䵂䍁䅁䅔灂䝁䅙党杁䕁䅣杣療䡁䅕䅣灁䅁䅁儫䅫䝁䅁䅁乂䝁䅅杢ㅂ䝁䅷兡浂䝁䅕䅉䝂䝁䅫杢桂䝁䄴睙灂䝁䅅䅢杁䕁䅍睢祂䡁䅁睢祂䝁䅅䅤灂䝁䄸杢杁䍁䅧睕佂䕁䅷䅉䵂䝁䅫杚求䍁䅁睒祂䝁䄸兤睂䍁䅫䅁㙄元䅁䅉䅁䕁䄰兙祂䝁䅍䅉䑂䝁䄸督あ䝁䅅杢あ䝁䅫杢灂䅁䅁兴䅫䍁䅙䅁乂䝁䅅杣橂䍁䅁䅒桂䡁䅙兡歂䍁䅁䅓桂䝁䄰杙ㅂ䡁䅉睚䅁偁䡅䅁睁䅁䅁兔桂䡁䅉睙杁䕁䅕䅚㍂䝁䅅杣歂䍁䅁睕橂䝁䅧兢灂䡁䅑䅤獂䝁䅕兡畂䅁䅁睷䄰䍁䄴䅁乂䝁䅅杣湂䝁䅅杣求䡁䅑䅉䉂䝁䅷兡橂䝁䅕䅉乂䝁䅕兡穂䡁䅑党祂䅁䅁典䅯䉁䅉䅁乂䝁䅅杣灂䝁䅕䅤あ䝁䅅䅁䵁杄䅁䅉䅁䕁䄰兙祂䝁䅫䅤桂䍁䅁杗ㅂ䡁䅉兙灂䡁䅑兡穂䅁䅁䅱䄸䍁䅷䅁乂䝁䅅杣牂䍁䅁兑獂䝁䅅杢杁䕁䅧兙㕂䝁䅑兤牂䝁䄸杤灂䝁䅍䅡䅁䱁䱧䅁潁䅁䅁兔桂䡁䅉睡杁䕁䅅杢あ䝁䅧睢畂䡁䅫䅉䑂䝁䅅督桂䝁䅷党䅁䝁佁䅁流䅁䅁兔桂䡁䅉睡杁䕁䅑兙㉂䝁䅫䅚杁䕁䅯睢潂䝁䄴督療䝁䄴䅁䭃充䅁䅊䅁䕁䄰兙祂䝁䅳䅉䙂䝁䅑睤桂䡁䅉䅚杁䙁䅉党求䡁䅍党䅁䑁佷䅁楁䅁䅁兔桂䡁䅉睡杁䕁䅕䅚㍂䝁䅫杢杁䕁䅧兙畂䝁䅕入䅁䕁八䅁歁䅁䅁兔桂䡁䅉睡杁䕁䅳党㉂䝁䅫杢杁䕁䅙兙獂䝁䅷睢畂䅁䅁䄶䅳䍁䅧䅁乂䝁䅅杣牂䍁䅁䅔療䡁䅉兡畂䍁䅁睕療䝁䅷杤求䡁䅉兤歂䅁䅁桖䅅䍁䅉䅁乂䝁䅅杣牂䍁䅁䅔㕂䝁䄰兙畂䍁䅁村桂䝁䅫杣歂䅁䅁制䅁䉁䄴䅁乂䝁䅅杣牂䍁䅁䅔㕂䝁䄴杢杁䕁䅯睢療䡁䅍䅁灁睄䅁杇䅁䕁䄰兙祂䝁䅳䅉兂䝁䅕兙祂䡁䅍睢畂䅁䅁眸䅧䍁䅷䅁乂䝁䅅杣牂䍁䅁杕桂䡁䅫兢療䝁䄴䅚杁䙁䅑䅡祂䝁䅕督潂䝁䅕杣䅁䑁䭷䅁流䅁䅁兔桂䡁䅉睡杁䙁䅉兡橂䝁䅧兙祂䝁䅑䅉乂䝁䅫督牂䝁䅕䅁䍁䅅䅁杋䅁䕁䄰兙祂䝁䅳䅉卂䝁䄸杙求䡁䅉䅤杁䕁䅉兙祂䡁䅑䅢求䡁䅑䅤䅁偁䵉䅁楁䅁䅁兔桂䡁䅉睡杁䙁䅉睢湂䝁䅕杣杁䙁䅑睤灂䡁䅑党䅁䑁啁䅁獁䅁䅁兔桂䡁䅉睡杁䙁䅑䅡療䝁䄰兙穂䍁䅁村求䡁䅉䅤療䝁䅷兡畂䝁䅫䅁䙂䅃䅁杏䅁䕁䄰兙祂䝁䅳党獂䍁䅁睑療䡁䅉䅣畁䍁䅁䅋呂䕁䄴䅔杁䙁䅁杊䑂䍁䅁睒祂䝁䄸兤睂䍁䅫䅁㥃䅅䅁杒䅁䕁䄰兙祂䝁䅳党獂䍁䅁睑療䡁䅉䅣療䡁䅉兙あ䝁䅫睢畂䍁䅁䅋呂䕁䄴䅔杁䙁䅁杊䑂䍁䅁睒祂䝁䄸兤睂䍁䅫䅁⭃䅅䅁杌䅁䕁䄰兙祂䡁䅑兙杁䕁䅯兤獂䝁䅫兙畂䝁䅅䅉呂䝁䅧党㉂䝁䅍䅡灂䝁䅳䅁䩄充䅁杈䅁䕁䄰兙祂䡁䅑兡畂䍁䅁睕潂䝁䅕党祂䝁䅫杢䅁䅁䭁䅁敁䅁䅁兔桂䡁䅉入杁䕁䅅杢畂䍁䅁䅖療䝁䅍兡療䅁䅁䅗䄸䑁䅉䅁乂䝁䅅杣㕂䍁䅁兒獂䝁䅫来桂䝁䅉党あ䝁䅧䅉坂䝁䅅杢杁䕁䄸杚獂䝁䅕杢䅁䙁十䅁潁䅁䅁兔桂䡁䅉入杁䕁䅳党灂䡁䅑䅡杁䕁䅉杣桂䝁䅫杢求䡁䅉䅚䅁䝁偯䅁杂䅁䅁兔桂䡁䅍督桂䝁䅍䅡ㅂ䡁䅍党あ䡁䅑督杁䕁䄰兤あ䝁䅷䅉䵂䝁䅫杚求䍁䅁兓畂䡁䅍䅉䑂䝁䄸䅉潁䙁䅍杔䵂䍁䅁䅔灂䝁䅙党杁䕁䅣杣療䡁䅕䅣灁䅁䅁儹䅣䡁䅯䅁乂䝁䅅督穂䝁䅅睙潂䡁䅕督求䡁䅑䅤穂䍁䅁兔ㅂ䡁䅑兤桂䝁䅷䅉䵂䝁䅫杚求䍁䅁兓畂䡁䅍兤祂䝁䅅杢橂䝁䅕䅉䑂䝁䄸兢睂䝁䅅杢㕂䍁䅁䅋呂䕁䄴䅔杁䕁䅷兡浂䝁䅕䅉䡂䡁䅉睢ㅂ䡁䅁克䅁偁䡙䅁潁䅁䅁兔桂䡁䅑䅤潂䝁䅕睤杁䕁䅕杤桂䝁䄴䅉塂䝁䅫杢あ䝁䅕杣䅁䥁䥁䅁煁䅁䅁兔桂䡁䅑䅤潂䝁䅕睤杁䕁䅯睢穂䝁䅕䅣潂䍁䅁睕灂䝁䄰睢畂䅁䅁睁䅷䍁䄴䅁乂䝁䅅䅤あ䝁䅧党㍂䍁䅁䅔桂䝁䄴睙灂䝁䄴睚杁䙁䅣杣灂䝁䅣䅡あ䅁䅁剧䅅䑁䅁䅁乂䝁䅅䅤あ䝁䅧党㍂䍁䅁兔畁䍁䅁睕橂䝁䄸睚湂䝁䅫杢穂䍁䅁杓祂䍁䄴䅁時睅䅁䅍䅁䕁䄰兙あ䡁䅕杣灂䡁䅑入杁䍁䅧兑穂䍁䅁杕求䡁䅁睢祂䡁䅑党歂䍁䅫䅉䅁䩁䡅䅁獁䅁䅁兔桂䡁䅑兤祂䝁䅫䅤㕂䍁䅁䅋瑂䝁䄰睌歂䝁䅑睌㕂䡁䅫入㕂䍁䅫䅁䩄睂䅁杅䅁䕁䄰兙㕂䝁䅙兡求䝁䅷䅚䅁䝁䬰䅁十䅁䅁兔橂䕁䅳兡畂䝁䄴党㕂䅁䅁眶䅯䙁䅧䅁乂䝁䅕䅚䉂䝁䄰党祂䝁䅫睙桂䍁䅁兓畂䡁䅍兤祂䝁䅅杢橂䝁䅕䅉䡂䡁䅉睢ㅂ䡁䅁䅉潁䙁䅍杔䵂䍁䅁䅔灂䝁䅙党杁䕁䅣杣療䡁䅕䅣灁䅁䅁刳䅁䕁䅷䅁乂䝁䅕䅚灂䝁䅍兙杁䕁䅧睢獂䝁䅑兡畂䝁䅣䅉䑂䝁䄸杌杁䍁䅧睕佂䕁䅷䅉䥂䝁䅕兙獂䡁䅑䅡杁䕁䅣杣療䡁䅕䅣灁䅁䅁栴䅁䙁䅑䅁乂䝁䅕䅚灂䝁䅍兙杁䕁䅧睢獂䝁䅑兡畂䝁䅣䅉䑂䝁䄸兢睂䝁䅅杢㕂䍁䅁䅋呂䕁䄴䅔杁䕁䅧党桂䝁䅷䅤潂䍁䅁睒祂䝁䄸兤睂䍁䅫䅁橄䅅䅁䅊䅁䕁䄰党歂䝁䅫睙桂䝁䅫䅚杁䙁䅁杣療䡁䅙兡歂䝁䅕杣䅁䑁乯䅁⭁䅁䅁兔求䝁䅑兡橂䝁䅅䅢杁䕁䅷兡桂䝁䅉兡獂䝁䅫䅤㕂䍁䅁兔ㅂ䡁䅑䅢杁䕁䅫杢穂䍁䅁睑療䍁䄴䅁瑄䅅䅁杖䅁䕁䄰党歂䝁䅫睙桂䝁䅷䅉䵂䝁䅫兙楂䝁䅫䅢灂䡁䅑入杁䕁䄰兤あ䡁䅕兙獂䍁䅁兓畂䡁䅍兤祂䝁䅅杢橂䝁䅕䅉䑂䝁䄸兢睂䝁䅅杢㕂䅁䅁䈷䅁䙁䅑䅁乂䝁䅕䅚灂䝁䅍兙獂䍁䅁兔ㅂ䡁䅑兤桂䝁䅷䅉療䝁䅙䅉偂䝁䅧兡療䍁䅁䅋呂䕁䄴䅔杁䕁䅧党桂䝁䅷䅤潂䍁䅁睒祂䝁䄸兤睂䍁䅫䅁㉄䅅䅁䅊䅁䕁䄰党歂䝁䅫睙桂䡁䅉党杁䙁䅁杣療䡁䅙兡歂䝁䅕杣䅁䥁乣䅁捁䅁䅁兔求䝁䅧杣桂䝁䄴䅉䉂䡁䅍督桂䝁䅑兡䅁䑁䭅䅁杂䅁䅁兔求䝁䅫条灂䍁䅁兗桂䡁䅍兤歂䝁䅅䅉䵂䝁䅫杚求䍁䅁兓畂䡁䅍兤祂䝁䅅杢橂䝁䅕䅉䑂䝁䄸䅉潁䙁䅍杔䵂䍁䅁䅔灂䝁䅙党杁䕁䅣杣療䡁䅕䅣灁䅁䅁睁䅯䝁䅯䅁乂䝁䅕兡煂䝁䅫䅉婂䝁䅅督ㅂ䝁䅑兙杁䕁䅷兡浂䝁䅕䅉䩂䝁䄴督ㅂ䡁䅉兙畂䝁䅍党杁䕁䅍睢瑂䡁䅁兙畂䡁䅫䅉潁䙁䅍杔䵂䍁䅁䅔灂䝁䅙党杁䕁䅣杣療䡁䅕䅣灁䅁䅁杁䅯䉁䅷䅁乂䝁䅕杣橂䝁䅕杣杁䕁䅫督獂䝁䅅杢歂䅁䅁䉎䅑䕁䅷䅁乂䝁䅕杣橂䡁䅕杣㕂䍁䅁睒求䝁䄴党祂䝁䅅䅢杁䕁䅍睢祂䡁䅁杌杁䍁䅧睕佂䕁䅷䅉兂䍁䅙睑杁䕁䅣杣療䡁䅕䅣灁䅁䅁砯䅁䙁䅧䅁乂䝁䅕杣橂䡁䅕杣㕂䍁䅁睒求䝁䄴党祂䝁䅅䅢杁䕁䅍睢祂䡁䅁睢祂䝁䅅䅤灂䝁䄸杢杁䍁䅧睕佂䕁䅷䅉兂䍁䅙睑杁䕁䅣杣療䡁䅕䅣灁䅁䅁䉁䅅䉁䅁䅁乂䝁䅕杣祂䝁䅫䅢獂䅁䅁睥䄰䍁䅧䅁乂䝁䅕杣祂䝁䅫䅢獂䍁䅷䅉塂䕁䅫䅉潁䕁䄰兡橂䡁䅉睢灁䅁䅁兦䄰䑁䅷䅁乂䝁䅕䅤䵂䝁䅫杚求䍁䅁兓畂䝁䅍杌杁䍁䅧睕佂䕁䅷䅉䵂䝁䅫杚求䍁䅁睒祂䝁䄸兤睂䍁䅫䅁䕁䅃䅁杏䅁䕁䄰党あ䕁䅷兡浂䝁䅕䅉䩂䝁䄴睙畁䍁䅁䅋呂䕁䄴䅔杁䙁䅁杊䑂䍁䅁睒祂䝁䄸兤睂䍁䅫䅁瑂允䅁材䅁䕁䄰党あ䕁䅷兡浂䝁䅕䅌杁䕁䅫杢橂䍁䄴䅉潁䙁䅍杔䵂䍁䅁䅔灂䝁䅙党杁䕁䅣杣療䡁䅕䅣灁䅁䅁睁䅧䑁䅷䅁乂䝁䅕䅤䵂䝁䅫杚求䍁䅷䅉䩂䝁䄴睙畁䍁䅁䅋呂䕁䄴䅔杁䙁䅁杊䑂䍁䅁睒祂䝁䄸兤睂䍁䅫䅁獂允䅁䅋䅁䕁䄰兡橂䝁䅧兙求䝁䅷䅉䉂䍁䄴䅉䥂䝁䅅睡灂䝁䄰兡桂䝁䄴䅁扄䅅䅁䅈䅁䕁䄰兡橂䝁䅧兙求䝁䅷䅉䉂䝁䅳睡求䡁䅉䅁䅂杅䅁杏䅁䕁䄰兡橂䝁䅧兙求䝁䅷䅉䉂䝁䄴䅤潂䝁䄸杢㕂䍁䅁杕灂䝁䅍睙灂䝁䅅杣歂䝁䅕䅢獂䝁䅫䅁㥁睅䅁李䅁䕁䄰兡橂䝁䅧兙求䝁䅷䅉䑂䝁䅧兙祂䝁䅷党穂䍁䅁睕畁䍁䅁杒療䡁䅍杙ㅂ䡁䅉入䅁䱁乁䅁畁䅁䅁兔灂䝁䅍䅡桂䝁䅕䅢杁䕁䅍䅢灂䡁䅁督療䝁䄴䅉䥂䝁䅅兡畂䝁䅕督䅁䱁伸䅁歁䅁䅁兔灂䝁䅍䅡桂䝁䅕䅢杁䕁䅑党桂䝁䄴䅉䍂䝁䅅䅡祂䅁䅁兩䅙䍁䅉䅁乂䝁䅫睙潂䝁䅅党獂䍁䅁兒畁䍁䅁兒祂䡁䅙兡畂䅁䅁村䄰䍁䄴䅁乂䝁䅫睙潂䝁䅅党獂䍁䅁兒歂䡁䅣兙祂䝁䅑䅉䵂䝁䅅杕療䝁䅍睙療䅁䅁硌䅍䍁䄴䅁乂䝁䅫睙潂䝁䅅党獂䍁䅁兒獂䝁䅷兡療䡁䅑䅤杁䕁䅙䅢求䝁䅫䅤㙂䅁䅁睈䄰䑁䅑䅁乂䝁䅫睙潂䝁䅅党獂䍁䅁杒祂䝁䅕䅚求䡁䅉兡橂䍁䅁杔求䝁䅫䅚療䡁䅉杚浂䅁䅁䅔䄰䍁䅷䅁乂䝁䅫睙潂䝁䅅党獂䍁䅁睒求䡁䅉兙祂䝁䅑䅉䑂䝁䅅杣あ䝁䅕杣䅁䉁䥯䅁睁䅁䅁兔灂䝁䅍䅡桂䝁䅕䅢杁䕁䅣党祂䝁䅅杣歂䍁䅁䅒求䕁䅳睢畂䝁䅫杢湂䅁䅁剏䅅䍁䅙䅁乂䝁䅫睙潂䝁䅅党獂䍁䅁䅓桂䝁䅷䅉塂䝁䅕兡畂䝁䅕杣䅁䕁刴䅁流䅁䅁兔灂䝁䅍䅡桂䝁䅕䅢杁䕁䅯杌杁䕁䅣兤㕂䝁䅕䅤あ䝁䅕䅁捄䅄䅁杋䅁䕁䄰兡橂䝁䅧兙求䝁䅷䅉䭂䝁䅅兢求䡁䅍䅉呂䝁䅕睤求䝁䅷䅢䅁䩁久䅁流䅁䅁兔灂䝁䅍䅡桂䝁䅕䅢杁䕁䅯兙瑂䝁䅕督杁䙁䅣兙歂䝁䅕䅁潄充䅁䅋䅁䕁䄰兡橂䝁䅧兙求䝁䅷䅉䭂䝁䄸䅡畂䍁䅁兔灂䡁䅯党ㅂ䡁䅉䅁呄䅄䅁杋䅁䕁䄰兡橂䝁䅧兙求䝁䅷䅉䭂䝁䄸督求䡁䅁䅡杁䕁䅷入畂䝁䅍䅡䅁䱁卧䅁潁䅁䅁兔灂䝁䅍䅡桂䝁䅕䅢杁䕁䅳党灂䡁䅑䅡杁䕁䅉杣灂䡁䅑䅤䅁䡁䱣䅁煁䅁䅁兔灂䝁䅍䅡桂䝁䅕䅢杁䕁䅷党療䝁䄴䅉啂䝁䅫䅣穂䝁䄸杣歂䅁䅁睍䅧䉁䄴䅁乂䝁䅫睙潂䝁䅅党獂䍁䅁䅔療䝁䄸杢求䡁䅫䅁䉃杄䅁䅋䅁䕁䄰兡橂䝁䅧兙求䝁䅷䅉兂䍁䄴䅉䉂䝁䄴睚求䝁䅷兡畂䝁䅫䅁乂睄䅁䅊䅁䕁䄰兡橂䝁䅧兙求䝁䅷䅉兂䝁䅅䅢瑂䝁䅅䅤求䝁䅕杣䅁䍁余䅁獁䅁䅁兔灂䝁䅍䅡桂䝁䅕䅢杁䙁䅁兙あ䡁䅉兡橂䝁䅳䅉䱂䝁䅫䅢求䡁䅫䅁⽃元䅁杌䅁䕁䄰兡橂䝁䅧兙求䝁䅷䅉卂䝁䅫睙潂䝁䅅杣歂䍁䅁睑獂䝁䅕兙祂䡁䅫䅁煁兄䅁䅋䅁䕁䄰兡橂䝁䅧兙求䝁䅷䅉呂䝁䅍睢あ䡁䅑䅉呂䝁䄰兡あ䝁䅧䅁瑁睃䅁杋䅁䕁䄰兡橂䝁䅧兙求䝁䅷䅉啂䝁䅧睢瑂䝁䅅督杁䕁䅙睢獂䝁䅕入䅁䕁䱷䅁獁䅁䅁兔灂䝁䅍䅡桂䝁䅕䅢杁䙁䅣兡獂䝁䅷兡桂䝁䄰䅉乂䝁䅅来ㅂ䡁䅉䅁桂睄䅁杓䅁䕁䄰兡橂䝁䅧兡湂䝁䅅杢杁䕁䅙兙祂䝁䄰䅉䍂䡁䅕杣求䝁䅅兤杁䍁䅧睕佂䕁䅷䅉兂䍁䅙睑杁䕁䅣杣療䡁䅕䅣灁䅁䅁剆䅅䉁䅯䅁乂䝁䅫䅚杁䕁䅅䅤獂䝁䅅杢あ䝁䅫睙䅁䡁䉅䅁允䅁䅁兔灂䝁䅑䅢桂䝁䄴䅚䅁䉁佑䅁潁䅁䅁兔灂䝁䅑䅢桂䝁䄴䅚獁䍁䅁兔䩂䍁䅁䅋乂䝁䅕䅤祂䝁䄸克䅁䉁佯䅁允䅁䅁兔灂䝁䅑睤求䡁䅍䅤䅁䩁䝯䅁煁䅁䅁兔灂䝁䅷党穂䍁䅁䅖潂䝁䄸杣畂䝁䅕䅉䱂䝁䅫䅢橂䝁䄸兡畂䅁䅁兺䄰䉁䅑䅁乂䝁䅫䅢㍂䝁䅅兤牂䝁䅕党䅁䉁䥕䅁啂䅁䅁兔灂䝁䅷睤桂䡁䅕睡求䝁䅕兌塂䝁䅅兤牂䝁䅕督潂䝁䅅兌塂䝁䅕督あ䍁䅁兑獂䝁䅷兡穂䍁䅷䅉塂䕁䅫䅉潁䕁䄰党あ䡁䅉睢灁䅁䅁杅䅧䉁䅧䅁乂䝁䅫杢畂䝁䅕兙睂䝁䄸䅢灂䡁䅍䅁牂䅃䅁䅙䅁䕁䄰兡畂䝁䄴党桂䡁䅁睢獂䝁䅫督瑁䙁䅍䅤畁䍁䅁䅕桂䡁䅕䅢瑁䕁䅉䅢療䝁䄸兢灂䝁䄴睚あ䝁䄸杢獁䍁䅁兔佂䍁䄰睖䩂䍁䅁䅋乂䝁䅕䅤祂䝁䄸克䅁䡁䥁䅁坁䅁䅁兔灂䝁䄴杢求䡁䅑睢畂䝁䅳兙䅁䅁䰴䅁睁䅁䅁兔灂䡁䅉兡桂䝁䄰䅉䉂䡁䅍督ㅂ䝁䄰䅣あ䝁䅅䅉䑂䝁䄸杢畂䝁䄸䅢求䅁䅁睤䄰䙁䅑䅁乂䝁䄸䅢灂䝁䄴兙杁䕁䅧党桂䝁䅷䅤潂䝁䅍兙祂䝁䅕䅉䩂䝁䄴睙畁䍁䅁䅋呂䕁䄴䅔杁䕁䅧党桂䝁䅷䅤潂䍁䅁睒祂䝁䄸兤睂䍁䅫䅁塁充䅁杖䅁䕁䄰睢獂䝁䅫杢桂䍁䅁䅓求䝁䅅䅢あ䝁䅧睙桂䡁䅉党獁䍁䅁兓畂䝁䅍杌杁䍁䅧睕佂䕁䅷䅉䥂䝁䅕兙獂䡁䅑䅡杁䕁䅣杣療䡁䅕䅣灁䅁䅁䉇䅅䉁䅙䅁乂䝁䄸杢あ䝁䅣睢瑂䝁䅕杣㕂䅁䅁䅦䅳䍁䄴䅁乂䝁䄸杢あ䝁䅣睢瑂䝁䅕杣㕂䍁䅷䅉䉂䕁䅷䅉潁䕁䄰党あ䡁䅉睢灁䅁䅁兦䅳䉁䅙䅁乂䝁䄸杢あ䡁䅁党獂䝁䅫党祂䅁䅁睋䅯䉁䅁䅁乂䝁䄸睢歂䡁䅫睊穂䅁䅁兒䅙䉁䅙䅁乂䝁䄸杣祂䝁䅫督あ䝁䄸睤畂䅁䅁硍䅉䕁䅁䅁乂䝁䄸杣あ䝁䅣兙湂䝁䅕䅉流䍁䅁杕求䝁䅅䅢杁䕁䅕督あ䝁䅅䅤求䍁䄸䅉䑂䍁䅙睕杁䍁䅧兊灁䅁䅁杦䅣䕁䅉䅁乂䝁䄸杣あ䝁䅣兙湂䝁䅕䅉䵂䝁䄸兙畂䡁䅍䅉䍂䝁䄸睢牂䍁䅁杖桂䝁䅷兤求䍁䅁䅋歁䑁䅁䅍睁䍁䅫䅁祂睂䅁䅖䅁䕁䄰睢あ䝁䄸杣灂䡁䅍䅤穂䍁䅁兓畂䡁䅍兤祂䝁䅅杢橂䝁䅕䅉䡂䡁䅉睢ㅂ䡁䅁䅉潁䙁䅍杔䵂䍁䅁䅕流䕁䅍䅉䡂䡁䅉睢ㅂ䡁䅁克䅁䍁剅䅁慁䅁䅁兔療䡁䅕杢あ䍁䅁䅔桂䡁䅕杣求䝁䅷䅁捃䅅䅁䅊䅁䕁䄰睢ㅂ䝁䄴䅤獂䝁䅅睡求䍁䅁䅖求䡁䅉杣桂䝁䅍党䅁䅁卯䅁⭁䅁䅁兔ㅂ䝁䄴兡橂䝁䅧䅉䉂䝁䄰党祂䝁䅫睙桂䝁䄴䅉卂䝁䅕兙穂䡁䅍兤祂䝁䅅杢橂䝁䅕䅉䑂䝁䄸䅁穁充䅁䅓䅁䕁䄰兤畂䝁䅫睙潂䍁䅁兑瑂䝁䅕杣灂䝁䅍兙畂䍁䅁杕求䝁䅅督穂䡁䅕杣桂䝁䄴睙求䍁䅁睑療䝁䄰䅣桂䝁䄴入䅁䑁剉䅁捂䅁䅁兔ㅂ䝁䄴兡橂䝁䅧兌䉂䝁䄰党祂䝁䅫睙桂䝁䄴䅉䥂䝁䄸䅢歂䝁䅫杢湂䍁䅁睑療䡁䅉䅣畁䍁䅁䅋呂䕁䄴䅔杁䙁䅁杊䑂䍁䅁睒祂䝁䄸兤睂䍁䅫䅁佁权䅁杈䅁䕁䄰兤あ䡁䅕兙獂䍁䅁睑療䝁䄰䅣桂䝁䄴入䅁䩁䜰䅁祁䅁䅁兔ㅂ䡁䅑兤桂䝁䅷䅉䝂䡁䅕杢歂䡁䅍杏杁䕁䅍睢瑂䝁䄰䅉呂䡁䅑睢橂䝁䅳䅁汁允䅁材䅁䕁䄰兤あ䡁䅕兙獂䍁䅁睢浂䍁䅁兑瑂䝁䅕杣灂䝁䅍兙杁䕁䅷兡浂䝁䅕䅉䩂䝁䄴督杁䕁䅍睢畁䅁䅁桐䅅䙁䅉䅁乂䡁䅕䅤ㅂ䝁䅅䅢杁䝁䄸杚杁䕁䅅兢求䡁䅉兡橂䝁䅅䅉䵂䝁䅫杚求䍁䅁兓畂䡁䅍兤祂䝁䅅杢橂䝁䅕䅉䑂䝁䄸兢睂䝁䅅杢㕂䅁䅁剐䅅䙁䄴䅁乂䡁䅕䅤ㅂ䝁䅅䅢杁䝁䄸杚杁䕁䄸兢桂䝁䅧兙杁䕁䅫杢穂䡁䅕杣桂䝁䄴睙求䍁䅁睑療䍁䄴䅉潁䙁䅍杔䵂䍁䅁䅔灂䝁䅙党杁䕁䅣杣療䡁䅕䅣灁䅁䅁睆䅯䝁䅙䅁乂䡁䅕䅤ㅂ䝁䅅䅢杁䝁䄸杚杁䕁䄸兢桂䝁䅧兙杁䕁䅫杢穂䡁䅕杣桂䝁䄴睙求䍁䅁睑療䝁䄰䅣桂䝁䄴入杁䍁䅧睕佂䕁䅷䅉䵂䝁䅫杚求䍁䅁睒祂䝁䄸兤睂䍁䅫䅁奁权䅁䅃䅁䕁䄴杏硁䅁䅁睯䅅䅁䅯䅁佂䑁䅯免睁䅁䅁睰䅅䅁䅯䅁佂䑁䅯免祁䅁䅁睶䅅䅁䅯䅁佂䑁䅯免穁䅁䅁全䅅䅁䅯䅁佂䑁䅯免ぁ䅁䅁䅷䅅䅁䅷䅁佂䑁䅯免㍁䑁䅧䅁䉄允䅁权䅁䕁䄴杏硁䑁䅫䅁歃允䅁䅃䅁䕁䄴杏祁䅁䅁兲䅅䅁䅧䅁佂䑁䅯睍䅁䵁䉉䅁䭁䅁䅁杔㙁䑁䅍䅍䅁䵁䜸䅁䥁䅁䅁杔㙁䑁䅑䅁䑄允䅁权䅁䕁䄴杏ぁ䑁䅁䅁汃允䅁䅃䅁䕁䄴杏ㅁ䅁䅁䅸䅅䅁䅧䅁佂䑁䅯李䅁䥁䉣䅁䥁䅁䅁杔㙁䑁䅣䅁䙄允䅁䅃䅁䕁䄴杏㑁䅁䅁睱䅅䅁䅧䅁佂䑁䅯兏䅁䵁䉙䅁䝁䅁䅁杔䉂䅁䅁睂䅁䍁䅙䅁佂䕁䅅兓䑂䍁䅁睑療䝁䄰䅣桂䝁䄴入杁䕁䅍睢歂䝁䅕䅉䅁䭁䠴䅁䵂䅁䅁杔䉂䕁䅫睑杁䕁䅑党穂䝁䅫睚畂䝁䅅䅤灂䝁䄸杢杁䝁䄸杣杁䕁䄰兙祂䝁䅳党あ䍁䅁兓畂䝁䅑兡橂䝁䅅䅤療䡁䅉䅉䅁䩁䡧䅁楁䅁䅁杔䉂䕁䅫睑杁䕁䅙兡獂䝁䅕杣杁䙁䅑入睂䝁䅕䅉䅁䱁䡫䅁ぁ䅁䅁杔䉂䕁䅫睑杁䙁䅉党睂䝁䄸杣あ䝁䅕䅚杁䕁䅫督穂䡁䅕党杁䕁䄴兙瑂䝁䅕䅉䅁䭁䡑䅁㉁䅁䅁杔䉂䕁䅫睑杁䙁䅉党睂䝁䄸杣あ䝁䅕䅚杁䕁䅫督穂䡁䅕党祂䍁䅁杔桂䝁䄰党杁䅁䅁睯䅣䅁䅙䅁佂䕁䅍䅁䭂䅄䅁䅘䅁䕁䄴睑杁䕁䅙兙祂䝁䄰䅉䍂䡁䅕杣求䝁䅅兤杁䕁䄰兤あ䡁䅕兙獂䍁䅁兓畂䡁䅍䅉䑂䝁䄸杌杁䍁䅧睕佂䕁䅷䅉兂䍁䅙睑杁䕁䅣杣療䡁䅕䅣灁䅁䅁硢䅅䅁䅙䅁佂䕁䅕䅁瑄睂䅁杂䅁䕁䄴䅓䅁䉁啣䅁䝁䅁䅁杔䭂䅁䅁光䅧䙁䄴䅁佂䕁䅯䅉乂䝁䅅杢ㅂ䝁䅙兙橂䡁䅑兤祂䝁䅕杣穂䍁䅁兓畂䡁䅍兤祂䝁䅅杢橂䝁䅕䅉䑂䝁䄸杌杁䍁䅧睕佂䕁䅷䅉兂䍁䅙睑杁䕁䅣杣療䡁䅕䅣灁䅁䅁硤䅅䅁䅙䅁佂䕁䄰䅁煂允䅁䅗䅁䕁䄴睔卂䕁䅍兑䵂䍁䅁兔ㅂ䡁䅑兤桂䝁䅷䅉䩂䝁䄴督ㅂ䡁䅉兙畂䝁䅍党杁䕁䅍睢畁䍁䅁䅋呂䕁䄴䅔杁䙁䅁杊䑂䍁䅁睒祂䝁䄸兤睂䍁䅫䅁䑃充䅁䅙䅁䕁䄴睔卂䕁䅍兑䵂䍁䅁兔ㅂ䡁䅑兤桂䝁䅷䅉䩂䝁䄴督ㅂ䡁䅉兙畂䝁䅍党杁䕁䅍睢瑂䡁䅁兙畂䡁䅫䅉潁䙁䅍杔䵂䍁䅁䅕流䕁䅍䅉䡂䡁䅉睢ㅂ䡁䅁克䅁䥁剑䅁䝁䅁䅁杔坂䅁䅁杌䄴䅁䅙䅁佂䙁䅫䅁睂允䅁杈䅁䕁䄴兙歂䝁䅕杣杁䙁䅑兙㉂䝁䅅睡療䝁䅷兡䅁䭁䱷䅁潁䅁䅁杔桂䝁䄴睙㕂䍁䅁䅒灂䝁䅅杢求䍁䅁兔ㅂ䝁䅕䅢獂䝁䅕杣䅁䕁䰴䅁䭁䅁䅁杔桂䡁䅁兙䅁䅁位䅁楁䅁䅁杔桂䡁䅁兙獁䍁䅁睑䉂䍁䅁䅋乂䝁䅕䅤祂䝁䄸克䅁䅁佑䅁畂䅁䅁杔桂䡁䅍䅡㉂䝁䅫䅢獂䝁䅕兌䕂䝁䅅杤灂䝁䅑督療䝁䄴兌瑁䕁䄰兤祂䝁䅙杣求䝁䅕督楂䝁䄸杣療䍁䄰兌䝂䡁䅉兙畂䝁䅳䅢灂䝁䄴䅌杁䙁䅑杔杁䍁䅧兔求䡁䅑杣療䍁䅫䅁㙁睅䅁䅙䅁䕁䄴兙穂䡁䅍兙ㅂ䍁䅁杕求䝁䅫杢穂䡁䅕杣桂䝁䄴睙求䍁䅁睒祂䝁䄸兤睂䍁䅁䅓獂䝁䅑睚穂䍁䅁䅋呂䕁䄴䅔杁䕁䅷兡浂䝁䅕䅉䡂䡁䅉睢ㅂ䡁䅁克䅁䍁䭁䅁睂䅁䅁杔桂䡁䅍督桂䡁䅕䅉卂䝁䅕兡畂䡁䅍兤祂䝁䅅杢橂䝁䅕䅉䡂䡁䅉睢ㅂ䡁䅁䅉䥂䝁䄸䅢歂䝁䅫杢湂䡁䅍䅉䵂䍁䄴䅕畁䍁䅁䅋呂䕁䄴䅔杁䕁䅷兡浂䝁䅕䅉䡂䡁䅉睢ㅂ䡁䅁克䅁䍁䭅䅁杁䅁䅁杔桂䡁䅑䅡桂䝁䄴䅉䕂䍁䄴䅉䝂䝁䅕䅢灂䡁䅧䅁啁睄䅁杋䅁䕁䄴兙あ䝁䅧兙畂䝁䅫党獂䍁䅁村畁䍁䅁睖桂䝁䅷䅢瑂䝁䅅杢䅁䥁呷䅁十䅁䅁杔桂䡁䅑兡療䝁䄴兙獂䅁䅁䅤䅅䙁䄴䅁佂䝁䅅䅤灂䝁䄸杢桂䝁䅷䅉䡂䝁䅕杢求䡁䅉兙獂䍁䅁䅓療䝁䅷䅚灂䝁䄴睚穂䍁䅁睑療䡁䅉䅣杁䍁䅧睕佂䕁䅷䅉兂䍁䅙睑杁䕁䅣杣療䡁䅕䅣灁䅁䅁䉓䅅䝁䅷䅁佂䝁䅅䅤灂䝁䄸杢桂䝁䅷䅉䡂䝁䅕杢求䡁䅉兙獂䍁䅁䅓療䝁䅷䅚灂䝁䄴睚穂䍁䅁睑療䡁䅉䅣療䡁䅉兙あ䝁䅫睢畂䍁䅁䅋呂䕁䄴䅔杁䙁䅁杊䑂䍁䅁睒祂䝁䄸兤睂䍁䅫䅁䩂充䅁䅙䅁䕁䄴兙あ䝁䅫睢畂䝁䅅䅢杁䕁䅣兤桂䡁䅉䅚灂䝁䅅杢杁䕁䅷兡浂䝁䅕䅉䩂䝁䄴督杁䕁䅍睢畁䍁䅁䅋呂䕁䄴䅔杁䕁䅷兡浂䝁䅕䅉䡂䡁䅉睢ㅂ䡁䅁克䅁䙁剁䅁あ䅁䅁杔桂䡁䅑兡療䝁䄴兙獂䍁䅁睒ㅂ䝁䅅杣歂䝁䅫兙畂䍁䅁䅔灂䝁䅙党杁䕁䅫杢穂䡁䅕杣桂䝁䄴睙求䍁䅁睑療䝁䄰䅣桂䝁䄴入杁䍁䅧睕佂䕁䅷䅉䵂䝁䅫杚求䍁䅁睒祂䝁䄸兤睂䍁䅫䅁剂充䅁杓䅁䕁䄴兙あ䝁䅫睢畂䝁䅅䅢杁䕁䅷兡浂䝁䅕䅉䡂䡁䅉睢ㅂ䡁䅁䅉潁䙁䅍杔䵂䍁䅁䅔灂䝁䅙党杁䕁䅣杣療䡁䅕䅣灁䅁䅁克䅯䍁䅷䅁佂䝁䅅䅤灂䝁䄸杢桂䝁䅷䅉塂䝁䅕督あ䝁䅕杣畂䍁䅁䅔灂䝁䅙党䅁䙁剳䅁兂䅁䅁杔桂䡁䅑兡療䝁䄴兙獂䍁䅁睖求䡁䅍䅤求䡁䅉杢杁䕁䅷兡浂䝁䅕䅉䩂䝁䄴督ㅂ䡁䅉兙畂䝁䅍党杁䕁䅍睢瑂䡁䅁兙畂䡁䅫䅁慂充䅁杕䅁䕁䄴兙あ䝁䅫睢畂䡁䅣兡歂䝁䅕䅉乂䡁䅕䅤ㅂ䝁䅅䅢杁䕁䅣杣療䡁䅕䅣杁䍁䅧睕佂䕁䅷䅉䵂䝁䅫杚求䍁䅁睒祂䝁䄸兤睂䍁䅫䅁ㅁ权䅁䅕䅁䕁䄴兙あ䝁䅫睢畂䡁䅣兡歂䝁䅕䅉乂䡁䅕䅤ㅂ䝁䅅䅢杁䕁䅣杣療䡁䅕䅣杁䍁䅧睕佂䕁䅷䅉兂䍁䅙睑杁䕁䅣杣療䡁䅕䅣灁䅁䅁睐䅯䉁䅯䅁佂䝁䅅杤求䝁䅕䅚杁䕁䅅杢㍂䝁䅅杣䅁䩁光䅁䵂䅁䅁杔桂䡁䅙兡湂䝁䅅䅤療䡁䅉督杁䕁䅣杣療䡁䅕䅣杁䕁䅫杢橂䍁䄴䅉潁䙁䅍杔䵂䍁䅁䅕流䕁䅍䅉䡂䡁䅉睢ㅂ䡁䅁克䅁䝁剕䅁佂䅁䅁杔桂䡁䅙兡湂䝁䅅䅤療䡁䅉督杁䕁䅣杣療䡁䅕䅣獁䍁䅁兓畂䝁䅍杌杁䍁䅧睕佂䕁䅷䅉兂䍁䅙睑杁䕁䅣杣療䡁䅕䅣灁䅁䅁桚䅅䍁䅙䅁佂䝁䅕兙獂䍁䅁兑畂䝁䅑杣求䡁䅣䅉䝂䡁䅕䅢獂䝁䅕杣䅁偁䱧䅁畁䅁䅁杔求䝁䅅䅢杁䕁䅍䅡桂䡁䅉䅢求䡁䅍䅉呂䝁䅍䅡畂䝁䅕兡歂䝁䅕杣䅁䍁䩅䅁睁䅁䅁杔求䝁䅫䅢杁䕁䅅杢あ䝁䅧睢畂䡁䅫䅉呂䡁䅁杣桂䝁䅍睡獂䝁䅫杢湂䅁䅁剔䅍䑁䅯䅁佂䝁䅕兡獂䍁䅁兒歂䡁䅣兙祂䝁䅑䅉呂䝁䅧党睂䝁䅧党祂䝁䅑䅉乂䝁䄸杣祂䝁䅕䅢獂䅁䅁硫䅁䍁䅧䅁佂䝁䅕兡獂䝁䅅䅉䉂䝁䅑杣灂䝁䅅杢桂䍁䅁杔灂䡁䅙兡桂䅁䅁䉤䅉䙁䅙䅁佂䝁䅕䅤杁䕁䅅䅚瑂䍁䅁兑穂䡁䅍党あ䡁䅍䅉呂䝁䅕䅣桂䡁䅉兙あ䝁䅕䅉流䍁䅁睕求䝁䅣䅉䉂䝁䅍睙あ䡁䅍䅉潁䍁䅑䅍睁䑁䅁克䅁䕁䡑䅁煁䅁䅁杔求䡁䅑䅉䉂䝁䅑兢杁䕁䅉睢畂䝁䅑督杁䍁䅧䅊睁䑁䅁䅍灁䅁䅁睱䅙䕁䅷䅁佂䝁䅕䅤杁䕁䅅䅚瑂䍁䅁睑桂䡁䅍䅡杁䍁䅙䅉䩂䝁䄴杤求䡁䅍䅤求䝁䅑䅉䉂䡁䅍督求䡁䅑督杁䍁䅧䅊睁䑁䅁䅍灁䅁䅁睂䅣䑁䅧䅁佂䝁䅕䅤杁䕁䅅䅚瑂䍁䅁睑療䝁䄰兢療䝁䄴䅉呂䡁䅑睢橂䝁䅳䅉潁䍁䅑䅍睁䑁䅁克䅁䑁䡳䅁獂䅁䅁杔求䡁䅑䅉䉂䝁䅑兢杁䕁䅑党浂䝁䅕杣祂䝁䅕䅚杁䙁䅁杣求䝁䄰兡ㅂ䝁䄰督獁䍁䅁兓畂䡁䅍䅤桂䝁䅷䅢瑂䝁䅕杢あ䡁䅍䅉䍂䝁䄸睢牂䝁䅕䅚杁䍁䅧䅊睁䑁䅁䅍灁䅁䅁杔䅣䙁䅧䅁佂䝁䅕䅤杁䕁䅅䅚瑂䍁䅁杒灂䡁䅉督あ䍁䅁䅔灂䝁䅕杢杁䙁䅉党桂䝁䅷䅉䙂䡁䅍䅤桂䡁䅑党杁䕁䅷睢桂䝁䄴督杁䍁䅧䅊睁䑁䅁䅍灁䅁䅁兎䅣䙁䅧䅁佂䝁䅕䅤杁䕁䅅䅚瑂䍁䅁兓畂䝁䅍睢瑂䝁䅕䅉䡂䝁䅕杢求䡁䅉兙あ䝁䅫杢湂䍁䅁䅕祂䝁䄸䅣求䡁䅉䅤灂䝁䅕督杁䍁䅧䅊睁䑁䅁䅍灁䅁䅁材䅣䑁䅷䅁佂䝁䅕䅤杁䕁䅅䅚瑂䍁䅁兔療䡁䅉䅤湂䝁䅅睚求䍁䅁䅔療䝁䅅杢穂䍁䅁䅋歁䑁䅁䅍睁䍁䅫䅁⽂睂䅁杒䅁䕁䄴党あ䍁䅁兑歂䝁䄰䅉偂䝁䅍睙ㅂ䡁䅁兡求䝁䅑䅉兂䡁䅉睢睂䝁䅕杣あ䝁䅫党穂䍁䅁䅋歁䑁䅁䅍睁䍁䅫䅁㥁睂䅁村䅁䕁䄴党あ䍁䅁兑歂䝁䄰䅉偂䡁䅑䅡求䡁䅉䅉䩂䝁䄴杤求䡁䅍䅤瑂䝁䅕杢あ䡁䅍䅉潁䍁䅑䅍睁䑁䅁克䅁䕁䡅䅁⭁䅁䅁杔求䡁䅑䅉䉂䝁䅑兢杁䙁䅁杣求䝁䅙党祂䡁䅉党歂䍁䅁睕あ䝁䄸睙牂䍁䅁䅋歁䑁䅁䅍睁䍁䅫䅁㍁睂䅁杗䅁䕁䄴党あ䍁䅁兑歂䝁䄰䅉兂䡁䅉党瑂䝁䅫兤瑂䡁䅍䅉流䍁䅁睑療䝁䄴督灂䝁䅑党祂䝁䅅䅤灂䝁䄸杢穂䍁䅁䅒ㅂ䝁䅕䅉潁䍁䅑䅍睁䑁䅁克䅁䕁䡉䅁䝂䅁䅁杔求䡁䅑䅉䉂䝁䅑兢杁䙁䅁杣療䡁䅁党祂䡁䅑兡求䡁䅍䅉浂䝁䄸杣杁䙁䅍兙獂䝁䅕䅉潁䍁䅑䅍睁䑁䅁克䅁䑁䠸䅁㉁䅁䅁杔求䡁䅑䅉䉂䝁䅑兢杁䙁䅉党桂䝁䅷䅉䙂䡁䅍䅤桂䡁䅑党杁䍁䅧䅊睁䑁䅁䅍灁䅁䅁䅧䅣䝁䅑䅁佂䝁䅕䅤杁䕁䅅䅚瑂䍁䅁杕求䝁䅅䅢杁䕁䅕督あ䝁䅅䅤求䍁䅁䅔療䝁䅅杢穂䍁䅁䅔求䡁䅍督杁䕁䅙兡祂䡁䅍䅤杁䕁䅷兡求䝁䄴督杁䍁䅧䅊睁䑁䅁䅍灁䅁䅁䅐䅣䕁䄴䅁佂䝁䅕䅤杁䕁䅅䅚瑂䍁䅁杕求䝁䅫杢穂䡁䅕杣桂䝁䄴睙求䍁䅁杕求䝁䅍睢㉂䝁䅕杣桂䝁䅉䅢求䍁䅁䅋歁䑁䅁䅍睁䍁䅫䅁㉁睂䅁䅑䅁䕁䄴党あ䍁䅁兑歂䝁䄰兡あ䡁䅑党歂䍁䅁䅒求䡁䅉兡㉂䝁䅅䅤灂䡁䅙党穂䍁䅁䅋歁䑁䅁䅍睁䍁䅫䅁摃䅆䅁杢䅁䕁䄴党あ䍁䅁睑桂䡁䅍䅡杁䕁䅍兙穂䝁䅧䅉䙂䡁䅅兤灂䡁䅙兙獂䝁䅕杢あ䡁䅍䅉桂䝁䄴䅚杁䙁䅍䅡療䡁䅉䅤杁䙁䅑党祂䝁䄰䅉䉂䡁䅍督求䡁䅑督杁䍁䅧䅊睁䑁䅁䅍灁䅁䅁䅑䅣䝁䅷䅁佂䝁䅕䅤杁䕁䅍䅡湂䍁䅁兡畂䍁䅁兖畂䡁䅉党桂䝁䅷兡㙂䝁䅕䅚杁䕁䅍兙睂䝁䅫䅤桂䝁䅷䅉䡂䝁䅅兡畂䡁䅍䅉䵂䝁䅕督穂䍁䅁䅖桂䡁䅧党穂䍁䅁䅋歁䑁䅁䅍睁䍁䅫䅁汁睂䅁杋䅁䕁䄴党あ䍁䅁睑獂䝁䅅兡瑂䡁䅍䅉卂䝁䅅䅤灂䝁䄸䅉潁䍁䅕克䅁䵁啅䅁祁䅁䅁杔求䡁䅑䅉䑂䝁䄸兢瑂䝁䅫督穂䝁䅫睢畂䍁䅁杕桂䡁䅑兡療䍁䅁䅋汁䍁䅫䅁十睂䅁䅣䅁䕁䄴党あ䍁䅁兓畂䝁䅍䅉䍂䝁䅕杚療䡁䅉党杁䕁䅫杢橂䍁䅁䅖桂䡁䅧睏杁䕁䅅杚あ䝁䅕杣杁䕁䅍睒杁䙁䅑兙㑂䍁䅷䅉兂䝁䄸䅢灂䝁䅍入杁䕁䅑兡㉂䍁䅁䅋歁䑁䅁䅍睁䍁䅫䅁奂睂䅁杆䅁䕁䄴党あ䍁䅁兓畂䝁䅍睢瑂䝁䅕䅁湄杂䅁䅊䅁䕁䄴党あ䍁䅁兓畂䝁䅍睢瑂䝁䅕䅉潁䍁䅑䅍睁䑁䅁克䅁佁䜴䅁獁䅁䅁杔求䡁䅑䅉䩂䝁䄴睙療䝁䄰党杁䕁䅣杣療䡁䅣䅤潂䍁䅁䅋汁䍁䅫䅁扁睂䅁杓䅁䕁䄴党あ䍁䅁兓畂䝁䅍睢瑂䝁䅕䅉療䝁䅙䅉兂䡁䅉睢あ䝁䅕睙あ䝁䅕䅚杁䕁䅍党獂䝁䅷督杁䍁䅧䅊睁䑁䅁䅍灁䅁䅁睚䅣䙁䄴䅁佂䝁䅕䅤杁䕁䅫杢あ䝁䅕杣求䡁䅍䅤穂䍁䅁兙畂䝁䅑䅉䩂䝁䄴杤求䡁䅍䅤瑂䝁䅕杢あ䍁䅁兓畂䝁䅍睢瑂䝁䅕䅉䕂䡁䅕党杁䍁䅧䅊睁䑁䅁䅍灁䅁䅁杧䅣䑁䅯䅁佂䝁䅕䅤杁䕁䅫杢㉂䝁䅕督あ䝁䄰党畂䡁䅑䅉䩂䝁䄴睙療䝁䄰党杁䕁䅕兙祂䝁䄴党歂䅁䅁䄵䅙䕁䅧䅁佂䝁䅕䅤杁䕁䅫杢㉂䝁䅕督あ䝁䄰党畂䡁䅑䅉䩂䝁䄴睙療䝁䄰党杁䕁䅕兙祂䝁䄴党歂䍁䅁䅋歁䑁䅁䅍睁䍁䅫䅁潄杂䅁杈䅁䕁䄴党あ䍁䅁兔桂䡁䅉睚灂䝁䄴䅉潁䍁䅕克䅁䵁啑䅁潁䅁䅁杔求䡁䅑䅉兂䡁䅉党瑂䝁䅫兤瑂䡁䅍䅉䙂䝁䅅杣畂䝁䅕䅚䅁佁䝁䅁㉁䅁䅁杔求䡁䅑䅉兂䡁䅉党瑂䝁䅫兤瑂䡁䅍䅉䙂䝁䅅杣畂䝁䅕䅚杁䍁䅧䅊睁䑁䅁䅍灁䅁䅁眷䅙䙁䄴䅁佂䝁䅕䅤杁䙁䅁杣求䝁䄰兡ㅂ䝁䄰督杁䕁䅕兙祂䝁䄴党歂䍁䄸䅉䡂䡁䅉睢穂䡁䅍䅉兂䡁䅉党瑂䝁䅫兤瑂䡁䅍䅉䙂䝁䅅杣畂䝁䅕䅚杁䍁䅧兊灁䅁䅁桷䅑䑁䅧䅁佂䝁䅕䅤杁䙁䅁杣求䝁䄰兡ㅂ䝁䄰督杁䙁䅣杣灂䡁䅑䅤求䝁䄴䅉潁䍁䅑䅍睁䑁䅁克䅁偁䝉䅁䅂䅁䅁杔求䡁䅑䅉兂䡁䅉党瑂䝁䅫兤瑂䡁䅍䅉塂䡁䅉兡あ䡁䅑党畂䍁䅁睒祂䝁䄸睤あ䝁䅧䅉潁䍁䅕克䅁䉁䡫䅁䕂䅁䅁杔求䡁䅑䅉兂䡁䅉党瑂䝁䅫兤瑂䡁䅍䅉塂䡁䅉兡あ䡁䅑党畂䍁䄸䅉䉂䡁䅙睚杁䕁䅍杊呂䍁䅁䅋汁䍁䅫䅁瑁睂䅁杓䅁䕁䄴党あ䍁䅁䅕祂䝁䅕兢灂䡁䅕兢穂䍁䅁睖祂䝁䅫䅤あ䝁䅕杢癁䍁䅁兑㉂䝁䅣䅉䙂䡁䅅兤灂䡁䅑入杁䍁䅧䅥灁䅁䅁剱䅑䝁䅷䅁佂䝁䅕䅤杁䙁䅁杣求䝁䄰兡ㅂ䝁䄰督杁䙁䅣杣灂䡁䅑䅤求䝁䄴睌杁䙁䅍䅤桂䡁䅑兤あ䝁䄸杣㕂䍁䅁睑桂䡁䅁兡あ䝁䅅䅢杁䍁䅙䅉呂䡁䅕杣睂䝁䅷兤穂䍁䅁䅋㑂䍁䅫䅁㉃䅆䅁杢䅁䕁䄴党あ䍁䅁䅕祂䝁䅕兢灂䡁䅕兢穂䍁䅷䅉䉂䝁䄴杢ㅂ䝁䅫䅤㕂䍁䅁杊杁䙁䅍杌䑂䍁䄴䅉䑂䝁䄸杢穂䝁䅫䅚求䡁䅉兙あ䝁䅫睢畂䡁䅍䅉䡂䡁䅉睢㍂䡁䅑䅡杁䍁䅧兊灁䅁䅁硃䅕䙁䅯䅁佂䝁䅕䅤杁䙁䅉党桂䝁䅷兡㙂䝁䅕䅚杁䕁䅍兙睂䝁䅫䅤桂䝁䅷䅉䡂䝁䅅兡畂䡁䅍䅉䵂䝁䅕督穂䍁䅁䅖桂䡁䅧党穂䍁䅁䅋歁䑁䅁䅍睁䍁䅫䅁煁睂䅁杔䅁䕁䄴党あ䍁䅁杕求䝁䅍党灂䡁䅙兙楂䝁䅷党穂䍁䅁杚祂䝁䄸兢杁䕁䅅杚浂䝁䅫䅢灂䝁䅅䅤求䡁䅍䅉潁䍁䅑䅍睁䑁䅁克䅁䥁䡅䅁䅂䅁䅁杔求䡁䅑䅉卂䝁䅕兡畂䡁䅍兤祂䝁䅅杢橂䝁䅕䅉兂䡁䅉党瑂䝁䅫兤瑂䡁䅍䅉潁䍁䅑䅍睁䑁䅁克䅁䙁䠰䅁䥂䅁䅁杔求䡁䅑䅉卂䝁䅕兡畂䡁䅍兤祂䝁䅅杢橂䝁䅕䅉兂䡁䅉党瑂䝁䅫兤瑂䡁䅍䅉䡂䡁䅉睢㍂䡁䅑䅡杁䍁䅧兊灁䅁䅁剈䅕䑁䅁䅁佂䝁䅕䅤杁䙁䅑睢あ䝁䅅䅢杁䕁䅅督穂䝁䅕䅤穂䍁䅁䅋歁䑁䅁䅍睁䍁䅫䅁牄杂䅁䅐䅁䕁䄴党あ䍁䅁兖畂䝁䅑党祂䡁䅣杣灂䡁䅑兡畂䝁䅣䅉䡂䝁䅅兡畂䡁䅍䅉潁䍁䅑䅍睁䑁䅁克䅁䉁䡕䅁䍂䅁䅁杔求䡁䅑䅉婂䝁䅫党獂䝁䅑䅉療䝁䄴䅉䩂䝁䄴杤求䡁䅍䅤求䝁䅑䅉䉂䡁䅍督求䡁䅑督杁䍁䅧兊灁䅁䅁䄹䅙䉁䅯䅁佂䝁䅕睤杁䕁䅧兙祂䡁䅑杚療䡁䅉䅚䅁乁呑䅁㉂䅁䅁杔求䡁䅣䅉䭂䝁䅕杣穂䝁䅕入杁䕁䄰兙畂䡁䅕杚桂䝁䅍䅤ㅂ䡁䅉党祂䡁䅍䅉䩂䝁䄴督ㅂ䡁䅉兙畂䝁䅍党杁䕁䅍睢瑂䡁䅁兙畂䡁䅫䅉潁䙁䅍杔䵂䍁䅁䅕流䕁䅍䅉䡂䡁䅉睢ㅂ䡁䅁克䅁䡁剧䅁奁䅁䅁杔求䡁䅣䅉偂䡁䅉䅢求䝁䅅杢穂䅁䅁桶䅅䕁䅉䅁佂䝁䅕睤杁䕁䄸杣獂䝁䅕兙畂䡁䅍兌乂䝁䅕䅤桂䝁䅫杣灂䝁䅕䅌杁䕁䅷兑杁䍁䅧兔求䡁䅑杣療䍁䅫䅁㝃充䅁杅䅁䕁䄴党㍂䍁䅁兗療䡁䅉睡䅁䡁䉙䅁敂䅁䅁杔求䡁䅣䅉婂䝁䄸杣牂䍁䅁䅔灂䝁䅙党杁䕁䅫杢穂䡁䅕杣桂䝁䄴睙求䍁䅁睒祂䝁䄸兤睂䍁䅁䅋呂䕁䄴䅔杁䕁䅷兡浂䝁䅕䅉䡂䡁䅉睢ㅂ䡁䅁克䅁䅁䥙䅁捂䅁䅁杔求䡁䅣䅉婂䝁䄸杣牂䍁䄰杔求䡁䅣兙祂䝁䅳兌䭂䝁䅕杣穂䝁䅕入杁䕁䅍兡あ䡁䅫䅌杁䕁䄴兗瑁䕁䄴杓瑁䙁䅁兑杁䍁䅧兔求䡁䅑杣療䍁䅫䅁㍂允䅁杄䅁䕁䄴党㍂䝁䅅杣牂䅁䅁睈䅧䉁䅷䅁佂䝁䅕睤睂䝁䄸杣あ䍁䅁村求䝁䅅睙潂䅁䅁睔䅯䍁䅧䅁佂䝁䅫睙潂䝁䄸䅢桂䡁䅍䅉䥂䝁䅅杣祂䝁䄸来杁䕁䅫兓䩂䅁䅁睵䄰䑁䅧䅁佂䝁䅫睙潂䝁䄸䅢桂䡁䅍䅉䥂䝁䅕䅢瑂䡁䅕䅤潂䍁䅁杤療䝁䄴䅉乂䝁䄸䅢あ䝁䅳党䅁䩁䨸䅁䝁䅁䅁杔療䅁䅁杚䅅䍁䅙䅁佂䝁䄸党獂䝁䅕党畂䍁䅁䅖畁䍁䅁䅒療䝁䅕䅢湂䝁䅕杣䅁䱁倸䅁䭂䅁䅁杔療䝁䄴兙浂䝁䅙兡獂䝁䅫兙あ䝁䅕䅚杁䙁䅉党灂䝁䄴督杁䕁䅅督穂䡁䅕兢求䝁䅑睌杁䕁䅣䅕塂䍁䅁䅋汁䍁䅫䅁硁睂䅁䅩䅁䕁䄴睢祂䡁䅑䅡杁䕁䅍兙祂䝁䄸䅢灂䝁䄴兙杁䕁䅙兙祂䝁䄰䅉䍂䡁䅕杣求䝁䅅兤杁䕁䄰兤あ䡁䅕兙獂䍁䅁兓畂䡁䅍兤祂䝁䅅杢橂䝁䅕䅉䑂䝁䄸兢睂䝁䅅杢㕂䍁䅁䅋呂䕁䄴䅔杁䙁䅁杊䑂䍁䅁睒祂䝁䄸兤睂䍁䅫䅁睂充䅁䅖䅁䕁䄴睢祂䡁䅑䅡杁䙁䅁睢祂䡁䅑兌呂䝁䅅杣桂䡁䅍睢あ䝁䅅兌䍂䡁䅉兙歂䝁䅕杢あ䝁䄸杢獁䍁䅁杒䵂䍁䅁䅋乂䝁䅕䅤祂䝁䄸克䅁䩁伴䅁坁䅁䅁杔療䡁䅉䅤潂䝁䅉杣療䝁䄸睡䅁䡁䥷䅁啁䅁䅁杔療䡁䅉䅤潂䝁䅕兙穂䡁䅑䅁楂允䅁䅙䅁䕁䄴睢祂䡁䅑䅡㍂䝁䅕督あ䝁䅕杣畂䍁䅁兔ㅂ䡁䅑䅢杁䕁䅷兡浂䝁䅕䅉䩂䝁䄴督杁䕁䅍睢畁䍁䅁䅋呂䕁䄴䅔杁䕁䅷兡浂䝁䅕䅉䡂䡁䅉睢ㅂ䡁䅁克䅁䉁䥁䅁㑂䅁䅁杔療䡁䅉䅤潂䡁䅣党穂䡁䅑党祂䝁䄴䅉乂䡁䅕䅤ㅂ䝁䅅䅢杁䕁䅷兡浂䝁䅕䅉䩂䝁䄴督ㅂ䡁䅉兙畂䝁䅍党杁䕁䅍睢瑂䡁䅁兙畂䡁䅫䅉潁䙁䅍杔䵂䍁䅁䅔灂䝁䅙党杁䕁䅣杣療䡁䅕䅣灁䅁䅁充䅧䉁䅁䅁佂䝁䄸杣㍂䝁䅅䅢牂䅁䅁杈䄰䕁䅙䅁佂䡁䅕睙獂䝁䅕兙祂䍁䅁兒獂䝁䅕睙あ䡁䅉兡橂䍁䅁兓畂䡁䅍兤祂䝁䅅杢橂䝁䅕䅉䵂䝁䅫兢灂䡁䅑党歂䅁䅁桪䅅䑁䄴䅁佂䡁䅕睙獂䝁䅕兙祂䍁䅁兒獂䝁䅕睙あ䡁䅉兡橂䍁䅁兓畂䡁䅍兤祂䝁䅅杢橂䝁䅕䅉䵂䡁䅑䅚䅁䥁到䅁䝁䅁䅁睔䥂䅁䅁睵䅙䅁䅙䅁偂䕁䅳䅁卄睃䅁杂䅁䕁䄸杕䅁䅁䭕䅁十䅁䅁睔橂䝁䅍兤睂䝁䅫党歂䅁䅁䄯䅁䡁䄴䅁偂䝁䅍睙ㅂ䡁䅁兡求䝁䅑杏杁䙁䅉兒杁䙁䅁杣療䡁䅁党祂䡁䅑入㙁䍁䅁兓畂䡁䅙党穂䡁䅑兢求䝁䄴䅤杁䙁䅙兙獂䡁䅕党杁䝁䅷党穂䡁䅍䅉䙂䝁䄴睙癁䍁䅁䅖療䡁䅑兙獂䍁䅁杕䙂䍁䅁䅋汁䍁䅫䅁㙂睂䅁䅉䅁䕁䄸杚浂䝁䅫睙求䡁䅉睊穂䍁䅁杔桂䝁䄰党杁䅁䅁䅏䅙䅁䅷䅁偂䝁䅣䅚求䝁䄴䅁佁睄䅁杏䅁䕁䄸睚歂䝁䅕杢瑁䕁䅍䅢求䝁䅅杣浂䝁䅫党獂䝁䅑䅌杁䙁䅕䅖杁䍁䅧兔求䡁䅑杣療䍁䅫䅁十睄䅁杘䅁䕁䄸䅡灂䝁䄸䅉佂䝁䅅䅤灂䝁䄸杢桂䝁䅷䅉乂䡁䅕䅤ㅂ䝁䅅䅢杁䕁䅧睢獂䝁䅑兡畂䝁䅣督杁䍁䅧睕佂䕁䅷䅉䵂䝁䅫杚求䍁䅁睒祂䝁䄸兤睂䍁䅫䅁扃充䅁条䅁䕁䄸䅡灂䝁䄸䅉佂䝁䅅䅤灂䝁䄸杢桂䝁䅷䅉乂䡁䅕䅤ㅂ䝁䅅䅢杁䕁䅧睢獂䝁䅑兡畂䝁䅣督獁䍁䅁兓畂䝁䅍杌杁䍁䅧睕佂䕁䅷䅉䵂䝁䅫杚求䍁䅁睒祂䝁䄸兤睂䍁䅫䅁捃充䅁䅈䅁䕁䄸睡獂䝁䅅䅡療䝁䄰兙杁䕁䅍兡あ䡁䅫䅁剄睃䅁䅎䅁䕁䄸睡獂䝁䅅䅡療䝁䄰兙杁䕁䅍兡あ䡁䅫䅌杁䕁䄸睓杁䍁䅧兔求䡁䅑杣療䍁䅫䅁噄睃䅁䅘䅁䕁䄸䅢歂䍁䅁杕求䡁䅁兤楂䍁䅁兓畂䡁䅑党祂䝁䄴兙あ䝁䅫睢畂䝁䅅䅢杁䕁䅍睢祂䡁䅁杌杁䍁䅧睕佂䕁䅷䅉兂䍁䅙睑杁䕁䅣杣療䡁䅕䅣灁䅁䅁剰䅅䝁䄴䅁偂䝁䅷䅚杁䙁䅉党睂䡁䅕杙獂䝁䅫睙杁䕁䅫杢あ䝁䅕杣畂䝁䅅䅤灂䝁䄸杢桂䝁䅷䅉䑂䝁䄸杣睂䝁䄸杣桂䡁䅑兡療䝁䄴䅉潁䙁䅍杔䵂䍁䅁䅕流䕁䅍䅉䡂䡁䅉睢ㅂ䡁䅁克䅁䭁剑䅁䵁䅁䅁睔瑂䝁䅅䅡桂䅁䅁䄷䅣䕁䅧䅁偂䝁䄰兙潂䝁䅅兌䑂䝁䄸兤畂䝁䅍兡獂䍁䅁村獂䡁䅕杚浂䡁䅍䅌杁䕁䄴兒瑁䕁䅫兑杁䍁䅧兔求䡁䅑杣療䍁䅫䅁灄睂䅁杉䅁䕁䄸杢求䍁䅁兑瑂䝁䅕杣灂䝁䅍兙畂䍁䅁杕療䡁䅣䅁楁权䅁䅋䅁䕁䄸杢求䍁䅁兑瑂䝁䅕杣灂䝁䅍兙畂䍁䅁睕硂䡁䅕兙祂䝁䅕䅁䙂权䅁䅋䅁䕁䄸杢求䍁䅁兑ㅂ䡁䅑睢杁䕁䅍䅢ㅂ䝁䅉䅉䕂䡁䅉兡㉂䝁䅕䅁㥂䅄䅁杈䅁䕁䄸杢求䍁䅁村桂䝁䅷兙杁䙁䅁䅢桂䡁䅯兙䅁乁䬴䅁睁䅁䅁睔畂䝁䅕䅉䑂䝁䅅兢求䡁䅉睢畂䍁䅁䅓灂䝁䅷䅢杁䕁䅍兡祂䝁䅍䅢求䅁䅁末䅷䍁䅑䅁偂䝁䄴党杁䕁䅍睢祂䡁䅁睢祂䝁䅅䅤求䍁䅁睖桂䡁䅫䅁卄元䅁䅌䅁䕁䄸杢求䍁䅁兒桂䡁䅍䅤杁䙁䅣兙橂䝁䅳党祂䍁䅁䅒祂䝁䅫杤求䅁䅁桎䅁䍁䅁䅁偂䝁䄴党杁䕁䅕䅥睂䡁䅉党穂䡁䅍䅉塂䝁䅅入䅁䡁估䅁煁䅁䅁睔畂䝁䅕䅉䝂䝁䅫杢桂䝁䄴睙灂䝁䅅䅢杁䕁䅍党畂䡁䅑党祂䅁䅁儱䄰䍁䅑䅁偂䝁䄴党杁䕁䅙兡畂䝁䅅杢橂䝁䅫兙獂䍁䅁睖桂䡁䅫䅁敃充䅁䅋䅁䕁䄸杢求䍁䅁杒療䡁䅕杢あ䝁䅅兡畂䍁䅁睕硂䡁䅕兙祂䝁䅕䅁捁睃䅁䅊䅁䕁䄸杢求䍁䅁睒求䝁䄴党祂䝁䅅䅢杁䕁䅑杣灂䡁䅙党䅁䕁卣䅁潁䅁䅁睔畂䝁䅕䅉䡂䡁䅉党求䝁䄴睤灂䝁䅍䅡杁䙁䅁䅢桂䡁䅯兙䅁䵁剕䅁流䅁䅁睔畂䝁䅕䅉䥂䝁䅅杣あ䝁䅙睢祂䝁䅑䅉兂䝁䅷兙㙂䝁䅅䅁䡄元䅁䅊䅁䕁䄸杢求䍁䅁䅔灂䝁䄴督橂䝁䄸䅤あ䍁䅁杕療䝁䅅䅚䅁䭁卫䅁杁䅁䅁睔畂䝁䅕䅉乂䝁䄸睢歂䡁䅫䅉兂䝁䅷兙㙂䝁䅅䅁潃䅃䅁䅊䅁䕁䄸杢求䍁䅁兔ㅂ䡁䅑兤桂䝁䅷䅉䉂䡁䅙党畂䡁䅕党䅁乁余䅁睁䅁䅁睔畂䝁䅕䅉佂䝁䅅䅤灂䝁䄸杢桂䝁䅷䅉䵂䝁䅫杚求䍁䅁䅒祂䝁䅫杤求䅁䅁杋䅯䍁䅯䅁偂䝁䄴党杁䕁䄴兙あ䝁䅫睢畂䡁䅣兡歂䝁䅕䅉兂䝁䅷兙㙂䝁䅅䅁㑁权䅁䅉䅁䕁䄸杢求䍁䅁䅕桂䡁䅉睡杁䕁䅍兡祂䝁䅍䅢求䅁䅁䉄䅑䍁䅑䅁偂䝁䄴党杁䙁䅍党桂䡁䅁睢祂䡁䅑䅉兂䝁䅷兙㙂䝁䅅䅁㥃杅䅁李䅁䕁䄸杢求䍁䅁睕求䝁䅍兤祂䝁䅫䅤㕂䍁䅁村求䝁䄴党浂䝁䅫䅤杁䙁䅁䅢桂䝁䅍党䅁䱁䨰䅁煁䅁䅁睔畂䝁䅕䅉呂䡁䅑兙あ䝁䅕䅉䝂䝁䅅杣瑂䍁䅁䅕獂䝁䅅来桂䅁䅁杌䅧䍁䄴䅁偂䝁䄴党杁䙁䅍䅤桂䡁䅑党杁䙁䅍䅤祂䝁䅕党あ䍁䅁䅕獂䝁䅅来桂䅁䅁東䅳䑁䅧䅁偂䝁䄴党杁䙁䅍兤畂䍁䅁䅔灂䝁䅙党杁䕁䅕䅥求䝁䅍兤あ䝁䅫杤求䍁䅁䅕桂䡁䅉睡䅁䵁䭫䅁楁䅁䅁睔畂䝁䅕䅉啂䝁䄸睤求䡁䅉䅉呂䡁䅅兤桂䡁䅉党䅁䙁䉫䅁坂䅁䅁睔畂䝁䅕䅉婂䡁䅉䅉䵂䝁䄸督穂䍁䅁杕求䡁䅍党祂䡁䅙党杁䕁䅑党㉂䍁䄸䅉硁䙁䅫杣杁䙁䅁杣灂䝁䄸杣杁䕁䅍杊呂䍁䅁䅋汁䍁䅫䅁桁睂䅁杘䅁䕁䄸杢求䕁䅅兢求䡁䅉兡橂䝁䅅䅉䝂䝁䅫杢桂䝁䄴睙灂䝁䅅䅢杁䙁䅁兙祂䡁䅑杢求䡁䅉督杁䍁䅧睕佂䕁䅷䅉䵂䝁䅫杚求䍁䅁睒祂䝁䄸兤睂䍁䅫䅁䉂权䅁条䅁䕁䄸杢求䕁䅅兢求䡁䅉兡橂䝁䅅䅉䝂䝁䅫杢桂䝁䄴睙灂䝁䅅䅢杁䙁䅁兙祂䡁䅑杢求䡁䅉督獁䍁䅁兓畂䝁䅍杌杁䍁䅧睕佂䕁䅷䅉䵂䝁䅫杚求䍁䅁睒祂䝁䄸兤睂䍁䅫䅁䍂权䅁杋䅁䕁䄸䅣求䡁䅉兙あ䝁䅫杢湂䍁䅁兔桂䡁䅉睚灂䝁䄴䅉潁䍁䅕克䅁䱁啑䅁流䅁䅁睔睂䝁䅕杣桂䡁䅑兡畂䝁䅣䅉卂䕁䄸兑䉂䍁䅁䅋汁䍁䅫䅁瑃䅆䅁杊䅁䕁䄸䅣求䡁䅉兙あ䝁䅫杢湂䍁䅁杕偂䕁䅅兒杁䍁䅧兊灁䅁䅁硲䅑䙁䅙䅁偂䡁䅁党祂䝁䅅䅤灂䝁䄴睚杁䙁䅉睔䉂䕁䅕䅉楂䝁䅕杚療䡁䅉党杁䙁䅕杢祂䝁䅕兙獂䝁䅫来求䝁䅑䅉䡂䝁䅅兡畂䡁䅍䅉潁䍁䅕克䅁䱁啅䅁潁䅁䅁睔睂䝁䅕杣桂䡁䅑兡畂䝁䅣䅉卂䝁䅅䅤灂䝁䄸䅉潁䍁䅕克䅁䅁䡉䅁慁䅁䅁睔睂䡁䅑兡療䝁䄴督㙁䍁䅁杔䉂䑁䄰䅁癁杂䅁䅈䅁䕁䄸䅣あ䝁䅫睢畂䡁䅍杏杁䕁䄴兑㥁䑁䅁䅁䵄睂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来䅅䡁䅙䅁偂䡁䅁䅤灂䝁䄸杢穂䑁䅯睑ㅂ䡁䅉杣㥁䙁䅕睕䕂䍁䅷兔桂䝁䅣児呂䕁䄴䅔穂䡁䅑兙畂䝁䅑兙祂䝁䅑䅌䑂䝁䄸杢㉂䕁䄰党あ䝁䅧睢歂䑁䄰睕佂䕁䅷杣求䝁䅍睢瑂䝁䄰党畂䝁䅑党歂䅁䅁硑䅑䝁䅁䅁偂䡁䅉䅚灂䝁䄴兙祂䡁䅫䅉䩂䝁䄴䅚㉂䝁䅷䅉䉂䝁䄴杢㙁䍁䅁村求䝁䄴党浂䝁䅫䅤杁䙁䅉兙あ䝁䅫睢㙁䍁䅁䅕祂䝁䅕兢灂䡁䅕兢穂䍁䅁䅋汁䍁䅫䅁㍁兆䅁杕䅁䕁䄸杣歂䝁䅫杢桂䡁䅉入杁䕁䅫杢歂䡁䅙䅢杁䕁䅅杢畂䑁䅯䅉䑂䝁䄸兢瑂䝁䅫督穂䝁䅫睢畂䍁䅁杕桂䡁䅑兡療䍁䅁䅋汁䍁䅫䅁塂兆䅁䅙䅁䕁䄸杣歂䝁䅫杢桂䡁䅉入杁䕁䅫杢歂䡁䅙䅢杁䕁䅅杢畂䑁䅯䅉䙂䡁䅧䅣求䝁䄴督求䍁䅁杕桂䡁䅑兡療䑁䅯䅉兂䡁䅉党瑂䝁䅫兤瑂䡁䅍䅉潁䍁䅕克䅁䕁噳䅁浂䅁䅁睔祂䝁䅑兡畂䝁䅅杣㕂䍁䅁兓畂䝁䅑杤獂䍁䅁兑畂䝁䄴杏杁䙁䅁杣求䝁䄰兡ㅂ䝁䄰督杁䍁䅙䅉䑂䝁䄸杢穂䝁䅫䅚穂䑁䅯䅉䍂䡁䅫䅉䵂䕁䄸村杁䍁䅧兊灁䅁䅁硇䅕䙁䅧䅁偂䡁䅉䅚灂䝁䄴兙祂䡁䅫䅉䵂䝁䅫杚求䍁䅁杏杁䕁䅉党畂䝁䅕杚灂䡁䅑䅉卂䝁䅅䅤灂䝁䄸杏杁䙁䅁杣求䝁䄰兡ㅂ䝁䄰督杁䍁䅧兊灁䅁䅁案䅕䕁䅯䅁偂䡁䅉䅚灂䝁䄴兙祂䡁䅫䅉䵂䝁䅫杚求䍁䅁杏杁䕁䅍睢瑂䝁䄰兡穂䡁䅍兡療䝁䄴䅉卂䝁䅅䅤灂䝁䄸䅉潁䍁䅕克䅁䙁噙䅁奂䅁䅁睔祂䝁䅑兡畂䝁䅅杣㕂䍁䅁䅔灂䝁䅙党杁䑁䅯䅉䙂䡁䅧䅣求䝁䄴督求䍁䅁杕桂䡁䅑兡療䑁䅯䅉兂䡁䅉党瑂䝁䅫兤瑂䡁䅍䅉潁䍁䅕克䅁䕁噫䅁奂䅁䅁睔祂䝁䅑兡畂䝁䅅杣㕂䍁䅁䅔灂䝁䅙党杁䑁䅯䅉䵂䝁䅅䅣穂䝁䅕䅉流䍁䅁睕ㅂ䡁䅉杣求䝁䄴䅚求䡁䅉䅉卂䝁䅅䅤灂䝁䄸䅉潁䍁䅕克䅁䝁噉䅁敂䅁䅁睔祂䝁䅑兡畂䝁䅅杣㕂䍁䅁䅔灂䝁䅙党杁䑁䅯䅉兂䡁䅉党瑂䝁䅫兤瑂䡁䅍䅉流䍁䅁睑療䝁䄴督灂䝁䅑督㙁䍁䅁村㕂䍁䅁䅔偂䕁䅉䅉潁䍁䅕克䅁䑁噫䅁楂䅁䅁睔祂䝁䅑兡畂䝁䅅杣㕂䍁䅁睕ㅂ䡁䅁䅣杁䕁䅍睢畂䡁䅑督㙁䍁䅁村求䝁䄴党浂䝁䅫䅤杁䙁䅉兙あ䝁䅫睢㙁䍁䅁䅕祂䝁䅕兢灂䡁䅕兢穂䍁䅁䅋汁䍁䅫䅁噁兆䅁䅖䅁䕁䄸杣歂䝁䅫杢桂䡁䅉入杁䙁䅍兤睂䡁䅁䅉䑂䝁䄸杢あ䡁䅍杏杁䕁䅍睢瑂䝁䄰兡穂䡁䅍兡療䝁䄴䅉卂䝁䅅䅤灂䝁䄸䅉潁䍁䅕克䅁䙁噧䅁楂䅁䅁睔祂䝁䅑兡畂䝁䅅杣㕂䍁䅁睕ㅂ䡁䅁䅣杁䕁䅍睢畂䡁䅑督㙁䍁䅁兒㑂䡁䅁党畂䡁䅍党杁䙁䅉兙あ䝁䅫睢㙁䍁䅁䅕祂䝁䅕兢灂䡁䅕兢穂䍁䅁䅋汁䍁䅫䅁䉂兆䅁䅡䅁䕁䄸杣歂䝁䅫杢桂䡁䅉入杁䙁䅍兤睂䡁䅁䅉䑂䝁䄸杢あ䡁䅍杏杁䙁䅁杣求䝁䄰兡ㅂ䝁䄰督杁䍁䅙䅉䑂䝁䄸杢穂䝁䅫䅚穂䑁䅯䅉䍂䡁䅫䅉䵂䕁䄸村杁䍁䅧兊灁䅁䅁桌䅕䕁䅉䅁偂䡁䅉兡湂䝁䅫杢桂䝁䅷䅉䩂䝁䄴杤求䡁䅍䅤瑂䝁䅕杢あ䍁䅁䅋瑂䝁䄰睌歂䝁䅑睌㕂䡁䅫入㕂䍁䅫䅁牃睂䅁䅅䅁䕁䄸杣獂䝁䅅杢歂䝁䄸䅁䅂睄䅁䅔䅁䕁䄸杣獂䝁䅅杢歂䝁䄸兌䱂䝁䅫督穂䝁䅫兢瑂䝁䅕党瑁䙁䅍兙畂䝁䅙睢祂䝁䅑䅌杁䕁䅙䅔杁䍁䅧兔求䡁䅑杣療䍁䅫䅁㝁睄䅁杓䅁䕁䄸䅤潂䍁䅁兑流䕁䅧杏杁䕁䅉党畂䝁䅕杚灂䡁䅑䅉卂䝁䅅䅤灂䝁䄸杏杁䙁䅁杣求䝁䄰兡ㅂ䝁䄰督杁䍁䅧兊灁䅁䅁䉈䅕䑁䅷䅁偂䡁䅑䅡杁䕁䅅杊䥂䑁䅯䅉䑂䝁䄸兢瑂䝁䅫督穂䝁䅫睢畂䍁䅁杕桂䡁䅑兡療䍁䅁䅋汁䍁䅫䅁敂兆䅁杓䅁䕁䄸䅤潂䍁䅁兑流䕁䅧杏杁䕁䅕䅥睂䝁䅕杢穂䝁䅕䅉卂䝁䅅䅤灂䝁䄸杏杁䙁䅁杣求䝁䄰兡ㅂ䝁䄰督杁䍁䅧兊灁䅁䅁剕䅕䙁䅁䅁偂䡁䅑䅡杁䕁䅅杊䥂䑁䅯䅉兂䡁䅉党瑂䝁䅫兤瑂䡁䅍䅉流䍁䅁睑療䝁䄴督灂䝁䅑督㙁䍁䅁村㕂䍁䅁䅔偂䕁䅉䅉潁䍁䅕克䅁䍁噷䅁䵁䅁䅁睔あ䝁䅧党祂䅁䅁兲䅯䑁䅯䅁偂䡁䅑䅡求䡁䅉䅉䉂䝁䅑兢灂䡁䅑䅤求䝁䅑䅉䉂䡁䅍督求䡁䅑督杁䍁䅧䅊睁䑁䅁䅍灁䅁䅁睑䅣䙁䅉䅁偂䡁䅑䅡求䡁䅉䅉䩂䝁䄴睙獂䡁䅕䅚灂䝁䄴睚杁䕁䅣杣療䡁䅍督杁䕁䅍睢畂䡁䅑杣灂䝁䅉兤あ䝁䅕䅚杁䍁䅧䅊睁䑁䅁䅍灁䅁䅁兏䅣䉁䅯䅁偂䡁䅑䅡求䡁䅉䅉䩂䝁䄴睙療䝁䄰党䅁佁䝕䅁潁䅁䅁睔あ䝁䅧党祂䍁䅁兓畂䝁䅍睢瑂䝁䅕䅉潁䍁䅑䅍睁䑁䅁克䅁偁䝁䅁祁䅁䅁睔あ䝁䅧党祂䍁䅁䅔灂䝁䅅杙灂䝁䅷兡あ䝁䅫党穂䍁䅁䅋歁䑁䅁䅍睁䍁䅫䅁䱂睂䅁杔䅁䕁䄸䅤潂䝁䅕杣杁䙁䅕杢歂䝁䅕杣㍂䡁䅉兡あ䝁䅫杢湂䍁䅁兒㑂䡁䅁䅉䩂䝁䄴睙ㅂ䡁䅉杣求䝁䅑䅉潁䍁䅑䅍睁䑁䅁克䅁䅁䠰䅁楁䅁䅁睔ㅂ䡁䅑䅢療䝁䄸睡杁䕁䄴党湂䝁䅅䅤灂䡁䅙党䅁佁䡕䅁楁䅁䅁睔ㅂ䡁䅑䅢療䝁䄸睡杁䙁䅁睢穂䝁䅫䅤灂䡁䅙党䅁䍁䥧䅁敁䅁䅁睔ㅂ䡁䅑䅢療䝁䄸睡杁䙁䅍䅤桂䝁䅉䅢求䅁䅁入䅙䑁䅧䅁偂䡁䅙党祂䍁䅁免杁䙁䅫党桂䡁䅉䅉啂䝁䅧杣療䡁䅕睚潂䍁䅁兎杁䙁䅫党桂䡁䅉督䅁䑁䅙䅁䅂䅁䅁睔㉂䝁䅕杣杁䑁䅅䅍杁䙁䅫党桂䡁䅉督杁䙁䅑䅡祂䝁䄸兤湂䝁䅧䅉祁䑁䅁䅉䭁䙁䅫党桂䡁䅉督䅁䑁䅕䅁捁䅁䅁睔㉂䝁䅕杣杁䑁䅉䅍杁䙁䅫党桂䡁䅉督䅁䑁䄰䅁⭁䅁䅁睔㉂䝁䅕杣杁䑁䅕䅉婂䝁䅕兙祂䡁䅍䅉啂䝁䅧杣療䡁䅕睚潂䍁䅁免睁䍁䅁权婂䝁䅕兙祂䡁䅍䅁㑁䅁䅁䅈䅁䕁䄸杤求䡁䅉䅢桂䝁䄴䅚杁䙁䅁兙祂䝁䅳䅁⭂元䅁杅䅁䕁䄸睤桂䡁䅑睢畂䝁䄴兙䅁䭁伸䅁煁䅁䅁睔㍂䝁䅅䅤療䝁䄴杢桂䍁䅷䅉乂䕁䄴䅉潁䕁䄰兡橂䡁䅉睢灁䅁䅁睱䄴䉁䅯䅁偂䡁䅣兡畂䝁䅣督杁䕁䄰兡獂䝁䅷督䅁䩁䵫䅁䕁䅁䅁䅕䅁䕁䝍䅁䥁䅁䅁䅕流䕁䅍䅁㑃睂䅁䅉䅁䙁䅁杊䑂䍁䅁兔灂䝁䄴兡瑂䡁䅕兢杁䕁䄴䅕塂䅁䅁䅘䅅䙁䅧䅁兂䍁䅙睑杁䙁䅍䅤桂䡁䅑䅉䑂䝁䄸兢楂䝁䅫杢求䝁䅑䅉卂䝁䅅䅤灂䝁䄸䅉桂䝁䅙䅤求䡁䅉䅉䕂䝁䅫杤灂䝁䅑党畂䝁䅑督杁䍁䅧兊灁䅁䅁桳䅑䉁䅷䅁兂䍁䄴睔畁䍁䅁村療䡁䅧䅉硁䑁䅍䅏硁䅁䅁東䄰䉁䅯䅁兂䍁䄴睔畁䍁䅁村療䡁䅧䅉㑁䑁䅍䅍䅁䝁佣䅁䝁䅁䅁䅕䉂䅁䅁䅒䅫䙁䄴䅁兂䕁䅅䅉佂䝁䅅䅤灂䝁䄸杢桂䝁䅷䅉乂䡁䅕䅤ㅂ䝁䅅䅢杁䕁䅍兙穂䍁䅁兓畂䡁䅍䅉䑂䝁䄸杌杁䍁䅧睕佂䕁䅷䅉兂䍁䅙睑杁䕁䅣杣療䡁䅕䅣灁䅁䅁桲䅅䑁䄴䅁兂䕁䄰兓杁䕁䅣杣療䡁䅕䅣杁䕁䅫杢橂䍁䄴䅉潁䙁䅍杔䵂䍁䅁䅕流䕁䅍䅉䡂䡁䅉睢ㅂ䡁䅁克䅁偁刴䅁䅂䅁䅁䅕乂䕁䅫䅉䡂䡁䅉睢ㅂ䡁䅁䅌杁䕁䅫杢橂䍁䄴䅉潁䙁䅍杔䵂䍁䅁䅕流䕁䅍䅉䡂䡁䅉睢ㅂ䡁䅁克䅁偁券䅁㉁䅁䅁䅕卂䕁䅕兔䙂䙁䅉兑杁䍁䅧睕佂䕁䅷䅉䥂䝁䅕兙獂䡁䅑䅡杁䕁䅣杣療䡁䅕䅣灁䅁䅁硂䅉䕁䅧䅁兂䙁䅉兓杁䕁䅫杢穂䡁䅕杣桂䝁䄴睙求䍁䅁睒祂䝁䄸兤睂䍁䅁䅋呂䕁䄴䅔杁䙁䅁杊䑂䍁䅁睒祂䝁䄸兤睂䍁䅫䅁剁杅䅁杏䅁䙁䅁兙橂䝁䅫杚灂䝁䅍䅉乂䕁䅧睑杁䍁䅧睕佂䕁䅷䅉䵂䝁䅫杚求䍁䅁睒祂䝁䄸兤睂䍁䅫䅁䭂权䅁䅙䅁䙁䅁兙橂䝁䅫杚灂䝁䅍䅉乂䡁䅕䅤ㅂ䝁䅅䅢杁䕁䅧睢獂䝁䅑兡畂䝁䅣䅉䑂䝁䄸兢睂䝁䅅杢㕂䍁䅁䅋呂䕁䄴䅔杁䕁䅷兡浂䝁䅕䅉䡂䡁䅉睢ㅂ䡁䅁克䅁䕁䭳䅁楁䅁䅁䅕桂䝁䄰党獂䝁䅅䅉䍂䍁䄴䅉乂䝁䄸杣祂䝁䅫督䅁䕁乁䅁祁䅁䅁䅕桂䝁䄴兌䉂䝁䄰党祂䝁䅫睙桂䝁䄴䅉䵂䝁䅫杚求䍁䅁睑求䝁䄴䅤求䡁䅉䅁㥃充䅁䅙䅁䙁䅁兙畂䍁䄰兑瑂䝁䅕杣灂䝁䅍兙畂䍁䅁䅔灂䝁䅙党杁䕁䄰兤あ䝁䅷䅉䥂䝁䅷䅚湂䍁䅁睑療䍁䅁䅋呂䕁䄴䅔杁䕁䅷兡浂䝁䅕䅉䡂䡁䅉睢ㅂ䡁䅁克䅁䱁剧䅁あ䅁䅁䅕桂䝁䄴兌䉂䝁䄰党祂䝁䅫睙桂䝁䄴䅉䵂䝁䅫杚求䍁䅁兔ㅂ䡁䅑兤桂䝁䅷䅉䥂䝁䄸䅢歂䝁䅫杢湂䍁䅁睑療䝁䄰䅣桂䝁䄴入杁䍁䅧睕佂䕁䅷䅉䵂䝁䅫杚求䍁䅁睒祂䝁䄸兤睂䍁䅫䅁㕃充䅁杆䅁䙁䅁兙祂䍁䅁杖桂䝁䅷兤求䍁䅁䅁䭄睂䅁䅊䅁䙁䅁兙祂䝁䅕杢あ䡁䅍䅌杁䙁䅍兤楂䍁䅷䅉䉂䝁䅙杚䅁䉁䉫䅁杂䅁䅁䅕桂䡁䅉党畂䡁䅑督獁䍁䅁睕ㅂ䝁䅉䅌杁䕁䅅杚浂䑁䅯䅉䍂䝁䄸杢歂䡁䅍杏杁䕁䅍兙祂䡁䅉入灂䝁䄴睚杁䙁䅙兙獂䡁䅕党杁䍁䅧䅊睁䑁䅁䅍灁䅁䅁䄱䅣䑁䄴䅁兂䝁䅅杣あ䝁䄴党祂䙁䅉党杁䕁䅷䅤歂䍁䄴䅉潁䙁䅍杔䵂䍁䅁䅕流䕁䅍䅉䡂䡁䅉睢ㅂ䡁䅁克䅁䵁剑䅁睁䅁䅁䅕桂䡁䅑杣灂䝁䅍睡杁䕁䅯睢穂䝁䅕䅣潂䍁䅁睒求䡁䅉兙湂䝁䅧䅤㕂䅁䅁睍䄸䉁䅷䅁兂䝁䅅䅤祂䝁䅫睙牂䍁䅁睕灂䝁䄴睡穂䅁䅁剅䅅䑁䅑䅁兂䝁䅅兤獂䍁䅁兑畂䡁䅑䅡療䝁䄴入杁䙁䅅兤桂䡁䅉兙畂䡁䅑睢杁䕁䅯杣畁䅁䅁杂䄰䍁䅙䅁兂䝁䅅兤獂䍁䅁村祂䡁䅕睙求䍁䅁䅕潂䝁䅕杚浂䝁䅕杣䅁乁卑䅁潁䅁䅁䅕桂䡁䅕䅢杁䕁䅍䅡桂䝁䅑睤灂䝁䅍睡杁䕁䄰入求䡁䅉督䅁乁䩕䅁流䅁䅁䅕桂䡁䅕䅢杁䕁䅕䅚㍂䝁䅫杢杁䕁䅷睢祂䝁䅕杢あ䡁䅯䅁潄杅䅁䅌䅁䙁䅁兙ㅂ䝁䅷䅉䝂䡁䅉党歂䝁䅕杣灂䝁䅍睡杁䕁䅑杣療䝁䅧党祂䅁䅁睳䄴䍁䅑䅁兂䝁䅅兤獂䍁䅁杓療䡁䅍党睂䝁䅧䅉䱂䡁䅉兤瑂䡁䅁䅁⽄䅃䅁䅉䅁䙁䅁兙ㅂ䝁䅷䅉乂䝁䅅杣牂䍁䅁睖潂䝁䅫䅤求䅁䅁桺䅍䍁䄴䅁兂䝁䅅兤獂䍁䅁兔桂䡁䅑䅤潂䝁䅕睤杁䕁䅍䅡祂䝁䅫督あ䝁䄸杚浂䅁䅁剷䅉䑁䅧䅁兂䝁䅅兤獂䍁䅁兔灂䝁䅍䅡桂䝁䅕䅢杁䕁䅯兙瑂䝁䅕督杁䕁䅉杣療䝁䅍睡瑂䝁䅅杢䅁䙁佁䅁歁䅁䅁䅕桂䡁䅕䅢桂䍁䅁兑瑂䡁䅫䅉呂䡁䅑党灂䝁䄴党祂䅁䅁杩䄸䑁䄴䅁兂䝁䅅杤療䝁䄴兡桂䍁䅁睒祂䝁䄸兤睂䍁䅁䅋呂䕁䄴䅔杁䕁䅷兡浂䝁䅕䅉䡂䡁䅉睢ㅂ䡁䅁克䅁䵁剷䅁奂䅁䅁䅕桂䡁䅫兙楂䝁䅷党杁䡁䅑睢杁䙁䅁兙祂䝁䅕杢あ䍁䅷䅉呂䡁䅕杙穂䍁䅁杊杁䕁䅅杚浂䝁䅫䅢灂䝁䅅䅤求䡁䅍䅉潁䍁䅑䅍睁䑁䅁克䅁䕁䡯䅁杁䅁䅁䅕桂䡁䅫兢求䝁䄴䅤杁䕁䄰党あ䝁䅧睢歂䍁䅁䅁䵃睂䅁䅄䅁䙁䅁党牂䝁䅫杢䅁乁剕䅁䵂䅁䅁䅕求䝁䅳兡畂䍁䅁兓畂䡁䅍兤祂䝁䅅杢橂䝁䅕䅉䡂䡁䅉睢ㅂ䡁䅁䅉潁䙁䅍杔䵂䍁䅁䅕流䕁䅍䅉䡂䡁䅉睢ㅂ䡁䅁克䅁乁剉䅁祁䅁䅁䅕求䝁䅳兡畂䍁䅁䅔灂䝁䅙党杁䕁䅫杢穂䡁䅕杣桂䝁䄴睙求䍁䅁睑療䍁䄴䅁捄充䅁杏䅁䙁䅁党牂䝁䅫杢杁䕁䅷兡浂䝁䅕䅉䩂䝁䄴督ㅂ䡁䅉兙畂䝁䅍党杁䕁䅍睢瑂䡁䅁兙畂䡁䅫䅁扄充䅁䅙䅁䙁䅁党畂䝁䄴䅉乂䡁䅕䅤ㅂ䝁䅅䅢杁䕁䅷兡浂䝁䅕䅉䩂䝁䄴督ㅂ䡁䅉兙畂䝁䅍党杁䕁䅍睢畁䍁䅁䅋呂䕁䄴䅔杁䕁䅷兡浂䝁䅕䅉䡂䡁䅉睢ㅂ䡁䅁克䅁䙁䭕䅁潂䅁䅁䅕求䝁䄴杢杁䕁䄰兤あ䡁䅕兙獂䍁䅁䅔灂䝁䅙党杁䕁䅫杢穂䡁䅕杣桂䝁䄴睙求䍁䅁睑療䝁䄰䅣桂䝁䄴入杁䍁䅧睕佂䕁䅷䅉䵂䝁䅫杚求䍁䅁睒祂䝁䄸兤睂䍁䅫䅁啂权䅁䅫䅁䙁䅁党畂䝁䄴督㕂䝁䅷杤桂䝁䄴兡桂䍁䅁杔桂䡁䅑兡療䝁䄴兙獂䍁䅁兔ㅂ䡁䅑兤桂䝁䅷䅉䑂䝁䅅督ㅂ䝁䅅䅢あ䡁䅫䅉䩂䝁䄴督ㅂ䡁䅉兙畂䝁䅍党杁䕁䅍睢瑂䡁䅁兙畂䡁䅫䅉潁䙁䅍杔䵂䍁䅁䅕流䕁䅍䅉䡂䡁䅉睢ㅂ䡁䅁克䅁䭁券䅁佁䅁䅁䅕求䝁䄸杣灂䝁䅅䅁畄睄䅁杊䅁䙁䅁党療䡁䅉兡桂䍁䅷䅉䩂䕁䅷䅉潁䕁䄰党あ䡁䅉睢灁䅁䅁眵䄸䍁䅯䅁兂䝁䅕杣祂䡁䅫䅉乂䝁䅫睙潂䝁䅅党獂䍁䅁村桂䡁䅉杣療䝁䄴䅁㉂睅䅁杋䅁䙁䅁党祂䡁䅍睢畂䝁䅅䅢杁䕁䅷兡畂䝁䅕督杁䕁䅙睢橂䡁䅕督䅁䡁䉍䅁䥂䅁䅁䅕求䡁䅉督療䝁䄴兙獂䍁䅁䅕流䕁䅍䅉䕂䝁䅫杣求䝁䅍䅤杁䙁䅁杣求䝁䄰兡ㅂ䝁䄰督杁䍁䅧䅊睁䑁䅁䅍灁䅁䅁睗䅣䙁䅑䅁兂䝁䅕杣穂䝁䄸杢桂䝁䅷杏杁䕁䅍䅡湂䍁䅁兡畂䍁䅁兖畂䡁䅁兙灂䝁䅑䅉佂䝁䅕䅤杁䕁䅷睢穂䡁䅍党穂䍁䅁䅋歁䑁䅁䅍睁䍁䅫䅁桂睂䅁䅖䅁䙁䅁党祂䡁䅍睢畂䝁䅅䅢㙁䍁䅁䅔療䡁䅍督求䡁䅍䅉兂䝁䅅兡歂䍁䅁䅔求䡁䅍督杁䙁䅍兙獂䡁䅙兙湂䝁䅕䅉潁䍁䅑䅍睁䑁䅁克䅁䙁䠸䅁獁䅁䅁䅕求䡁䅑党祂䍁䅁兑畁䍁䅁睒ㅂ䝁䅅督あ䝁䅅兢桂䝁䅍䅡灂䝁䄸䅁ぃ权䅁䅌䅁䙁䅁党あ䝁䅕杣杁䕁䅑睢ㅂ䝁䅣䅢桂䡁䅍䅉䥂䝁䅅杢橂䝁䄸睙牂䅁䅁儴䅣䑁䅁䅁兂䝁䅕䅤求䡁䅉䅉䡂䝁䅕睢祂䝁䅣党杁䕁䄰睙兂䝁䅅杣あ䝁䅷兙畂䝁䅑䅁㉄杅䅁䅋䅁䙁䅁党あ䝁䅕杣杁䕁䅯睢桂䝁䅍䅡灂䝁䄰䅉卂偁䅙䅚求䡁䅉䅁噁权䅁䅌䅁䙁䅁党あ䝁䅕杣杁䙁䅉睢楂䝁䅕杣あ䍁䅁睕橂䝁䅧兙求䝁䅙党祂䅁䅁村䄸䍁䅷䅁兂䝁䅕䅤求䡁䅉䅉塂䝁䅅入畂䝁䅕䅉呂䝁䅍䅡畂䝁䅕兡歂䝁䅕杣䅁䍁卍䅁慁䅁䅁䅕潂䝁䅫䅢桂䝁䅑党獂䡁䅁䅡灂䝁䅅䅁㍄睄䅁䅡䅁䙁䅁䅡灂䝁䅷兙歂䝁䅕䅢睂䝁䅧兡桂䍁䄰睑桂䝁䄰䅚求䝁䄴兌塂䝁䅫䅢瑂䝁䅫杢湂䡁䅑睢畂䍁䅷䅉兂䕁䅅兌佂䕁䅯兌䕂䕁䅕兌乂䕁䅑䅉潁䕁䄰党あ䡁䅉睢灁䅁䅁眸䅫䍁䅙䅁兂䝁䅧兡獂䝁䅫䅣杁䕁䅅䅢浂䡁䅉党歂䍁䅁睒療䡁䅍督䅁䩁吴䅁杁䅁䅁䅕潂䝁䅫䅢灂䡁䅁䅉䍂䍁䄴䅉䱂䝁䅅䅢灂䝁䄴䅁硄充䅁䅋䅁䙁䅁䅡灂䝁䅷兡睂䍁䅁兓穂䝁䅅兙橂䍁䅁杖求䝁䅑党獂䝁䅷䅁䑂䅄䅁䅎䅁䙁䅁䅡灂䝁䅷兡睂䍁䅁睓療䝁䄴杣桂䝁䅑䅉兂䝁䄸䅢牂䝁䅫杢湂䝁䅧睢祂䝁䄴䅁灄睃䅁䅍䅁䙁䅁䅡灂䝁䅷䅢灂䡁䅁䅉䙂䡁䅕睚求䝁䄴党杁䕁䅷睢㉂䝁䅕䅉䭂䡁䅉杌䅁䅁䵑䅁歁䅁䅁䅕潂䝁䅫䅢獂䝁䅫䅣杁䕁䅯睢潂䝁䄴䅉䡂䝁䅅督穂䅁䅁杊䅯䉁䅁䅁兂䝁䅧睢求䝁䄴兡㑂䅁䅁䅴䅳䕁䅧䅁兂䝁䅧睢求䝁䄴兡㑂䍁䄰兔求䡁䅍兙瑁䙁䅍睙療䡁䅑䅤穂䝁䅑兙獂䝁䅕䅌杁䕁䅅杗杁䍁䅧兔求䡁䅑杣療䍁䅫䅁㉃睃䅁䅉䅁䙁䅁䅡㕂䝁䅷䅢灂䡁䅍䅉卂䍁䄴䅉婂䝁䅅䅢求䅁䅁杳䅷䝁䅁䅁兂䝁䅧入穂䝁䅫睙灂䝁䅅杢穂䍁䅁兔ㅂ䡁䅑兤桂䝁䅷䅉䩂䝁䄴督ㅂ䡁䅉兙畂䝁䅍党杁䕁䅍睢杁䍁䅧睕佂䕁䅷䅉䵂䝁䅫杚求䍁䅁睒祂䝁䄸兤睂䍁䅫䅁桄充䅁条䅁䙁䅁䅡㕂䡁䅍兡橂䝁䅫兙畂䡁䅍䅉乂䡁䅕䅤ㅂ䝁䅅䅢杁䕁䅫杢穂䡁䅕杣桂䝁䄴睙求䍁䅁睑療䝁䄰䅣桂䝁䄴入杁䍁䅧睕佂䕁䅷䅉䵂䝁䅫杚求䍁䅁睒祂䝁䄸兤睂䍁䅫䅁楄充䅁杊䅁䙁䅁兡畂䝁䄴兙橂䝁䄸䅢杁䕁䅅督穂䡁䅕杣桂䝁䄴睙求䅁䅁砶䅅䉁䅙䅁兂䝁䅫䅤あ䡁䅍杙ㅂ䡁䅉睚潂䅁䅁兦䄸䍁䄴䅁兂䝁䅫䅤あ䡁䅍杙ㅂ䡁䅉睚潂䍁䅷䅉兂䕁䅅䅉潁䕁䄰党あ䡁䅉睢灁䅁䅁睦䄸䙁䅧䅁兂䝁䅷入瑂䝁䄸兤あ䝁䅧䅉卂䝁䄸睙牂䍁䅁睢浂䍁䅁杔求䡁䅣䅉䭂䝁䅕杣穂䝁䅕入杁䍁䅧睕佂䕁䅷䅉兂䍁䅙睑杁䕁䅣杣療䡁䅕䅣灁䅁䅁刹䅅䑁䅧䅁兂䝁䄸䅢灂䝁䅍入杁䕁䅕䅥睂䝁䅕杢穂䝁䅕睌杁䕁䅕䅥睂䝁䅕杢穂䝁䅕䅉潁䍁䅕克䅁䭁啧䅁㑁䅁䅁䅕療䝁䅷兡橂䡁䅫䅉卂䝁䅕杤求䝁䄴兤求䍁䄸䅉卂䝁䅕杤求䝁䄴兤求䍁䅁䅋汁䍁䅫䅁煃䅆䅁䅑䅁䙁䅁睢獂䝁䅫睙㕂䝁䅧睢獂䝁䅑党祂䍁䅁䅒灂䡁䅙兡歂䝁䅕杢歂䍁䅁杕桂䡁䅑兡療䍁䅁䅋汁䍁䅫䅁㝄杂䅁杋䅁䙁䅁睢獂䝁䅫睙㕂䝁䅧睢獂䝁䅑党祂䍁䅁睕ㅂ䡁䅉䅣獂䡁䅕督䅁佁䝍䅁䅃䅂䅁䅕療䝁䅷兡橂䡁䅫䅡療䝁䅷䅚求䡁䅉督湁䍁䅁督ㅂ䡁䅉䅣獂䡁䅕督杁䡁䅍党祂䡁䅙党穂䍁䅁兙穂䍁䅁兙杁䝁䅍兤穂䝁䅧兡療䝁䄴䅉浂䝁䄸杣杁䝁䅅杙穂䝁䄸杣楂䝁䅫杢湂䍁䅁䅢療䡁䅍督求䡁䅍杌杁䙁䅑䅡灂䡁䅍䅉祂䝁䅅䅤灂䝁䄸䅉瑂䝁䅕兙穂䡁䅕杣求䡁䅍䅉あ䝁䅧党杁䝁䅅䅚求䡁䅅兤桂䝁䅍入杁䝁䄸杚杁䡁䅑䅡灂䡁䅍䅉橂䡁䅕督潂䝁䅫睢畂䍁䅷䅉㍂䝁䅫䅤潂䝁䄸兤あ䍁䅁䅣祂䝁䅕兢灂䡁䅕兢穂䍁䅁睙求䝁䅑党歂䍁䅁䅤療䍁䅁杣求䝁䅫杢穂䡁䅕杣求䡁䅉督畁䍁䅁䅖潂䝁䅕䅉潂䝁䅫睚潂䝁䅕杣杁䡁䅑䅡求䍁䅁杣桂䡁䅑兡療䍁䅷䅉あ䝁䅧党杁䝁䄰睢祂䝁䅕䅉祂䝁䅫督牂䍁䅁䅤潂䝁䅕䅉灂䝁䄴督ㅂ䡁䅉党祂䍁䅁杙求䝁䅅杣穂䍁䅁兡畂䍁䅁杣求䝁䅷兙あ䝁䅫睢畂䍁䅁䅤療䍁䅁䅤潂䝁䅕䅉睂䝁䄸䅢灂䝁䅍入潂䝁䄸䅢歂䝁䅕杣穂䍁䅣䅉穂䡁䅕杣睂䝁䅷兤穂䍁䄴䅉啂䝁䅧兡穂䍁䅁杣桂䡁䅑兡療䍁䅁兡穂䍁䅁睙桂䝁䅷睙ㅂ䝁䅷兙あ䝁䅕䅚杁䝁䅉入杁䝁䅑兡㉂䝁䅫䅚灂䝁䄴睚杁䝁䅣杣療䡁䅍督杁䡁䅁杣求䝁䄰兡ㅂ䝁䄰督杁䡁䅣杣灂䡁䅑䅤求䝁䄴䅉楂䡁䅫䅉睂䝁䄸䅢灂䝁䅍入潂䝁䄸䅢歂䝁䅕杣穂䍁䅣䅉穂䡁䅕杣睂䝁䅷兤穂䍁䄴䅉䉂䍁䅁杣桂䡁䅑兡療䍁䅁杣求䡁䅍兤獂䡁䅑䅉あ䝁䅧兙あ䍁䅁兡穂䍁䅁睢ㅂ䡁䅑督灂䝁䅑党杁䡁䅑䅡求䍁䅁兤穂䡁䅕兙獂䍁䅁杣桂䝁䄴睚求䍁䅁兡穂䍁䅁杢療䡁䅑䅉畂䝁䅕睙求䡁䅍督桂䡁䅉兡獂䡁䅫䅉橂䝁䄸杢穂䝁䅫䅚求䡁䅉党歂䍁䅁兙歂䡁䅙党祂䡁䅍党畁䍁䅁杕桂䡁䅑兡療䡁䅍䅉桂䝁䄴䅚杁䡁䅑杣求䝁䄴䅚穂䍁䅁兙祂䝁䅕䅉㉂䝁䅅䅢ㅂ䝁䅅杙獂䝁䅕䅉灂䝁䄴䅉灂䝁䅑党畂䡁䅑兡浂䡁䅫兡畂䝁䅣䅉灂䝁䄴督ㅂ䡁䅉党祂䡁䅍䅉㍂䝁䅧睢杁䝁䄰兡湂䝁䅧䅤杁䝁䅕䅥睂䝁䅕杣灂䝁䅕杢橂䝁䅕䅉浂䝁䅫杢桂䝁䄴睙灂䝁䅅䅢杁䝁䅑兡浂䝁䅙兡橂䡁䅕䅢あ䝁䅫党穂䍁䄴䅉啂䝁䅧党杁䡁䅕督ㅂ䝁䅅䅢杁䡁䅉兙畂䝁䅣党杁䝁䅙睢祂䍁䅁䅤潂䝁䅫督杁䡁䅉兙あ䝁䅫睢杁䝁䅫督杁䡁䅕䅣杁䡁䅑睢杁䑁䅫䅍睁䍁䅁䅣求䡁䅉睙求䝁䄴䅤畁䅁䅁朰䅙䑁䄴䅁兂䝁䄸杣あ䝁䅙睢獂䝁䅫睢杁䙁䅉党㉂䝁䅕杢ㅂ䝁䅕睌杁䙁䅉党㉂䝁䅕杢ㅂ䝁䅕䅉潁䍁䅕克䅁䱁啣䅁十䅁䅁䅕療䡁䅉䅤獂䝁䅅杢歂䅁䅁䅃䅯䙁䅧䅁兂䝁䄸杣あ䝁䅷兙畂䝁䅑兌坂䝁䅅杢橂䝁䄸兤㉂䝁䅕杣瑁䕁䅧兡獂䝁䅷督楂䝁䄸杣療䍁䅷䅉偂䙁䅉兌塂䕁䅅䅉潁䕁䄰党あ䡁䅉睢灁䅁䅁权䅯䕁䅁䅁兂䡁䅉党瑁䙁䅑兙㑂䍁䅁睔睂䝁䅕杣桂䡁䅑兡畂䝁䅣䅉䩂䝁䄴睙療䝁䄰党杁䍁䅧䅊睁䑁䅁䅍灁䅁䅁兢䅣䕁䅧䅁兂䡁䅉党瑁䙁䅑兙㑂䍁䅁睔睂䝁䅕杣桂䡁䅑兡畂䝁䅣䅉䩂䝁䄴睙療䝁䄰党杁䕁䅣杣療䡁䅣䅤潂䍁䅁䅋汁䍁䅫䅁慁睂䅁杏䅁䙁䅁杣求䍁䄰䅖桂䡁䅧䅉偂䡁䅁党祂䝁䅅䅤灂䝁䄴睚杁䕁䄰兙祂䝁䅣兡畂䍁䅁䅋汁䍁䅫䅁剁睂䅁李䅁䙁䅁杣求䍁䄰䅖桂䡁䅧䅉偂䡁䅁党祂䝁䅅䅤灂䝁䄴睚杁䙁䅉睔䉂䕁䅕䅉潁䍁䅕克䅁佁䝫䅁卂䅁䅁䅕祂䝁䅕杚求䡁䅉杣求䝁䅑䅉䑂䝁䅅䅣灂䡁䅑兙獂䍁䅁睕あ䝁䄸睙牂䍁䅁䅔灂䝁䅅杙灂䝁䅷兡あ䡁䅫䅉潁䍁䅑䅍睁䑁䅁克䅁䑁䡧䅁畁䅁䅁䅕祂䝁䅕杚求䡁䅉杣求䝁䅑䅉呂䡁䅑睢橂䝁䅳䅉潁䍁䅑䅍睁䑁䅁克䅁䙁䡣䅁兂䅁䅁䅕祂䝁䅕杚求䡁䅉杣求䝁䅑䅉呂䡁䅑睢橂䝁䅳督癁䍁䅁睑桂䡁䅁兡あ䝁䅅䅢杁䍁䅙䅉呂䡁䅕杣睂䝁䅷兤穂䍁䅁䅋汁䍁䅫䅁㥂睂䅁䅖䅁䙁䅁杣求䝁䄰兡ㅂ䝁䄰督獁䍁䅁睑療䝁䄴督灂䝁䅑党祂䝁䅅䅤灂䝁䄸杢杁䍁䅙䅉䕂䝁䅕䅣療䡁䅍兡あ䡁䅍䅉潁䍁䅑䅍睁䑁䅁克䅁䉁噙䅁啁䅁䅁䅕祂䝁䅕督灂䝁䅑党畂䡁䅑䅁卂杂䅁䅉䅁䙁䅁杣灂䝁䅍党癁䍁䅁村療䝁䄸睡杁䍁䅧兊灁䅁䅁剺䅑䕁䅑䅁兂䡁䅉兡橂䝁䅕睌杁䕁䅷䅖乂䍁䅁睔睂䝁䅕杣桂䡁䅑兡畂䝁䅣䅉䙂䝁䅅杣畂䝁䅫杢湂䡁䅍䅉潁䡁䅧克䅁乁啁䅁䕂䅁䅁䅕祂䝁䅫睙求䍁䄸䅉䵂䝁䅅督あ䍁䄰䅤㍂䝁䅕䅢㉂䝁䅕兌瑂䝁䄸杢あ䝁䅧督杁䕁䅕䅕呂䍁䅁䅋㑂䍁䅫䅁偄䅆䅁杍䅁䙁䅁杣灂䝁䅍党癁䍁䅁䅖桂䝁䄴睚灂䝁䅉䅢求䍁䅁村療䝁䄸睡杁䍁䅧兊灁䅁䅁桺䅑䕁䅁䅁兂䡁䅉兡瑂䝁䅕杣灂䝁䅍兙杁䕁䅫杢橂䍁䄴䅉潁䙁䅍杔䵂䍁䅁䅔灂䝁䅙党杁䕁䅣杣療䡁䅕䅣灁䅁䅁桇䅉䕁䅉䅁兂䡁䅉兡瑂䝁䅕杣灂䝁䅍兙獁䍁䅁兓畂䝁䅍杌杁䍁䅧睕佂䕁䅷䅉䵂䝁䅫杚求䍁䅁睒祂䝁䄸兤睂䍁䅫䅁婁杅䅁䅆䅁䙁䅁杣灂䝁䄴睙求䡁䅑睢畂䅁䅁䅅䅯䝁䅁䅁兂䡁䅉兡畂䝁䅍兡睂䝁䅅䅢杁䕁䅙兡畂䝁䅅杢橂䝁䅫兙獂䍁䅁睒祂䝁䄸兤睂䍁䅁兓畂䝁䅍杌杁䍁䅧睕佂䕁䅷䅉䵂䝁䅫杚求䍁䅁睒祂䝁䄸兤睂䍁䅫䅁杂权䅁杙䅁䙁䅁杣灂䝁䄴睙灂䡁䅁兙獂䍁䅁杒灂䝁䄴兙畂䝁䅍兡桂䝁䅷䅉䡂䡁䅉睢ㅂ䡁䅁䅌杁䕁䅫杢橂䍁䄴䅉潁䙁䅍杔䵂䍁䅁䅔灂䝁䅙党杁䕁䅣杣療䡁䅕䅣灁䅁䅁睘䅯䕁䅙䅁兂䡁䅉睢䉂䡁䅍督ㅂ䡁䅉兙畂䝁䅍党杁䕁䅍睢祂䡁䅁杌杁䍁䅧睕佂䕁䅷䅉兂䍁䅙睑杁䕁䅣杣療䡁䅕䅣灁䅁䅁桊䅉䙁䅉䅁兂䡁䅉睢䉂䡁䅍督ㅂ䡁䅉兙畂䝁䅍党杁䕁䅍睢祂䡁䅁睢祂䝁䅅䅤灂䝁䄸杢杁䍁䅧睕佂䕁䅷䅉兂䍁䅙睑杁䕁䅣杣療䡁䅕䅣灁䅁䅁削䅉䙁䄴䅁兂䡁䅉睢呂䝁䅫睚潂䡁䅑䅉呂䡁䅁党橂䝁䅫兙獂䡁䅑入杁䕁䅫杢穂䍁䅁睒祂䡁䅁䅉䩂䝁䄴睙杁䍁䅧睕佂䕁䅷䅉兂䍁䅙睑杁䕁䅣杣療䡁䅕䅣灁䅁䅁桌䅉䡁䅉䅁兂䡁䅉睢呂䝁䅫睚潂䡁䅑䅉呂䡁䅁党橂䝁䅫兙獂䡁䅑入杁䕁䅫杢穂䡁䅕杣桂䝁䄴睙求䍁䅁睒祂䝁䄸兤睂䍁䅷䅉䩂䝁䄴睙畁䍁䅁䅋呂䕁䄴䅔杁䙁䅁杊䑂䍁䅁睒祂䝁䄸兤睂䍁䅫䅁癁杅䅁䅒䅁䙁䅁杣療䝁䅣杣求䡁䅍督灂䡁䅙党杁䕁䅍睢祂䡁䅁杌杁䍁䅧睕佂䕁䅷䅉兂䍁䅙睑杁䕁䅣杣療䡁䅕䅣灁䅁䅁条䅯䙁䅁䅁兂䡁䅉睢湂䡁䅉党穂䡁䅍兡㉂䝁䅕䅉䑂䝁䄸杣睂䝁䄸杣桂䡁䅑兡療䝁䄴䅉潁䙁䅍杔䵂䍁䅁䅕流䕁䅍䅉䡂䡁䅉睢ㅂ䡁䅁克䅁䝁䭫䅁敂䅁䅁䅕祂䝁䄸督睂䝁䅕杣灂䡁䅑入杁䕁䅷兡浂䝁䅕䅉䩂䝁䄴督杁䕁䅣杣療䡁䅕䅣杁䕁䅷䅔䑂䍁䅁䅋呂䕁䄴䅔杁䕁䅷兡浂䝁䅕䅉䡂䡁䅉睢ㅂ䡁䅁克䅁䑁卯䅁獂䅁䅁䅕祂䝁䄸督睂䝁䅕杣灂䡁䅑入杁䕁䅷兡浂䝁䅕䅉䩂䝁䄴督ㅂ䡁䅉兙畂䝁䅍党杁䕁䅣杣療䡁䅕䅣獁䍁䅁䅔䵂䕁䅍䅉潁䙁䅍杔䵂䍁䅁䅔灂䝁䅙党杁䕁䅣杣療䡁䅕䅣灁䅁䅁剏䅉䕁䅑䅁兂䡁䅉睢㉂䝁䅫䅚求䝁䄴睙求䍁䄰睖桂䡁䅉睤灂䝁䅍睡獁䍁䅁杕䩂䍁䄰兔䉂䍁䅁䅋乂䝁䅕䅤祂䝁䄸克䅁䡁䩉䅁䍂䅁䅁䅕祂䝁䄸杤灂䡁䅍兡療䝁䄴䅉浂䝁䄸杣杁䙁䅉党灂䝁䄴督ㅂ䡁䅉兙畂䝁䅍党杁䍁䅧䅊睁䑁䅁䅍灁䅁䅁睒䅣䙁䅙䅁兂䡁䅉兤歂䝁䅕杢あ䝁䅫兙獂䍁䅁杒灂䝁䄴兙畂䝁䅍兡桂䝁䅷䅉䩂䝁䄴睙畁䍁䅁䅋呂䕁䄴䅔杁䕁䅷兡浂䝁䅕䅉䡂䡁䅉睢ㅂ䡁䅁克䅁䉁䤰䅁奂䅁䅁䅕祂䡁䅕䅚求䝁䄴䅤灂䝁䅅䅢杁䕁䅙兡畂䝁䅅杢橂䝁䅫兙獂䍁䅷䅉䩂䝁䄴睙畁䍁䅁䅋呂䕁䄴䅔杁䕁䅷兡浂䝁䅕䅉䡂䡁䅉睢ㅂ䡁䅁克䅁䉁䤴䅁楁䅁䅁䅕祂䡁䅕䅚求䝁䄴䅤灂䝁䅅䅢杁䙁䅁䅢桂䡁䅯兙䅁䍁䥉䅁杁䅁䅁䅕ㅂ䝁䅉䅉噂䡁䅑杏杁䕁䅷䅖杁䕁䅉睢畂䝁䅑䅁䍁允䅁䅉䅁䙁䅁兤楂䍁䅁兖あ䑁䅯䅉呂䙁䅑䅉䍂䝁䄸杢歂䅁䅁杫䅁䉁䅁䅁兂䡁䅕杙杁䙁䅕䅤穂䅁䅁睇䅅䍁䅧䅁兂䡁䅕杙杁䙁䅕䅤穂䑁䅯䅉䑂䝁䄸兢瑂䍁䅁睕あ䝁䄸睙牂䅁䅁睊䅅䉁䅉䅁兂䡁䅕杣橂䝁䅧兙穂䝁䅕䅁䙂杄䅁杂䅁䙁䅅免䅁䅁䅷䅁䝁䅁䅁兕祁䅁䅁兄䅁䅁䅙䅁剂䑁䅍䅁䭁䅁䅁䅗䅁䙁䅅村䙂䍁䅁兓畂䡁䅍兤祂䝁䅅杢橂䝁䅕䅉䡂䡁䅉睢ㅂ䡁䅁䅉䵂䝁䅫兢灂䡁䅑党歂䍁䅁䅋呂䕁䄴䅔杁䙁䅁杊䑂䍁䅁睒祂䝁䄸兤睂䍁䅫䅁䕂杅䅁杕䅁䙁䅅村䙂䍁䅁兓畂䡁䅍兤祂䝁䅅杢橂䝁䅕䅉䡂䡁䅉睢ㅂ䡁䅁䅉䵂䡁䅑䅚畁䍁䅁䅋呂䕁䄴䅔杁䙁䅁杊䑂䍁䅁睒祂䝁䄸兤睂䍁䅫䅁䑂杅䅁䅎䅁䙁䅅兤求䝁䅕杢杁䕁䅍兡あ䡁䅫䅉䉂䡁䅍督ㅂ䡁䅉兙畂䝁䅍党杁䕁䅫杢橂䍁䄴䅁䵂杅䅁李䅁䙁䅅兤求䝁䅕杢杁䕁䅍兡あ䡁䅫䅉䉂䡁䅍督ㅂ䡁䅉兙畂䝁䅍党獁䍁䅁兓畂䝁䅍杌䅁䕁匰䅁佁䅁䅁兕ㅂ䝁䅫杢橂䡁䅫䅁獁䅄䅁杖䅁䙁䅅兤灂䝁䄴睙㕂䍁䅁兔ㅂ䡁䅑兤桂䝁䅷䅉䝂䝁䅫杣求䍁䅁兓畂䡁䅍䅉䑂䝁䄸杌杁䍁䅧睕佂䕁䅷䅉兂䍁䅙睑杁䕁䅣杣療䡁䅕䅣灁䅁䅁桕䅉䝁䅯䅁剂䡁䅕兡畂䝁䅍入杁䕁䄰兤あ䡁䅕兙獂䍁䅁杒灂䡁䅉党杁䕁䅫杢穂䡁䅕杣桂䝁䄴睙求䍁䅁睑療䝁䄰䅣桂䝁䄴入杁䍁䅧睕佂䕁䅷䅉兂䍁䅙睑杁䕁䅣杣療䡁䅕䅣灁䅁䅁硕䅉䅁䅙䅁卂䕁䅫䅁あ元䅁䅎䅁䙁䅉䅔䩂䍁䅁睑療䡁䅉䅣畁䍁䅁䅋呂䕁䄴䅔杁䙁䅁杊䑂䍁䅁睒祂䝁䄸兤睂䍁䅫䅁㍂杅䅁杅䅁䙁䅉睔䉂䕁䅅䅉潁䍁䅕克䅁䭁啷䅁十䅁䅁杕偂䕁䅅兒杁䍁䅧兊灁䅁䅁桲䅑䕁䅉䅁卂䕁䄸兑䙂䍁䅁杙求䝁䅙睢祂䝁䅕䅉噂䝁䄴杣求䝁䅅䅢灂䡁䅯党歂䍁䅁睒桂䝁䅫杢穂䍁䅁䅋汁䍁䅫䅁睃䅆䅁䅒䅁䙁䅉兙歂䝁䅫兙畂䍁䅁睒祂䝁䄸兤睂䍁䅁兓畂䝁䅍杌杁䍁䅧睕佂䕁䅷䅉兂䍁䅙睑杁䕁䅣杣療䡁䅕䅣灁䅁䅁桗䅉䅁䄴䅁卂䝁䅅䅚畂䝁䄸杣䅁偁䩁䅁允䅁䅁杕桂䝁䅷党灂䝁䅣䅡䅁乁偕䅁潁䅁䅁杕桂䝁䅷党灂䝁䅣䅡獁䍁䅁杔䑂䍁䅁䅋乂䝁䅕䅤祂䝁䄸克䅁乁偍䅁畁䅁䅁杕桂䝁䅷䅣潂䍁䅁兑畂䡁䅑䅡療䝁䄴入杁䙁䅍兙獂䝁䅅兢療䝁䄴党䅁䅁呷䅁流䅁䅁杕桂䝁䄴䅚桂䝁䅷䅉䭂䝁䅅入杁䕁䅙杣求䝁䅫䅤桂䝁䅣䅁㉄元䅁䅍䅁䙁䅉兙畂䝁䅑兙獂䝁䅷䅉䑂䝁䅧兙祂䝁䅷党穂䍁䅁睖畁䍁䅁睓祂䝁䄸杢䅁䅁免䅁潁䅁䅁杕桂䝁䄴䅚桂䝁䅷䅢杁䕁䅷党求䍁䅁村療䡁䅕督潂䝁䅕睡䅁䥁呅䅁獁䅁䅁杕桂䝁䄴䅚桂䝁䅷䅢杁䙁䅙兙ㅂ䝁䅣䅡畂䍁䅁村求䝁䅍睡求䡁䅉䅁㝃䅅䅁䅊䅁䙁䅉兙畂䝁䅑入杁䕁䅅䅢獂䝁䅕杢杁䙁䅉兙瑂䝁䅷睢䅁䱁味䅁煁䅁䅁杕桂䝁䄴䅚㕂䍁䅁兔灂䡁䅑睙潂䝁䅅党獂䍁䅁杓療䝁䅧杢穂䅁䅁兯䅯䑁䄴䅁卂䝁䅅䅤灂䝁䄸䅉硁䑁䅁杏杁䍁䅁睑潂䝁䅣䅉灂䝁䄴䅉兂䡁䅉睢歂䍁䅁兔灂䡁䅧䅉潁䍁䅕克䅁䝁噫䅁佂䅁䅁杕桂䡁䅑兡療䍁䅁免睁䑁䅯䅉䡂䡁䅉睢穂䡁䅍䅉䉂䝁䅣党畂䡁䅑督湁䍁䅁村桂䝁䅷䅉あ䝁䄸䅉兂䕁䅧睕杁䍁䅧兊灁䅁䅁儳䅙䕁䅑䅁卂䝁䅅䅤灂䝁䄸䅉硁䑁䅅杏杁䑁䅅兌婂䡁䅉䅉卂䝁䅕督杁䕁䅑党㉂䍁䅁䅤療䍁䅁䅕䥂䙁䅍䅉潁䍁䅕克䅁乁䜴䅁⭁䅁䅁杕桂䡁䅑兡療䍁䅁免硁䑁䅯䅉䑂䝁䅧睚杁䝁䅫杢杁䕁䅅督穂䝁䅕䅤杁䕁䄰兡㑂䍁䅁䅋汁䍁䅫䅁睂兆䅁䅒䅁䙁䅉兙あ䝁䅫睢杁䑁䅅杍㙁䍁䅁杍瑁䙁䅫杣杁䙁䅉党穂䍁䅁䅒求䡁䅙䅉あ䝁䄸䅉兂䕁䅧睕杁䍁䅧兊灁䅁䅁眳䅙䑁䄴䅁卂䝁䅅䅤灂䝁䄸䅉硁䑁䅉杏杁䕁䅍䅡湂䍁䅁兡畂䍁䅁杕求䡁䅍党祂䡁䅙兡畂䝁䅣䅉潁䍁䅕克䅁䡁噅䅁兂䅁䅁杕桂䡁䅑兡療䍁䅁免穁䑁䅯䅉䙂䡁䅍䅤杁䕁䅍兤祂䡁䅉䅉卂䝁䅕督杁䕁䅑党浂䝁䅫睙杁䡁䅑睢杁䙁䅁䅓呂䍁䅁䅋汁䍁䅫䅁奄杂䅁䅍䅁䙁䅉兙あ䝁䅫睢杁䑁䅅杏杁䕁䅣䅕塂䍁䅁䅤療䍁䅁䅕䥂䙁䅍䅉潁䍁䅕克䅁乁䝍䅁㑁䅁䅁杕桂䡁䅑兡療䍁䅁免㙁䍁䅁杔求䡁䅑䅉䑂䝁䅧睚杁䝁䅫杢杁䕁䅍杊呂䍁䅁䅋汁䍁䅫䅁湂兆䅁李䅁䙁䅉兙あ䝁䅫睢杁䑁䅉杏杁䕁䅣杣療䡁䅍督杁䕁䅍䅡湂䍁䅁睑流䙁䅍䅉潁䍁䅕克䅁䝁噯䅁睁䅁䅁杕桂䡁䅑兡療䍁䅁杍㙁䍁䅁杔兂䙁䅣䅉あ䝁䄸䅉兂䕁䅧睕杁䍁䅧兊灁䅁䅁儱䅙䑁䅁䅁卂䝁䅅䅤灂䝁䄸䅉穁䑁䅯䅉䑂䝁䅧睚杁䝁䅫杢杁䕁䄴䅕塂䍁䅁䅋汁䍁䅫䅁塄杂䅁䅢䅁䙁䅉兙あ䝁䅫睢杁䑁䅍杏杁䕁䄴党あ䍁䅁兓畂䝁䅍䅉あ䝁䄸䅉啂䝁䄸䅤杁䕁䅫杢橂䍁䅁䅋䩂䝁䄴睙獂䍁䅁杕獂䡁䅯䅚杁䕁䅍兙睂䍁䅁睒桂䝁䅫杢穂䍁䅫䅉潁䍁䅕克䅁䝁噙䅁㙁䅁䅁杕桂䡁䅑兡療䍁䅁䅎㙁䍁䅁兑歂䝁䅕兣杁䝁䄸杚杁䕁䅫杢㉂䍁䅁兓畂䝁䅍䅉潁䍁䅕克䅁䝁噧䅁䅂䅁䅁杕桂䡁䅑兡療䍁䅁䅎㙁䍁䅁睕ㅂ䡁䅉䅣獂䡁䅕督杁䕁䅅兡歂䍁䅁䅤療䍁䅁䅕䥂䙁䅍䅉潁䍁䅕克䅁乁䝯䅁坂䅁䅁</t>
  </si>
  <si>
    <t>杕桂䡁䅑兡療䍁䅁兎㙁䍁䅁䅉祁䍁䄰兗祂䍁䅁睔㉂䝁䅕杣桂䝁䅷䅢杁䕁䄸䅣求䡁䅉兙あ䝁䅫杢湂䍁䅁杕桂䡁䅑兡療䍁䅁䅋汁䍁䅫䅁扄杂䅁䅓䅁䙁䅉兙あ䝁䅫睢杁䑁䅕杏杁䍁䅁杔療䝁䄴兌䉂䝁䅑兢杁䡁䅑睢杁䕁䅅䅚瑂䍁䅁兑穂䡁䅍党あ䡁䅍䅉潁䍁䅕克䅁䝁噳䅁㉂䅁䅁杕桂䡁䅑兡療䍁䅁李㙁䍁䅁䅉啂䝁䄸䅤杁䙁䅉兒杁䍁䅙䅉啂䝁䄸䅤杁䕁䄰杣あ䝁䅣䅉䵂䝁䄸兙畂䡁䅍䅉あ䝁䄸䅉䑂䝁䅅督潂䍁䅁杊杁䕁䅫杢㉂䍁䅁兑穂䡁䅍党あ䡁䅍䅉潁䍁䅕克䅁䝁噷䅁ぁ䅁䅁杕桂䡁䅑兡療䍁䅁李㙁䍁䅁兓畂䡁䅙党穂䡁䅑䅉婂䝁䅫党獂䝁䅑䅉潁䍁䅕克䅁乁䝷䅁㡁䅁䅁杕桂䡁䅑兡療䍁䅁睎㙁䍁䅁睒祂䝁䄸督穂䍁䅁睑潂䝁䅣䅉灂䝁䄴䅉兂䕁䅧睕杁䍁䅧兊灁䅁䅁䄱䅙䕁䅁䅁卂䝁䅅䅤灂䝁䄸䅉㍁䑁䅯䅉啂䝁䄸䅤杁䕁䅅杚浂䍁䅁兓畂䡁䅙䅉あ䝁䄸䅉䑂䍁䅙睕杁䍁䅧兊灁䅁䅁剢䅕䕁䅁䅁卂䝁䅅䅤灂䝁䄸䅉㑁䑁䅯䅉佂䝁䅕䅤杁䕁䅍䅡湂䍁䅁兡畂䍁䅁兑歂䝁䅯䅉兂䕁䅧睕杁䍁䅧兊灁䅁䅁朱䅙䑁䅧䅁卂䝁䅅䅤灂䝁䄸䅉㑁䑁䅯䅉呂䡁䅕杣睂䝁䅷兤穂䍁䅁杕求䝁䅷兡求䝁䅙䅉潁䍁䅕克䅁䝁嘴䅁㑁䅁䅁杕桂䡁䅑兡療䍁䅁兏㙁䍁䅁睑潂䝁䅣䅉灂䝁䄴䅉兂䡁䅉党瑂䝁䅫兤瑂䍁䅁䅋汁䍁䅫䅁療兆䅁䅑䅁䙁䅉兙あ䝁䅫睢杁䑁䅫杏杁䕁䅷兡桂䝁䅉䅉あ䝁䄸䅉䵂䝁䅫兣杁䕁䅅督穂䝁䅕䅤穂䍁䅁䅋汁䍁䅫䅁婄杂䅁䅉䅁䙁䅉兙㕂䍁䅁䅒桂䡁䅙兡歂䍁䅁睑潂䝁䅅杢湂䅁䅁剂䅉䍁䅉䅁卂䝁䅅入杁䕁䅑兙㉂䝁䅫䅚杁䙁䅁兡橂䝁䅳兤睂䅁䅁削䅑䑁䅯䅁卂䝁䅅入瑂䝁䄸杢歂䍁䅁杓療䡁䅍党睂䝁䅧䅉卂䝁䅕杢求䍁䅁村桂䡁䅉杣求䡁䅑䅤求䅁䅁䉈䅑䍁䅯䅁卂䝁䅅入瑂䝁䄸杢歂䍁䅁睓桂䡁䅉䅢杁䕁䄰兤求䝁䅷䅢求䡁䅉䅁㥄䅅䅁䅐䅁䙁䅉党桂䝁䅷䅉䙂䡁䅍䅤桂䡁䅑党杁䕁䅉睢療䝁䅳䅉坂䝁䅅䅢ㅂ䝁䅕䅉潁䍁䅑䅍睁䑁䅁克䅁䡁䡍䅁潁䅁䅁杕求䝁䅍兡睂䡁䅉睢橂䝁䅅䅢杁䕁䅕䅥橂䝁䅧兙畂䝁䅣党䅁䕁䩁䅁十䅁䅁杕求䝁䅑䅉䍂䝁䅅杢牂䅁䅁别䅅䙁䅙䅁卂䝁䅕睚求䝁䄴睙求䍁䅁兓畂䡁䅍兤祂䝁䅅杢橂䝁䅕䅉䡂䡁䅉睢ㅂ䡁䅁䅉潁䙁䅍杔䵂䍁䅁䅓求䝁䅅䅢あ䝁䅧䅉䡂䡁䅉睢ㅂ䡁䅁克䅁䝁卑䅁⭁䅁䅁杕求䝁䅣兡療䝁䄴兙獂䍁䅁兌杁䕁䄰兡歂䡁䅣党穂䡁䅑党祂䝁䄴䅉剂䡁䅕兙歂䡁䅉兙畂䡁䅑䅁敃杂䅁村䅁䙁䅉党湂䝁䅫睢畂䝁䅅䅢杁䍁䄰䅉佂䝁䄸杣あ䝁䅧党桂䡁䅍䅤求䡁䅉杢杁䙁䅅兤桂䝁䅑杣桂䝁䄴䅤䅁䉁䴸䅁㙁䅁䅁杕求䝁䅣兡療䝁䄴兙獂䍁䅁兌杁䙁䅍睢ㅂ䡁䅑䅡求䡁䅉杢杁䙁䅅兤桂䝁䅑杣桂䝁䄴䅤䅁䥁䱙䅁㑁䅁䅁杕求䝁䅣兡療䝁䄴兙獂䍁䅁兌杁䙁䅣党穂䡁䅑党祂䝁䄴䅉剂䡁䅕兙歂䡁䅉兙畂䡁䅑䅁獃权䅁䅈䅁䙁䅉党灂䝁䄴䅡桂䡁䅉䅚杁䕁䅑党畂䝁䅳䅁㙁充䅁杖䅁䙁䅉党灂䝁䄴督ㅂ䡁䅉兙畂䝁䅍党杁䕁䅅督穂䡁䅕兢求䝁䅑䅉浂䡁䅉睢瑂䍁䅁兑浂䝁䅙兡獂䝁䅫兙あ䝁䅕督杁䍁䅧䅊睁䑁䅁䅍灁䅁䅁栲䅑䙁䄴䅁卂䝁䅕兡畂䡁䅍兤祂䝁䅅杢橂䝁䅕䅉䉂䡁䅍督ㅂ䝁䄰党歂䍁䅁杚祂䝁䄸兢杁䕁䄴睢畂䍁䅁兑浂䝁䅙兡獂䝁䅫兙あ䝁䅕督杁䍁䅧䅊睁䑁䅁䅍灁䅁䅁砳䅑䕁䄴䅁卂䝁䅕兡畂䡁䅍兤祂䝁䅅杢橂䝁䅕䅉䑂䝁䅕䅚求䝁䅑䅉あ䝁䄸䅉䉂䝁䅙杚灂䝁䅷兡桂䡁䅑党穂䍁䅁䅋歁䑁䅁䅍睁䍁䅫䅁桄䅆䅁杖䅁䙁䅉党灂䝁䄴督ㅂ䡁䅉兙畂䝁䅍党杁䕁䅍党歂䝁䅕䅚杁䡁䅑睢杁䕁䄴睢畂䍁䅁兑浂䝁䅙兡獂䝁䅫兙あ䝁䅕督杁䍁䅧䅊睁䑁䅁䅍灁䅁䅁栴䅑䝁䅁䅁卂䝁䅕兡畂䡁䅍兤祂䝁䅅杢橂䝁䅕䅉䡂䡁䅉睢ㅂ䡁䅁䅉䉂䝁䄰党祂䝁䅫睙桂䍁䅁兓畂䝁䅍杌杁䍁䅧睕佂䕁䅷䅉䵂䝁䅫杚求䍁䅁睒祂䝁䄸兤睂䍁䅫䅁㉂权䅁䅥䅁䙁䅉党灂䝁䄴督ㅂ䡁䅉兙畂䝁䅍党杁䕁䅣杣療䡁䅕䅣杁䝁䄸杚杁䕁䅅兢求䡁䅉兡橂䝁䅅䅌杁䕁䅫杢橂䝁䄸杣睂䝁䄸杣桂䡁䅑党歂䍁䅁䅋呂䕁䄴䅔杁䕁䅷兡浂䝁䅕䅉䡂䡁䅉睢ㅂ䡁䅁克䅁䡁䭕䅁⭁䅁䅁杕求䝁䅫杢穂䡁䅕杣桂䝁䄴睙求䍁䅁杕求䝁䅍睢㉂䝁䅕杣桂䝁䅉䅢求䍁䅁䅋歁䑁䅁䅍睁䍁䅫䅁㑄杂䅁䅤䅁䙁䅉党灂䝁䄴督ㅂ䡁䅉兙畂䝁䅍党杁䙁䅉党橂䝁䄸杤求䡁䅉兙楂䝁䅷党杁䝁䄸杢杁䕁䅷睢穂䡁䅍䅉流䍁䅁䅔䉂䕁䅕䅉卂䝁䅕督求䡁䅉杤求䡁䅍䅉潁䙁䅉党睂䝁䄸杣あ䝁䅕䅚灁䅁䅁硹䅑䕁䅉䅁卂䝁䅕兡畂䡁䅍兤祂䝁䅅杢橂䝁䅕䅉卂䝁䅕睙療䡁䅙党祂䝁䅅杙獂䝁䅕睌杁䕁䅍杊呂䍁䅁䅋汁䍁䅫䅁畁睂䅁䅢䅁䙁䅉党灂䝁䄴督ㅂ䡁䅉兙畂䝁䅍党杁䙁䅉党橂䝁䄸杤求䡁䅉兙楂䝁䅷党癁䍁䅁䅖療䡁䅑兙獂䍁䅁兒㑂䝁䅍䅢杁䙁䅕睕杁䕁䅅杚浂䝁䅫䅢灂䝁䅅䅤求䡁䅍䅉潁䍁䅕克䅁䑁䡁䅁佁䅁䅁杕求䝁䄰睢㉂䝁䅕䅁偃杂䅁䅉䅁䙁䅉党畂䝁䅅兡穂䡁䅍兙畂䝁䅍党杁䕁䄸杢求䅁䅁砶䅍䑁䅉䅁卂䝁䅕杢桂䝁䅫督穂䝁䅅杢橂䝁䅕䅉卂䝁䅕䅉噂䍁䄴睕畁䍁䅁兓畂䝁䅍杌䅁䝁卷䅁䕂䅁䅁杕求䝁䄴兙灂䡁䅍督桂䝁䄴睙求䍁䅁杕求䝁䅫杢穂䡁䅕杣桂䝁䄴睙求䍁䅁兖畁䙁䅍杌杁䕁䅫杢橂䍁䄴䅁瑂杅䅁杇䅁䙁䅉党畂䝁䅕䅉䡂䝁䄸杙療䝁䄴入桂䅁䅁睶䅙䕁䅁䅁卂䝁䅕杢求䡁䅣兙獂䍁䅁䅕祂䝁䅕兢灂䡁䅕兢穂䑁䅯䅉䕂䝁䅫杣求䝁䅍䅤杁䍁䅧䅊睁䑁䅁䅍灁䅁䅁桅䅕䅁䅯䅁卂䝁䅕杢療䅁䅁兌䄴䍁䅉䅁卂䝁䅕杢療䍁䅷䅉佂䙁䅙䅉潁䕁䄰党あ䡁䅉睢灁䅁䅁睋䄴䉁䅷䅁卂䝁䅕杢灄䍁䅁兔畁䍁䅁䅔求䡁䅉党祂䅁䅁兎䄸䕁䅁䅁卂䝁䅕䅣療䡁䅉䅤求䝁䅑䅉乂䝁䅕䅚灂䝁䅍兙獂䍁䅁睑桂䡁䅉党杁䙁䅉兙あ䝁䅫睢杁䍁䅧兊灁䅁䅁硳䅑䝁䅧䅁卂䝁䅕督求䡁䅉杤求䍁䅁杚療䡁䅉䅉卂䝁䅅䅤求䍁䅁睑祂䝁䅕䅚灂䡁䅑督杁䍁䅙䅉卂䝁䅕䅤祂䝁䄸督睂䝁䅕睙あ䝁䅫杤求䍁䅁兑歂䝁䅯䅉潁䍁䅑䅍睁䑁䅁克䅁乁唴䅁煁䅁䅁杕求䡁䅍党祂䡁䅙党穂䍁䄸䅉䙂䡁䅅兤灂䡁䅑入杁䍁䅧兊灁䅁䅁杊䅣䍁䅯䅁卂䝁䅕督求䡁䅉杤求䡁䅍睌杁䕁䅕兣ㅂ䝁䅫䅤㕂䍁䅁䅋㑂䍁䅫䅁䅄䅆䅁材䅁䙁䅉党あ䝁䅕杢あ䝁䅫睢畂䍁䅁杕桂䡁䅑兡療䍁䅁䅋佂䙁䅁睖癁䍁䅁睒兂䙁䅣克杁䍁䅧兊灁䅁䅁䅄䅣䕁䅙䅁卂䝁䅕䅤ㅂ䡁䅉杢杁䝁䄸杢杁䕁䅅杤求䡁䅉兙湂䝁䅕䅉䙂䡁䅅兤灂䡁䅑入杁䍁䅧睑流䙁䅍克杁䍁䅧兊灁䅁䅁䄯䅙䑁䅉䅁卂䝁䅕䅤ㅂ䡁䅉杢杁䝁䄸杢杁䕁䅅杤湂䍁䅁兑穂䡁䅍党あ䡁䅍䅉潁䍁䅕克䅁偁䜰䅁敁䅁䅁杕求䡁䅙党畂䡁䅕党杁䍁䅧䅊睁䑁䅁䅍灁䅁䅁杢䅣䑁䅁䅁卂䝁䅫睙潂䝁䅅杣歂䍁䅁兑獂䝁䅅杢杁䕁䅍䅡灂䡁䅉兡橂䝁䄸督あ䝁䅅䅁㡄䅅䅁杊䅁䙁䅉兡橂䝁䅧兙祂䝁䅑䅉䉂䝁䅷兙畂䍁䅁睔獂䡁䅍党畂䅁䅁䅆䅯䑁䅯䅁卂䝁䅫睙潂䝁䅅杣歂䍁䅁兑獂䝁䄸入穂䝁䅫兤穂䍁䅁睕睂䝁䅕杢橂䝁䅕杣杁䕁䅫兓䩂䅁䅁杮䅷䉁䄴䅁卂䝁䅫睙潂䝁䅅杣歂䍁䅁村桂䡁䅉杣療䡁䅣䅁塁杅䅁杍䅁䙁䅉兡橂䝁䅧兙祂䝁䅑䅉䙂䝁䅷䅢灂䝁䄸䅤あ䍁䅁兑畂䝁䅑党祂䡁䅍睢畂䅁䅁兂䄴䍁䅉䅁卂䝁䅫睙潂䝁䅅杣歂䍁䅁睒畁䍁䅁睖潂䝁䅫䅤求䅁䅁䉭䅅䑁䅑䅁卂䝁䅫睙潂䝁䅅杣歂䍁䅁杓療䝁䅧杢杁䕁䅣党祂䝁䅣兙穂䝁䅳睢杁䙁䅍杣畁䅁䅁剤䅍䍁䅷䅁卂䝁䅫睙潂䝁䅅杣歂䍁䅁杓療䡁䅍党睂䝁䅧䅉䍂䝁䅫党獂䝁䅕杢䅁䑁䩁䅁煁䅁䅁杕灂䝁䅍䅡桂䡁䅉䅚杁䕁䅷睢畂䝁䄴兡求䍁䅁村療䝁䅅䅢穂䅁䅁眵䅷䑁䅑䅁卂䝁䅫睙潂䝁䅅杣歂䍁䅁䅔療䡁䅕兡穂䍁䅁睒ㅂ䝁䅕杙求䡁䅉䅤杁䕁䅯杣畁䅁䅁杺䄰䍁䅁䅁卂䝁䅫睙潂䝁䅅杣歂䍁䅁兔畁䍁䅁村桂䝁䅫睢䅁䑁䱧䅁歁䅁䅁杕灂䝁䅍䅡桂䡁䅉䅚杁䕁䄰兙祂䝁䅳䅉䍂䝁䅅兡療䅁䅁䉷䅕䍁䄴䅁卂䝁䅫睙潂䝁䅅杣歂䍁䅁杔求䡁䅣党獂䝁䅷䅉呂䝁䅅杢浂䝁䄸杣歂䅁䅁桹䅅䑁䅁䅁卂䝁䅫睙潂䝁䅅杣歂䍁䅁䅕桂䡁䅑杣灂䝁䅍睡杁䕁䅍杣求䝁䅕䅚療䝁䄴䅁婄睅䅁䅌䅁䙁䅉兡橂䝁䅧兙祂䝁䅑䅉兂䝁䅅兤獂䍁䅁兔橂䕁䅳党畂䝁䄴党㕂䅁䅁杉䅳䙁䅙䅁卂䝁䅫睙潂䝁䅅杣歂䍁䅁杕求䝁䅕杤求䡁䅍䅉塂䝁䅧兡あ䡁䅑䅉䩂䕁䅫兓獁䍁䅁䅖潂䝁䄸兢桂䡁䅍䅉呂䍁䄴䅉䡂䝁䅅入畂䝁䅕杣䅁䵁兑䅁敁䅁䅁杕灂䝁䅍䅡桂䡁䅉䅚杁䙁䅉睢求䡁䅍睡求䅁䅁硏䅁䍁䅧䅁卂䝁䅫睙潂䝁䅅杣歂䍁䅁睕橂䝁䄸䅤あ䍁䅁杕桂䝁䅣党祂䅁䅁䉲䅅䑁䅁䅁卂䝁䅫睙潂䝁䅅杣歂䍁䅁睕あ䝁䅕杤求䝁䄴䅉䕂䡁䅯兡桂䝁䅑来灂䝁䄸䅁奂䅄䅁杋䅁䙁䅉兡橂䝁䅧兙祂䝁䅑䅉啂䍁䄴䅉䍂䡁䅕杣牂䝁䅕䅉呂䡁䅉杌䅁䉁䱑䅁睁䅁䅁杕灂䝁䅍䅡桂䡁䅉䅚杁䙁䅙兡畂䝁䅍党畂䡁䅑䅉兂䝁䄸兡祂䝁䅫党祂䅁䅁內䄰䉁䅉䅁卂䝁䅫睙潂䝁䄰睢畂䝁䅑䅁䭃元䅁杋䅁䙁䅉兡橂䝁䅧兢療䝁䄴䅚獁䍁䅁杖䉂䍁䅁䅋乂䝁䅕䅤祂䝁䄸克䅁䩁䩅䅁歁䅁䅁杕灂䝁䅍睡㕂䍁䅁䅔療䡁䅕兡穂䍁䅁兔求䝁䅅杢穂䅁䅁剁䅍䉁䅑䅁卂䝁䅫䅚湂䝁䅕䅢桂䝁䄴䅚䅁䉁呷䅁煁䅁䅁杕灂䡁䅍睡杁䙁䅉党あ䝁䅕杢あ䝁䅫睢畂䍁䅁睒祂䝁䄸兤睂䅁䅁䅡䅷䉁䅷䅁卂䝁䅫䅤桂䍁䅁杓畁䍁䅁䅓求䝁䅫督求䅁䅁朳䅷䍁䅑䅁卂䝁䄸杙求䡁䅉䅤杁䕁䅅杌杁䕁䄰党畂䝁䄸䅤あ䝁䅫䅁い䅅䅁䅌䅁䙁䅉睢楂䝁䅕杣あ䍁䅁兑歂䝁䅅兢杁䕁䅉兙灂䝁䅷党畂䡁䅍睢畂䅁䅁䅚䅷䍁䅷䅁卂䝁䄸杙求䡁䅉䅤杁䕁䅅䅢獂䝁䅕杢杁䙁䅉党求䝁䅑䅉䭂䡁䅉杌䅁佁剣䅁睁䅁䅁杕療䝁䅉党祂䡁䅑䅉䉂䝁䄴䅤潂䝁䄸杢㕂䍁䅁䅒灂䕁䄰兤橂䝁䅍兡療䅁䅁杄䅷䍁䅷䅁卂䝁䄸杙求䡁䅉䅤杁䕁䅅杢あ䝁䅧睢畂䡁䅫䅉乂䝁䅅杣灂䝁䄴睢䅁䱁偍䅁潁䅁䅁杕療䝁䅉党祂䡁䅑䅉䍂䍁䄴䅉呂䝁䅷睢桂䝁䄴䅉䭂䡁䅉杌䅁䭁义䅁獁䅁䅁杕療䝁䅉党祂䡁䅑䅉䑂䝁䅧兙祂䝁䅷党穂䍁䅁村桂䡁䅉杢求䡁䅍䅁㍂睅䅁䅈䅁䙁䅉睢楂䝁䅕杣あ䍁䅁睑療䡁䅑䅤療䝁䄴䅁祁权䅁䅌䅁䙁䅉睢楂䝁䅕杣あ䍁䅁䅒桂䝁䄴兡求䝁䅷䅉偂䍁䅣䅔求䝁䅅杣㕂䅁䅁眴䅯䍁䅷䅁卂䝁䄸杙求䡁䅉䅤杁䕁䅑兙㉂䝁䅫䅚杁䕁䅉杣求䝁䅅杣あ䝁䄸杢䅁乁䱣䅁潁䅁䅁杕療䝁䅉党祂䡁䅑䅉䕂䡁䅕杚浂䍁䅁睖桂䝁䅷䅢桂䝁䅍党䅁䉁吴䅁獁䅁䅁杕療䝁䅉党祂䡁䅑䅉䙂䝁䅷睚灂䝁䄴䅉塂䝁䅅杣歂䍁䅁杓祂䍁䄴䅁楃权䅁䅎䅁䙁䅉睢楂䝁䅕杣あ䍁䅁䅓桂䡁䅉睢獂䝁䅑䅉䍂䝁䅅䅤求䝁䄰兙畂䍁䅁杓祂䍁䄴䅁塁䅅䅁䅋䅁䙁䅉睢楂䝁䅕杣あ䍁䅁杓桂䝁䄰党穂䍁䅁兔桂䡁䅉来求䝁䅍䅁畄兄䅁杊䅁䙁䅉睢楂䝁䅕杣あ䍁䅁杓求䝁䅙杚祂䝁䅕入杁䕁䄸杣祂䅁䅁䅲䅫䍁䄴䅁卂䝁䄸杙求䡁䅉䅤杁䕁䅯睢潂䝁䄴䅉䵂䝁䄸睢畂䝁䅕入杁䕁䅯杣畁䅁䅁杫䅷䍁䅧䅁卂䝁䄸杙求䡁䅉䅤杁䕁䅯睢穂䝁䅕䅣潂䍁䅁杓療䡁䅫睙求䅁䅁䉐䅁䍁䅙䅁卂䝁䄸杙求䡁䅉䅤杁䕁䅷党療䍁䅁睕求䝁䄴睡獂䝁䅕杣䅁䩁䭕䅁獁䅁䅁杕療䝁䅉党祂䡁䅑䅉䵂䝁䅷睢㕂䝁䅑䅉卂䝁䅕入畂䝁䄸䅢歂䡁䅍䅁煃元䅁杌䅁䙁䅉睢楂䝁䅕杣あ䍁䅁兔灂䝁䅍䅡桂䝁䅕䅢杁䕁䅑兙瑂䝁䅅杢あ䝁䅕䅁䉂杅䅁杋䅁䙁䅉睢楂䝁䅕杣あ䍁䅁兔灂䝁䅍䅡桂䝁䅕䅢杁䕁䅑党䝂䝁䅕睢䅁䡁偙䅁獁䅁䅁杕療䝁䅉党祂䡁䅑䅉乂䝁䅫睙潂䝁䅅党獂䍁䅁杒桂䝁䅷来療䝁䄴䅁湁䅃䅁杌䅁䙁䅉睢楂䝁䅕杣あ䍁䅁杔灂䝁䅍䅡療䝁䅷兙穂䍁䅁䅖祂䡁䅕杢㙂䝁䄸䅁獄兄䅁䅋䅁䙁䅉睢楂䝁䅕杣あ䍁䅁䅕潂䝁䅫䅢灂䡁䅁䅉䍂䝁䅫䅥楂䡁䅫䅁硁䅅䅁杋䅁䙁䅉睢楂䝁䅕杣あ䍁䅁睕桂䝁䄰兤求䝁䅷䅉䑂䡁䅕杙楂䝁䅫杢䅁乁佅䅁杁䅁䅁杕療䝁䅉党祂䡁䅑䅉呂䡁䅁党獂䝁䅷兢桂䝁䄴䅁煃睅䅁杍䅁䙁䅉睢楂䝁䅕杣あ䍁䅁䅖潂䝁䄸兢桂䡁䅍䅉塂䝁䅫䅢獂䝁䅫督杁䙁䅍杣畁䅁䅁党䅳䍁䅯䅁卂䝁䄸杙求䡁䅉䅤杁䙁䅙杌杁䕁䄰党畂䝁䅑党獂䡁䅍睢潂䝁䄴䅁瑂充䅁杍䅁䙁䅉睢楂䡁䅫杢杁䕁䅅杢畂䍁䅁杓求䝁䄴杢灂䝁䅙党祂䍁䅁睖㕂䝁䅅䅤あ䅁䅁䉣䅁䉁䅑䅁卂䝁䄸睙潂䝁䅕督あ䝁䅕杣䅁䡁佉䅁獁䅁䅁杕療䝁䅍䅡求䡁䅍䅤求䡁䅉䅌杁䕁䄴兗杁䍁䅧兔求䡁䅑杣療䍁䅫䅁ㅂ杄䅁杌䅁䙁䅉睢歂䝁䄴党㕂䍁䅁睔㍂䝁䅕杢杁䕁䄰兙祂䡁䅑兡畂䍁䅁杓祂䍁䄴䅁獁睃䅁䅎䅁䙁䅉睢湂䝁䅕杣杁䙁䅣兙獂䡁䅑睢畂䍁䅁杒求䡁䅉睚ㅂ䡁䅍睢畂䍁䅁杓祂䍁䄴䅁㝁䅃䅁杌䅁䙁䅉睢湂䝁䅕杣杁䙁䅣兡獂䝁䅷兡桂䝁䄰䅉䑂䡁䅉兙畂䝁䅑兙獂䝁䅷䅁⽄睂䅁杊䅁䙁䅉睢畂䝁䅅䅢歂䍁䅁䅒求䝁䅅杢杁䙁䅁党あ䝁䅕杣穂䅁䅁全䅫䍁䅯䅁卂䝁䄸杢桂䝁䅷䅚杁䕁䅕杌杁䙁䅁兡睂䝁䄸䅢㕂䍁䅁杓祂䍁䄴䅁捁䅄䅁杋䅁䙁䅉睢畂䝁䅅䅢歂䍁䅁睒祂䝁䅕睚療䡁䅉入杁䕁䄰入潂䝁䅅杢䅁䝁䩉䅁獁䅁䅁杕療䝁䄴兙獂䝁䅑䅉䵂䡁䅕杣灂䝁䅕䅉啂䝁䅧睢瑂䡁䅁督療䝁䄴䅁㥁䅃䅁䅋䅁䙁䅉睢畂䝁䅅䅢歂䍁䅁杕療䡁䅫䅉䉂䝁䄴䅚求䡁䅉督療䝁䄴䅁晁睅䅁䅆䅁䙁䅉睢療䝁䄰䅉祁䑁䅕䅍睁䅁䅁券䅁䅁䄴䅁卂䝁䄸督獂䡁䅫杢䅁䉁卑䅁歁䅁䅁杕療䡁䅍督杁䙁䅉兙畂䝁䅳兡畂䍁䅁兔療䝁䄸䅚㕂䅁䅁剙䅅䍁䅙䅁卂䡁䅕督穂䝁䅕䅢獂䍁䅁杓療䝁䅧杢杁䙁䅍兡畂䝁䅍睢䅁䥁䱍䅁獁䅁䅁杕ㅂ䡁䅍督求䝁䅷䅢杁䕁䄰兙祂䝁䅳䅉䭂䝁䄸䅡畂䡁䅍䅤療䝁䄴䅁䭂杅䅁䅃䅁䙁䅍杊兂䅁䅁睍䅙䉁䅙䅁呂䕁䅅兓䝂䍁䅁睑療䡁䅉䅣畁䅁䅁硬䅉䍁䅉䅁呂䕁䅅兓䝂䍁䅁睑療䡁䅉䅣療䡁䅉兙あ䝁䅫睢畂䅁䅁桬䅉䅁䅙䅁呂䕁䅍䅁佄䅄䅁䅌䅁䙁䅍睑偂䙁䅉䅉潁䙁䅍杔䵂䍁䅁䅔灂䝁䅙党杁䕁䅣杣療䡁䅕䅣灁䅁䅁䉳䅉䍁䅯䅁呂䕁䅍睔卂䍁䅁䅋呂䕁䄴䅔杁䙁䅁杊䑂䍁䅁睒祂䝁䄸兤睂䍁䅫䅁㡃杅䅁杍䅁䙁䅍睑偂䙁䅉䅉呂䕁䅕䅉潁䙁䅍杔䵂䍁䅁䅔灂䝁䅙党杁䕁䅣杣療䡁䅕䅣灁䅁䅁剳䅉䑁䅁䅁呂䕁䅍睔卂䍁䅁睕䙂䍁䅁䅋呂䕁䄴䅔杁䙁䅁杊䑂䍁䅁睒祂䝁䄸兤睂䍁䅫䅁㝃杅䅁杋䅁䙁䅍杔䵂䍁䅁兓畂䡁䅍䅤灂䡁䅑兤あ䝁䅫睢畂䍁䅁睓求䡁䅫䅉䅁乁啉䅁⭁䅁䅁睕佂䕁䅷䅉呂䝁䅕睙療䝁䄴䅚杁䙁䅑兡求䡁䅉䅉䙂䝁䄴䅤灂䡁䅑入⽁䍁䅁兗求䡁䅍睌佂䝁䄸䅁獃杂䅁䅆䅁䙁䅍杔䵂䍁䅁睕あ䝁䅅杣あ䅁䅁硏䅅䑁䅑䅁呂䕁䄴䅔杁䙁䅍䅤桂䡁䅑兤あ䝁䄸杣㕂䍁䅁兒畂䡁䅑兡あ䡁䅫䅉䱂䝁䅕入杁䅁䅁睇䅉䉁䅉䅁呂䕁䄴䅔兂䡁䅉兡橂䝁䅕䅁剂䅆䅁杅䅁䙁䅍杔䵂䙁䅅兤求䡁䅉入䅁䵁䝑䅁十䅁䅁睕佂䕁䅷䅖桂䝁䅉䅢求䅁䅁䅳䅙䙁䅧䅁呂䝁䅅杚求䡁䅑入杁䕁䅫杢穂䡁䅕杣桂䝁䄴睙求䍁䅁睒祂䝁䄸兤睂䍁䅁兓畂䝁䅍杌杁䍁䅧睕佂䕁䅷䅉兂䍁䅙睑杁䕁䅣杣療䡁䅕䅣灁䅁䅁䉧䅉䙁䅯䅁呂䝁䅅杚求䡁䅑入杁䕁䅫杢穂䡁䅕杣桂䝁䄴睙求䍁䅁睒祂䝁䄸兤睂䍁䅷䅉䩂䝁䄴睙畁䍁䅁䅋呂䕁䄴䅔杁䙁䅁杊䑂䍁䅁睒祂䝁䄸兤睂䍁䅫䅁⽂杅䅁李䅁䙁䅍兙湂䝁䅫睙療䡁䅉䅉䵂䝁䅫杚求䍁䅁兓畂䡁䅍兤祂䝁䅅杢橂䝁䅕䅉䑂䝁䄸杌䅁䥁卫䅁⭁䅁䅁睕桂䝁䅣兡橂䝁䄸杣杁䕁䅷兡浂䝁䅕䅉䩂䝁䄴督ㅂ䡁䅉兙畂䝁䅍党杁䕁䅍睢瑂䡁䅁兙畂䡁䅫䅁䭃杅䅁䅋䅁䙁䅍兙湂䝁䅫杢桂䡁䅣䅌杁䕁䄰兓杁䍁䅧兔求䡁䅑杣療䍁䅫䅁慄杄䅁䅇䅁䙁䅍兙灂䝁䄴䅤杁䕁䅷睢ㅂ䝁䅫督䅁䕁乫䅁坁䅁䅁睕桂䝁䅫杢あ䍁䅁䅕桂䡁䅕䅢䅁䥁䬸䅁㡁䅁䅁睕桂䝁䅷兙祂䝁䅫党穂䍁䅁杊杁䕁䅉党畂䝁䅕杚灂䡁䅑督杁䙁䅉兙あ䝁䅫睢杁䍁䅧兊灁䅁䅁睄䅣䅁䅷䅁呂䝁䅅䅢求䝁䄰䅁慃杅䅁䅊䅁䙁䅍兙獂䝁䅕兢獁䍁䅁睔卂䍁䅁䅋乂䝁䅕䅤祂䝁䄸克䅁䩁匰䅁敁䅁䅁睕桂䝁䅷䅤杁䕁䅷兙牂䝁䅕䅉䑂䝁䅫䅤㕂䅁䅁睴䅷䑁䅙䅁呂䝁䅅䅢あ䍁䅁䅔桂䝁䅳党杁䕁䅍兡あ䡁䅫䅌杁䙁䅕䅖杁䍁䅧兔求䡁䅑杣療䍁䅫䅁㝃䅄䅁䅖䅁䙁䅍兙瑂䝁䄰睢畂䡁䅍䅉䙂䝁䄴䅤求䡁䅉䅣祂䝁䅫督求䡁䅍䅉䩂䝁䄴睙畁䍁䅁䅋呂䕁䄴䅔杁䕁䅷兡浂䝁䅕䅉䡂䡁䅉睢ㅂ䡁䅁克䅁䥁䭑䅁坂䅁䅁睕桂䝁䄰兢療䝁䄴督杁䕁䅕杢あ䝁䅕杣睂䡁䅉兡穂䝁䅕督獁䍁䅁兓畂䝁䅍杌杁䍁䅧睕佂䕁䅷䅉䵂䝁䅫杚求䍁䅁睒祂䝁䄸兤睂䍁䅫䅁䑃权䅁䅇䅁䙁䅍兙畂䍁䅁兑畂䡁䅑睢畂䝁䅫睢䅁偁䬴䅁䵂䅁䅁睕桂䝁䄴䅉䉂䝁䄴䅤療䝁䄴兡療䍁䄰杔求䡁䅣䅉䍂䡁䅉兙ㅂ䝁䄴杚求䝁䅷督獁䍁䅁䅖奂䍁䅁䅋乂䝁䅕䅤祂䝁䄸克䅁䅁䱅䅁啁䅁䅁睕桂䝁䄴䅉䕂䝁䅫党湂䝁䄸䅁晄睄䅁材䅁䙁䅍兙畂䍁䅁䅒灂䝁䅕睚療䍁䄰睑桂䡁䅉䅢穂䝁䅉兙歂䍁䅷䅉䑂䕁䅅䅉潁䕁䄰党あ䡁䅉睢灁䅁䅁䄳䄸䉁䅷䅁呂䝁䅅杢杁䕁䅙杣桂䝁䄴睙灂䡁䅍睙療䅁䅁䅳䅯䙁䅑䅁呂䝁䅅杢杁䕁䅙杣桂䝁䄴睙灂䡁䅍睙療䍁䄰睔桂䝁䅳䅢桂䝁䄴䅚瑁䕁䅧兙㕂䡁䅣兙祂䝁䅑䅌杁䕁䅍兑杁䍁䅧兔求䡁䅑杣療䍁䅫䅁祃权䅁䅄䅁䙁䅍兙畂䝁䅑入䅁䍁啅䅁ぁ䅁䅁睕桂䝁䄴杚療䡁䅉䅚杁䕁䅅䅢求䡁䅧兙畂䝁䅑党祂䍁䅁兓楂䡁䅉兙潂䝁䅫兢䅁䝁十䅁十䅁䅁睕桂䡁䅉兙穂䝁䄸䅤桂䅁䅁兯䄴䑁䄴䅁呂䝁䅅杤灂䝁䄴睚穂䍁䅁村桂䝁䄴睡杁䕁䅷兡浂䝁䅕䅉䩂䝁䄴督杁䕁䅍睢杁䝁䄸杚杁䕁䄰兑䅁䭁卑䅁煂䅁䅁睕桂䡁䅙兡畂䝁䅣督杁䕁䅉兙畂䝁䅳䅉䵂䝁䅫杚求䍁䅁兓畂䡁䅍兤祂䝁䅅杢橂䝁䅕䅉䑂䝁䄸兢睂䝁䅅杢㕂䍁䅁睢浂䍁䅁兔桂䡁䅍督桂䝁䅍䅡ㅂ䡁䅍党あ䡁䅑督䅁䭁卍䅁坁䅁䅁睕橂䝁䅧兙ㅂ䝁䄰杙ㅂ䡁䅉睚䅁䕁䱧䅁歁䅁䅁睕橂䝁䄸䅤あ䍁䅁兑獂䝁䅅杢杁䕁䄰兙祂䡁䅑兡畂䅁䅁䈲䅅䕁䅧䅁呂䝁䅍睢あ䡁䅑䅉䕂䝁䅫党畂䝁䅕杣獁䍁䅁䅖潂䝁䅕睢歂䝁䄸杣求䍁䅁睕橂䝁䄸䅤あ䍁䅁䅒灂䝁䅕杢求䡁䅉䅁䩃充䅁䅋䅁䙁䅍睙療䡁䅑䅤杁䕁䅕䅚㍂䝁䅅杣歂䍁䅁睖求䡁䅍䅤祂䝁䅅䅁流䅆䅁䅍䅁䙁䅍睙療䡁䅑䅤杁䕁䅕䅢獂䝁䅫睢あ䡁䅑䅉䉂䡁䅉兢穂䡁䅑杣療䝁䄴睚䅁䉁倴䅁睁䅁䅁睕橂䝁䄸䅤あ䝁䅫督潂䍁䅁杕求䍁䅁䅋噂䍁䄴睕畁䍁䅫䅉䩂䝁䄴睙畁䅁䅁硷䅉䑁䅉䅁呂䝁䅍睢あ䡁䅑兡穂䝁䅧䅉卂䝁䅕䅉潁䙁䅕杌呂䍁䄴克獁䍁䅁兓畂䝁䅍杌䅁䵁卑䅁坁䅁䅁睕橂䝁䄸䅤あ䡁䅍䅚桂䝁䅷党䅁䥁匸䅁十䅁䅁睕橂䡁䅉兙畂䡁䅑睢畂䅁䅁桒䅍䙁䅯䅁呂䝁䅍杣桂䝁䄴䅤療䝁䄴兌瑁䙁䅣兡獂䝁䅳党穂䍁䄰村桂䡁䅉杣求䍁䄰兌䥂䝁䅅来獂䝁䅕䅤療䝁䄴䅌杁䙁䅁兑杁䍁䅧兔求䡁䅑杣療䍁䅫䅁䑂睅䅁杊䅁䙁䅍党桂䝁䄴䅉䉂䝁䄴䅤療䝁䄴入杁䕁䅉党桂䡁䅑䅤㕂䅁䅁杔䅷䍁䅙䅁呂䝁䅕兙畂䍁䅁䅓求䝁䄴杣㕂䍁䅁兔桂䝁䅷睢畂䝁䅕入䅁䥁䵉䅁允䅁䅁睕求䝁䅅䅤あ䝁䅷党䅁䉁偯䅁䥂䅁䅁睕求䝁䅅䅤あ䝁䅷党瑁䙁䅑兙橂䝁䄸兢桂䍁䄰村求䝁䅷䅢求䡁䅙兤求䍁䅷䅉塂䕁䅅䅉潁䕁䄰党あ䡁䅉睢灁䅁䅁睷䅯䉁䅷䅁呂䝁䅕兙㉂䝁䅫党㍂䍁䅁䅓療䡁䅕督求䅁䅁剌䅑䑁䅷䅁呂䝁䅕睙杁䕁䄰兤あ䡁䅕兙獂䍁䅁䅔灂䝁䅙党杁䕁䅫杢穂䍁䅁睑療䍁䄴䅉療䝁䅙䅉佂䙁䅫䅁䱄杅䅁䅖䅁䙁䅍党橂䡁䅕杣灂䝁䅅杢杁䕁䅙兡畂䝁䅅杢橂䝁䅫兙獂䍁䅁睒祂䝁䄸兤睂䍁䅁䅋呂䕁䄴䅔杁䕁䅷兡浂䝁䅕䅉䡂䡁䅉睢ㅂ䡁䅁克䅁䥁䬰䅁浂䅁䅁睕求䝁䅍兤祂䝁䅫䅤㕂䍁䅁兔ㅂ䡁䅑兤桂䝁䅷䅉䵂䝁䅫杚求䍁䅁兓畂䡁䅍兤祂䝁䅅杢橂䝁䅕䅉䑂䝁䄸兢睂䝁䅅杢㕂䍁䅁睢浂䍁䅁杔求䡁䅣䅉婂䝁䄸杣牂䅁䅁䉺䅉䉁䅷䅁呂䝁䅕兡㕂䝁䅅䅉啂䡁䅍兤祂䡁䅕䅤桂䅁䅁框䅍䙁䄴䅁呂䝁䅕䅢求䝁䅍䅤灂䡁䅙党杁䕁䅫杢穂䡁䅕杣桂䝁䄴睙求䍁䅁睒祂䝁䄸兤睂䍁䅁兓畂䝁䅍杌杁䍁䅧睕佂䕁䅷䅉兂䍁䅙睑杁䕁䅣杣療䡁䅕䅣灁䅁䅁栱䅉䝁䅁䅁呂䝁䅕䅢求䝁䅍䅤灂䡁䅙党杁䕁䅫杢穂䡁䅕杣桂䝁䄴睙求䍁䅁睒祂䝁䄸兤睂䍁䅷䅉䩂䝁䄴睙畁䍁䅁䅋呂䕁䄴䅔杁䙁䅁杊䑂䍁䅁睒祂䝁䄸兤睂䍁䅫䅁塄杅䅁䅏䅁䙁䅍党畂䝁䅫睢祂䍁䅁䅓求䝁䅅䅢あ䝁䅧䅉䩂䝁䄴督杁䕁䅍睢畁䍁䅁睢浂䍁䅁䅕䉂䅁䅁䈴䅉䝁䅁䅁呂䝁䅕杢灂䝁䄸杣杁䕁䅧党桂䝁䅷䅤潂䍁䅁兓畂䡁䅍兤祂䝁䅅杢橂䝁䅕䅉䑂䝁䄸兢睂䝁䅅杢㕂䍁䅁睢浂䍁䅁䅕求䝁䄴杢穂䡁䅫䅢㉂䝁䅅杢灂䝁䅅䅁桄杅䅁杘䅁䙁䅍党畂䡁䅑杣㕂䍁䅁兓畂䡁䅍兤祂䝁䅅杢橂䝁䅕䅉桂䍁䅁兔ㅂ䡁䅑兤桂䝁䅷䅉䑂䝁䄸杌杁䍁䅧睕佂䕁䅷䅉䵂䝁䅫杚求䍁䅁睒祂䝁䄸兤睂䍁䅫䅁煄杅䅁䅘䅁䙁䅍党畂䡁䅑杣㕂䍁䅁兓畂䡁䅍兤祂䝁䅅杢橂䝁䅕䅉桂䍁䅁兔ㅂ䡁䅑兤桂䝁䅷䅉䑂䝁䄸杌杁䍁䅧睕佂䕁䅷䅉兂䍁䅙睑杁䕁䅣杣療䡁䅕䅣灁䅁䅁刹䅉䝁䅙䅁呂䝁䅕杢あ䡁䅉入杁䕁䅫杢穂䡁䅕杣桂䝁䄴睙求䍁䅁兙杁䕁䄰兤あ䡁䅕兙獂䍁䅁睑療䝁䄰䅣桂䝁䄴入杁䍁䅧睕佂䕁䅷䅉䵂䝁䅫杚求䍁䅁睒祂䝁䄸兤睂䍁䅫䅁牄杅䅁䅚䅁䙁䅍党畂䡁䅑杣㕂䍁䅁兓畂䡁䅍兤祂䝁䅅杢橂䝁䅕䅉桂䍁䅁兔ㅂ䡁䅑兤桂䝁䅷䅉䑂䝁䄸兢睂䝁䅅杢㕂䍁䅁䅋呂䕁䄴䅔杁䙁䅁杊䑂䍁䅁睒祂䝁䄸兤睂䍁䅫䅁い杅䅁杋䅁䙁䅍党㉂䝁䅕杢杁䕁䅧兙畂䝁䄸杤求䡁䅉䅉呂䡁䅅兤桂䡁䅉党䅁䱁䩁䅁畁䅁䅁睕潂䝁䅅兤畂䍁䅁䅕桂䡁䅑杣灂䝁䅍睡杁䙁䅣兡獂䝁䅷兡桂䝁䄰督䅁䩁卉䅁獁䅁䅁睕潂䝁䅅睤畂䍁䅁兔灂䝁䅍䅡桂䝁䅕䅢杁䕁䅣兤求䡁䅉䅤灂䝁䄴䅁䝂䅃䅁䅆䅁䙁䅍䅡求䝁䅉睢㕂䝁䅣兙畂䅁䅁睘䅳䍁䅷䅁呂䝁䅧党楂䝁䄸入湂䝁䅅杢獁䍁䅁睖䩂䍁䅁䅋乂䝁䅕䅤祂䝁䄸克䅁䙁䰴䅁㉁䅁䅁睕潂䝁䅕䅢あ䝁䅕杣杁䕁䅷兡浂䝁䅕䅉䩂䝁䄴督ㅂ䡁䅉兙畂䝁䅍党杁䕁䅍睢畁䅁䅁别䅉䑁䄴䅁呂䝁䅧党獂䡁䅑党祂䍁䅁䅔灂䝁䅙党杁䕁䅫杢穂䡁䅕杣桂䝁䄴睙求䍁䅁睑療䝁䄰䅣桂䝁䄴入䅁偁卯䅁慂䅁䅁睕潂䝁䅕䅢あ䝁䅕杣杁䕁䄰兤あ䡁䅕兙獂䍁䅁兓畂䡁䅍兤祂䝁䅅杢橂䝁䅕䅉䑂䝁䄸杌杁䍁䅧睕佂䕁䅷䅉兂䍁䅙睑杁䕁䅣杣療䡁䅕䅣灁䅁䅁硁䅍䝁䅉䅁呂䝁䅧党獂䡁䅑党祂䍁䅁兔ㅂ䡁䅑兤桂䝁䅷䅉䩂䝁䄴督ㅂ䡁䅉兙畂䝁䅍党杁䕁䅍睢瑂䡁䅁兙畂䡁䅫䅉潁䙁䅍杔䵂䍁䅁䅕流䕁䅍䅉䡂䡁䅉睢ㅂ䡁䅁克䅁䅁呑䅁歁䅁䅁睕潂䝁䅕杣㕂䝁䅷䅉䉂䍁䄴䅉䑂䝁䅧兙獂䡁䅕䅣桂䅁䅁兴䅯䑁䅯䅁呂䝁䅧兡㉂䝁䅅杢杁䙁䅍兡㉂䝁䅅督㍂䝁䅅兢㕂䍁䅁睕ㅂ䝁䅉杣桂䝁䄰兙畂䝁䅫兙瑂䅁䅁来䅫䍁䅧䅁呂䝁䅫䅚歂䝁䅧兙祂䡁䅑䅡桂䍁䅁睕桂䝁䄴睡桂䡁䅉兙畂䅁䅁朴䅣䙁䄴䅁呂䝁䅫杣灂䡁䅕督杁䕁䅫杢あ䝁䅕杣畂䝁䅅䅤灂䝁䄸杢桂䝁䅷䅉䡂䡁䅉睢ㅂ䡁䅁䅉䵂䡁䅑䅚杁䍁䅧睕佂䕁䅷䅉兂䍁䅙睑杁䕁䅣杣療䡁䅕䅣灁䅁䅁桂䅍䝁䅉䅁呂䝁䅫杣灂䡁䅕督杁䕁䅫杢あ䝁䅕杣畂䝁䅅䅤灂䝁䄸杢桂䝁䅷䅉䡂䡁䅉睢ㅂ䡁䅁䅌杁䕁䅷䅤歂䍁䄴䅉潁䙁䅍杔䵂䍁䅁䅕流䕁䅍䅉䡂䡁䅉睢ㅂ䡁䅁克䅁䅁呣䅁䥂䅁䅁睕療䝁䄰䅣療䍁䅁䅓療䝁䅷䅚灂䝁䄴睚穂䍁䅁兓畂䝁䅍杌杁䍁䅧睕佂䕁䅷䅉兂䍁䅙睑杁䕁䅣杣療䡁䅕䅣灁䅁䅁䉅䅍䕁䅯䅁呂䝁䄸兢睂䝁䄸䅉䥂䝁䄸䅢歂䝁䅫杢湂䡁䅍䅌杁䕁䅫杢橂䍁䄴䅉潁䙁䅍杔䵂䍁䅁䅕流䕁䅍䅉䡂䡁䅉睢ㅂ䡁䅁克䅁䅁吸䅁慁䅁䅁睕療䡁䅕䅤潂䝁䅉睢祂䝁䄸兤湂䝁䅧䅁扃元䅁䅆䅁䙁䅍睢ㅂ䡁䅑䅡求䝁䅅督あ䅁䅁䅖䅧䡁䅷䅁呂䝁䄸兤あ䝁䅧党祂䝁䄴䅉䝂䝁䅅杣瑂䍁䅁村ㅂ䡁䅉党桂䡁䅕䅉䑂䝁䅅督ㅂ䝁䅅䅢あ䡁䅫䅉䩂䝁䄴督ㅂ䡁䅉兙畂䝁䅍党杁䕁䅣杣療䡁䅕䅣杁䍁䅧睕佂䕁䅷䅉兂䍁䅙睑杁䕁䅣杣療䡁䅕䅣灁䅁䅁䉇䅍䑁䅷䅁呂䝁䄸兤あ䝁䅧党祂䝁䄴䅉䝂䝁䅅杣瑂䍁䅁村ㅂ䡁䅉党桂䡁䅕䅉䵂䝁䅫杚求䍁䅁兓畂䡁䅍䅁塃权䅁䅗䅁䙁䅍睢ㅂ䡁䅑䅡求䡁䅉杢杁䕁䅙兙祂䝁䄰䅉䍂䡁䅕杣求䝁䅅兤杁䕁䅷兡浂䝁䅕䅉䩂䝁䄴督ㅂ䡁䅉兙畂䝁䅍党杁䕁䅍睢瑂䡁䅁兙畂䡁䅫䅁奃权䅁杆䅁䙁䅍睢ㅂ䡁䅑䅡浂䝁䅫党獂䝁䅑䅁佄杄䅁䅆䅁䙁䅍睢ㅂ䡁䅑䅡㍂䝁䅕督あ䅁䅁睰䅧䍁䅧䅁呂䡁䅁党橂䝁䅫兙獂䡁䅑入杁䕁䅅杊䥂䍁䅁杒療䝁䅍兤穂䅁䅁睔䅧䉁䅧䅁呂䡁䅁杣灂䝁䄴睚浂䝁䅫党獂䝁䅑䅁㕄睂䅁䅍䅁䙁䅍䅣祂䝁䅫杢湂䝁䅙兡求䝁䅷䅚獁䍁䅁兓䵂䍁䅁䅋乂䝁䅕䅤祂䝁䄸克䅁䭁偑䅁睁䅁䅁睕睂䡁䅉兡畂䝁䅣杚灂䝁䅕䅢歂䍁䅷䅉乂䕁䅅䅉潁䕁䄰党あ䡁䅉睢灁䅁䅁儯䅣䑁䅉䅁呂䡁䅑杌杁䕁䅷睢ㅂ䝁䅫督獁䍁䅁兔偂䍁䄰兓䵂䍁䅁䅋乂䝁䅕䅤祂䝁䄸克䅁䡁䭳䅁十䅁䅁睕あ䝁䅅兢浂䝁䄸杣歂䅁䅁䅕䅫䍁䅷䅁呂䡁䅑兙畂䝁䅷党㕂䍁䅁兑歂䝁䅅兢杁䕁䅣兙獂䝁䅅杢穂䝁䅳兡䅁䝁剳䅁兂䅁䅁睕あ䝁䅅杣祂䍁䅁兓畂䡁䅑党祂䝁䄴兙あ䝁䅫睢畂䝁䅅䅢杁䕁䅍睢畁䍁䅁䅋呂䕁䄴䅔杁䙁䅁杊䑂䍁䅁睒祂䝁䄸兤睂䍁䅫䅁桁睅䅁䅚䅁䙁䅍䅤桂䡁䅉杣杁䕁䅫杢あ䝁䅕杣畂䝁䅅䅤灂䝁䄸杢桂䝁䅷䅉䑂䝁䄸兢睂䝁䅅杢㕂䍁䅷䅉䩂䝁䄴睙畁䍁䅁䅋呂䕁䄴䅔杁䙁䅁杊䑂䍁䅁睒祂䝁䄸兤睂䍁䅫䅁楁睅䅁杘䅁䙁䅍䅤桂䡁䅑党杁䕁䅅兤あ䝁䄸䅉䩂䝁䄴督ㅂ䡁䅉兙畂䝁䅍党杁䕁䅍睢瑂䡁䅁兙畂䝁䅫党穂䍁䅁䅋呂䕁䄴䅔杁䙁䅁杊䑂䍁䅁睒祂䝁䄸兤睂䍁䅫䅁煁睅䅁䅏䅁䙁䅍䅤桂䡁䅑党杁䕁䅍睢瑂䡁䅁党畂䡁䅍兙あ䝁䅫睢畂䍁䅁兓畂䡁䅍䅉䝂䡁䅕杢歂䅁䅁兰䅯䕁䅑䅁呂䡁䅑兙あ䝁䅕䅉䑂䝁䄸兢睂䝁䅕杢穂䝁䅅䅤灂䝁䄸杢杁䕁䅫杢穂䡁䅕杣桂䝁䄴睙求䍁䅁杒ㅂ䝁䄴䅚䅁䭁䭙䅁杂䅁䅁睕あ䝁䅅䅤求䍁䅁杒桂䡁䅉兢杁䕁䄰兤あ䝁䅷䅉䉂䡁䅕䅤療䝁䄰睢楂䝁䅫䅢求䍁䅁兓畂䡁䅍䅉潁䙁䅍杔䵂䍁䅁䅔灂䝁䅙党杁䕁䅣杣療䡁䅕䅣灁䅁䅁睴䅯䙁䄴䅁呂䡁䅑兙あ䝁䅕䅉䝂䝁䅅杣瑂䍁䅁兔ㅂ䡁䅑䅢杁䕁䅅兤あ䝁䄸兢療䝁䅉兡獂䝁䅕䅉䩂䝁䄴督杁䍁䅧睕佂䕁䅷䅉兂䍁䅙睑杁䕁䅣杣療䡁䅕䅣灁䅁䅁睋䅧䥁䅁䅁呂䡁䅑兙あ䝁䅕䅉䝂䝁䅅杣瑂䍁䅁兔ㅂ䡁䅑兤桂䝁䅷䅉䉂䡁䅕䅤療䝁䄰睢楂䝁䅫䅢求䍁䅁兓畂䡁䅍兤祂䝁䅅杢橂䝁䅕䅉䑂䝁䄸兢睂䝁䅅杢㕂䍁䅁䅋呂䕁䄴䅔杁䕁䅷兡浂䝁䅕䅉䡂䡁䅉睢ㅂ䡁䅁克䅁䱁䭧䅁⭂䅁䅁睕あ䝁䅅䅤求䍁䅁杒桂䡁䅉兢杁䕁䄰兤あ䡁䅕兙獂䍁䅁兑ㅂ䡁䅑睢瑂䝁䄸杙灂䝁䅷党杁䕁䅫杢穂䡁䅕杣桂䝁䄴睙求䍁䅁睑療䝁䄰䅣桂䝁䄴入杁䍁䅧睕佂䕁䅷䅉兂䍁䅙睑杁䕁䅣杣療䡁䅕䅣灁䅁䅁杋䅧䍁䄴䅁呂䡁䅑兙あ䝁䅕䅉坂䝁䄸䅢ㅂ䝁䄴䅤求䝁䅕杣杁䕁䄰兤あ䡁䅕兙獂䅁䅁硍䅍䙁䅉䅁呂䡁䅑兙あ䝁䅕䅉坂䝁䄸䅢ㅂ䝁䄴䅤求䝁䅕杣杁䕁䄰兤あ䡁䅕兙獂䍁䅁兓畂䡁䅍兤祂䝁䅅杢橂䝁䅕䅉䑂䝁䄸兢睂䝁䅅杢㕂䅁䅁䉎䅍䑁䅷䅁呂䡁䅑兙あ䝁䅕䅉塂䝁䄸杣牂䝁䅕杣穂䍁䅣䅉䩂䝁䄴督ㅂ䡁䅉兙畂䝁䅍党杁䕁䅙兤畂䝁䅑䅁䅂睅䅁䅎䅁䙁䅍䅤求䡁䅁䅡求䝁䄴䅉䕂䝁䅅杤灂䝁䅑䅉卂䍁䄴䅉乂䝁䅍杔桂䝁䄰兙祂䝁䅅䅁呃杅䅁杊䅁䙁䅍䅤求䡁䅁䅡求䝁䄴䅉䭂䍁䄴䅉䥂䝁䅕兢穂䝁䅷党㕂䅁䅁杅䅳䑁䅑䅁呂䡁䅑党睂䝁䅧党畂䍁䅁䅔桂䡁䅣杣求䝁䄴睙求䍁䅁睖桂䝁䅕睙潂䡁䅑党祂䅁䅁兎䄰䍁䅧䅁呂䡁䅑党睂䝁䅧党畂䍁䅁杕療䝁䅉党祂䡁䅑䅉䵂䝁䅅杢湂䅁䅁杮䄸䑁䅁䅁呂䡁䅑党睂䝁䅧党畂䍁䅁睕橂䝁䄸䅤あ䍁䅁杕桂䡁䅍兢ㅂ䡁䅍督求䝁䄴䅁㝁权䅁杋䅁䙁䅍䅤求䡁䅁䅡求䝁䄴䅉塂䝁䅫䅢獂䝁䅫兙瑂䍁䅁䅕灂䝁䅍睡䅁䩁倸䅁睁䅁䅁睕あ䝁䅕杤求䝁䄴䅉䉂䝁䅷杙求䡁䅉䅤杁䕁䅳兙畂䝁䅑兙祂䝁䅫兙畂䅁䅁睖䅙䍁䄴䅁呂䡁䅑党㉂䝁䅕杢杁䕁䅍杣桂䝁䅫睚杁䙁䅁兙獂䝁䄰兡あ䝁䅫党祂䅁䅁睩䅯䍁䅙䅁呂䡁䅑党㉂䝁䅕杢杁䕁䅑兙畂䝁䅫党獂䍁䅁䅔桂䡁䅍䅡䅁䍁乁䅁流䅁䅁睕あ䝁䅕杤求䝁䄴䅉䙂䝁䄰兡獂䍁䅁睕潂䝁䅕杙灂䝁䅳䅁⽂䅃䅁䅌䅁䙁䅍䅤求䡁䅙党畂䍁䅁兒ㅂ䝁䅣党畂䝁䅕䅉䙂䝁䄴睚獂䝁䅫督潂䅁䅁䉍䅍䍁䅙䅁呂䡁䅑党㉂䝁䅕杢杁䕁䅣䅢求䝁䄴䅉塂䝁䅅䅢牂䝁䅕杣䅁䍁䨸䅁畁䅁䅁睕あ䝁䅕杤求䝁䄴䅉䭂䡁䅕督あ䡁䅕督杁䕁䅯睢潂䝁䄴督あ䝁䄸杢䅁䩁乁䅁歁䅁䅁睕あ䝁䅕杤求䝁䄴䅉䵂䝁䅕党杁䕁䅧兙祂䝁䅑兡畂䅁䅁杵䄰䉁䅷䅁呂䡁䅑党㉂䝁䅕杢穂䍁䅁䅕療䝁䅫杢あ䅁䅁刷䅉䑁䅑䅁呂䡁䅑党㉂䝁䅕杢穂䍁䅁䅕療䝁䅫杢あ䍁䅷䅉塂䕁䅫䅉潁䕁䄰兡橂䡁䅉睢灁䅁䅁䈸䅉䉁䅷䅁呂䡁䅑睢橂䝁䅳䅉䑂䝁䄸兢睂䝁䅅杢㕂䅁䅁睘䅅䕁䅷䅁呂䡁䅑睢橂䝁䅳䅡療䝁䅷䅚求䡁䅉䅉䕂䝁䅫杤灂䝁䅑党畂䝁䅑督癁䍁䅁杔求䡁䅑䅉䩂䝁䄴睙療䝁䄰党杁䍁䅧兊灁䅁䅁䅌䅣䍁䅧䅁呂䡁䅑兤桂䡁䅉䅤杁䕁䅉䅢桂䝁䅫杢杁䙁䅁兙祂䝁䅳党祂䅁䅁睁䅳䍁䅁䅁呂䡁䅕杙杁䙁䅕睕㙁䍁䅁䅔啂䍁䅁村療䝁䄴䅚䅁䅁䉙䅁杁䅁䅁睕ㅂ䝁䅉䅉噂䙁䅍杏杁䙁䅍䅖杁䕁䅉睢畂䝁䅑䅁䕃䅁䅁杖䅁䙁䅍兤楂䝁䅑兡㉂䍁䅁兖呂䍁䅁睕あ䑁䅯䅉䍂䝁䄸杢歂䡁䅍杏杁䕁䅍兙祂䡁䅉入灂䝁䄴睚杁䙁䅙兙獂䡁䅕党杁䍁䅧䅊睁䑁䅁䅍灁䅁䅁儰䅣䉁䅑䅁呂䡁䅕兡あ䝁䅕䅉硁䑁䅁䅍䅁佁䭁䅁坁䅁䅁睕ㅂ䝁䅫䅤求䍁䅁免睁䑁䅁睎䅁䑁匰䅁坁䅁䅁睕ㅂ䝁䅫䅤求䍁䅁免硁䑁䅁䅍䅁䩁剉䅁啁䅁䅁睕ㅂ䝁䅫䅤求䍁䅁免祁䑁䅁䅁時睄䅁杆䅁䙁䅍兤灂䡁䅑党杁䑁䅅杍睁䑁䅁䅁⭃权䅁䅇䅁䙁䅍兤灂䡁䅑党杁䑁䅅杍睁䑁䅉睕䅁䝁䱯䅁坁䅁䅁睕ㅂ䝁䅫䅤求䍁䅁免祁䑁䅉䅍䅁䱁偳䅁坁䅁䅁睕ㅂ䝁䅫䅤求䍁䅁免穁䑁䅁䅍䅁䑁䴰䅁坁䅁䅁睕ㅂ䝁䅫䅤求䍁䅁免ぁ䑁䅁䅍䅁䥁䩅䅁坁䅁䅁睕ㅂ䝁䅫䅤求䍁䅁免ぁ䑁䅑䅍䅁佁䡳䅁坁䅁䅁睕ㅂ䝁䅫䅤求䍁䅁免ㅁ䑁䅁䅍䅁䝁光䅁坁䅁䅁睕ㅂ䝁䅫䅤求䍁䅁免㑁䑁䅁䅍䅁䥁䱳䅁坁䅁䅁睕ㅂ䝁䅫䅤求䍁䅁免㕁䑁䅁䅍䅁䑁倰䅁啁䅁䅁睕ㅂ䝁䅫䅤求䍁䅁杍睁䑁䅁䅁塁杄䅁䅉䅁䙁䅍兤灂䡁䅑党杁䑁䅉䅍睁䍁䅁睕療䡁䅕䅤潂䅁䅁硭䅁䉁䅑䅁呂䡁䅕兡あ䝁䅕䅉祁䑁䅅䅍䅁䩁䩫䅁十䅁䅁睕ㅂ䝁䅫䅤求䍁䅁睍睁䅁䅁朹䄰䉁䅑䅁呂䡁䅕兡あ䝁䅕䅉穁䑁䅁䅍䅁䑁䩑䅁敁䅁䅁睕ㅂ䝁䅫䅤求䍁䅁睍睁䑁䅁䅉塂䝁䅕督あ䅁䅁具䅳䉁䅙䅁呂䡁䅕兡あ䝁䅕䅉穁䑁䅁䅍䑂䅁䅁桍䅉䉁䅑䅁呂䡁䅕兡あ䝁䅕䅉穁䑁䅁免䅁䵁关䅁啁䅁䅁睕ㅂ䝁䅫䅤求䍁䅁睍睁䑁䅑䅁㍄充䅁杆䅁䙁䅍兤灂䡁䅑党杁䑁䅍杍睁䑁䅁䅁䭁䅃䅁杆䅁䙁䅍兤灂䡁䅑党杁䑁䅍䅎睁䑁䅁䅁汃䅅䅁䅆䅁䙁䅍兤灂䡁䅑党杁䑁䅍睎ㅁ䅁䅁杴䅷䉁䅙䅁呂䡁䅕兡あ䝁䅕䅉穁䑁䅣睎ㅁ䅁䅁督䄸䉁䅑䅁呂䡁䅕兡あ䝁䅕䅉ぁ䑁䅁䅍䅁䱁噕䅁坁䅁䅁睕ㅂ䝁䅫䅤求䍁䅁䅎祁䑁䅁䅍䅁䝁匴䅁啁䅁䅁睕ㅂ䝁䅫䅤求䍁䅁䅎ぁ䑁䅁䅁䡃䅃䅁䅆䅁䙁䅍兤灂䡁䅑党杁䑁䅕䅍睁䅁䅁睪䅷䉁䅙䅁呂䡁䅕兡あ䝁䅕䅉ㅁ䑁䅣䅍睁䅁䅁睡䅷䉁䅑䅁呂䡁䅕兡あ䝁䅕䅉㉁䑁䅁䅍䅁䉁呍䅁啁䅁䅁睕ㅂ䝁䅫䅤求䍁䅁李硁䑁䅁䅁乁䅅䅁䅆䅁䙁䅍兤灂䡁䅑党杁䑁䅣䅍睁䅁䅁䅨䅙䉁䅑䅁呂䡁䅕兡あ䝁䅕䅉㍁䑁䅅䅍䅁䙁兣䅁啁䅁䅁睕ㅂ䝁䅫䅤求䍁䅁兏祁䑁䅑䅁㡂睄䅁杆䅁䙁䅍兤灂䡁䅑党杁䕁䅅睍睁䑁䅕䅁畄元䅁杇䅁䙁䅍兤灂䡁䅑党杁䙁䅁䅕瑁䑁䅅兎䕂䅁䅁睲䄸䙁䅯䅁呂䡁䅕兢灂䡁䅑睢瑂䝁䄸䅉䵂䝁䅫杚求䍁䅁兓畂䡁䅍兤祂䝁䅅杢橂䝁䅕䅉䑂䝁䄸杌杁䍁䅧睕佂䕁䅷䅉䵂䝁䅫杚求䍁䅁睒祂䝁䄸兤睂䍁䅫䅁㙃权䅁杙䅁䙁䅍兤瑂䝁䅫䅤療䝁䄰睢杁䕁䅷兡浂䝁䅕䅉䩂䝁䄴督ㅂ䡁䅉兙畂䝁䅍党杁䕁䅍睢瑂䡁䅁兙畂䡁䅫䅉潁䙁䅍杔䵂䍁䅁䅔灂䝁䅙党杁䕁䅣杣療䡁䅕䅣灁䅁䅁睵䅯䙁䅉䅁呂䡁䅕杢杁䕁䅷兡浂䝁䅕䅉䝂䝁䅫杢桂䝁䄴睙灂䝁䅅䅢杁䕁䅫杢橂䍁䄴䅉潁䙁䅍杔䵂䍁䅁䅔灂䝁䅙党杁䕁䅣杣療䡁䅕䅣灁䅁䅁睸䅯䉁䅧䅁呂䡁䅕杢杁䙁䅁杣桂䝁䅫杣灂䝁䅕䅁䥂杅䅁杘䅁䙁䅍兤睂䡁䅁䅉䑂䝁䄴䅤祂䝁䅍䅤穂䍁䅷䅉偂䡁䅑䅡㙁䍁䅁村求䝁䄴党浂䝁䅫䅤杁䙁䅉兙あ䝁䅫睢㙁䍁䅁䅕祂䝁䅕兢灂䡁䅕兢穂䍁䅁䅋汁䍁䅫䅁湁兆䅁䅕䅁䙁䅍兤睂䡁䅁䅉䑂䝁䄴䅤祂䝁䅍䅤穂䍁䅷䅉偂䡁䅑䅡㙁䍁䅁睑療䝁䄰兢灂䡁䅍督灂䝁䄸杢杁䙁䅉兙あ䝁䅫睢杁䍁䅧兊灁䅁䅁剖䅕䙁䄴䅁呂䡁䅕䅣睂䍁䅁睑畂䡁䅑杣橂䡁䅑督獁䍁䅁睔あ䝁䅧杏杁䕁䅕䅥睂䝁䅕杢穂䝁䅕䅉卂䝁䅅䅤灂䝁䄸杏杁䙁䅁杣求䝁䄰兡ㅂ䝁䄰督杁䍁䅧兊灁䅁䅁硒䅕䝁䅑䅁呂䡁䅕䅣睂䍁䅁睑畂䡁䅑杣橂䡁䅑督獁䍁䅁睔あ䝁䅧杏杁䙁䅁杣求䝁䄰兡ㅂ䝁䄰督杁䍁䅙䅉䑂䝁䄸杢穂䝁䅫䅚穂䑁䅯䅉䍂䡁䅫䅉䵂䕁䄸村杁䍁䅧兊灁䅁䅁剎䅕䍁䅯䅁呂䡁䅕杣睂䝁䅷兤穂䍁䅁杔療䡁䅑党穂䍁䅁䅋歁䑁䅁䅍睁䍁䅫䅁䵂睂䅁䅕䅁䙁䅍兤祂䡁䅁䅢ㅂ䡁䅍䅉桂䡁䅍䅉卂䝁䅕睚桂䡁䅉䅚穂䍁䅁䅕療䝁䅷兡橂䡁䅫䅡療䝁䅷䅚求䡁䅉督杁䍁䅧䅊睁䑁䅁䅍灁䅁䅁䄷䅙䍁䅙䅁呂䡁䅕督桂䝁䄴䅉䍂䍁䄴䅉䑂䝁䄸兢睂䝁䅅杣桂䡁䅑睢䅁䙁呙䅁獁䅁䅁睕ㅂ䡁䅍兙畂䍁䅁兒獂䝁䅫来桂䝁䅉党あ䝁䅧䅉䥂䝁䅅兙橂䝁䅳䅁湁充䅁杊䅁䙁䅍兤穂䝁䅅杢杁䕁䅯睢㕂䍁䅁村㕂䝁䅫杢湂䡁䅑睢畂䅁䅁䅉䄸䍁䅙䅁呂䡁䅕督桂䝁䄴䅉䱂䍁䄴䅉塂䝁䅫䅢牂䝁䅫杢穂䝁䄸杢䅁䵁䥕䅁睁䅁䅁睕ㅂ䡁䅍兙畂䍁䅁䅕桂䡁䅑杣灂䝁䅍兡桂䍁䅁睒祂䝁䅫杚浂䝁䅫䅤潂䅁䅁兣䅯䍁䅧䅁呂䡁䅕督桂䝁䄴䅉啂䡁䅣兡畂䝁䅕䅉䕂䝁䅕兙牂䝁䅫杢穂䅁䅁䅘䅯䑁䅑䅁呂䡁䅣兡穂䡁䅍䅉卂䝁䅕䅉䵂䍁䅙䅓杁䕁䅅兢求䡁䅉兡橂䝁䅅䅉䩂䝁䄴睙畁䅁䅁硓䅍䕁䅧䅁呂䡁䅣兡穂䡁䅍䅉卂䝁䅕䅉䵂䝁䅫杚求䍁䅁杊杁䕁䅧党桂䝁䅷䅤潂䍁䅁兑瑂䝁䅕杣灂䝁䅍兙杁䕁䅫杢橂䍁䄴䅁䭂睅䅁村䅁䙁䅍睤灂䡁䅍督杁䙁䅉党杁䕁䅷兡瑂䝁䅫䅤求䝁䅑䅉潁䙁䅍杔䵂䍁䅁䅕流䕁䅍䅉䡂䡁䅉睢ㅂ䡁䅁克䅁乁䭅䅁㙁䅁䅁睕㍂䝁䅫督穂䍁䅁杕求䍁䅁䅔あ䝁䅑䅉潁䙁䅍杔䵂䍁䅁䅕流䕁䅍䅉䡂䡁䅉睢ㅂ䡁䅁克䅁乁䭉䅁䵂䅁䅁睕㕂䝁䄴睙療䡁䅉兙杁䕁䅧睢獂䝁䅑兡畂䝁䅣督杁䕁䅷䅤歂䍁䄴䅉潁䙁䅍杔䵂䍁䅁䅕流䕁䅍䅉䡂䡁䅉睢ㅂ䡁䅁克䅁䙁呁䅁獁䅁䅁䅖䩂䕁䅅兑杁䍁䅧睕佂䕁䅷䅉䵂䝁䅫杚求䍁䅁睒祂䝁䄸兤睂䍁䅫䅁㉁䅃䅁杂䅁䙁䅑杔䅁䉁䰴䅁䝁䅁䅁䅖奂䅁䅁睱䅧䅁䅷䅁啂䝁䅅兢睂䝁䅅䅁瑄睅䅁䅗䅁䙁䅑兙瑂䡁䅁兙瑁䙁䅍䅤畁䍁䅁䅕求䡁䅑党祂䡁䅍杙ㅂ䡁䅉睚瑁䕁䅍䅢求䝁䅅杣㍂䝁䅅䅤求䡁䅉䅌杁䕁䅙䅔杁䍁䅧兔求䡁䅑杣療䍁䅫䅁睄睅䅁䅗䅁䙁䅑兙畂䝁䅣兡楂䝁䅷党杁䕁䅍睢瑂䝁䄰睢畂䍁䅁兒硂䡁䅕兡あ䡁䅫睌杁䙁䅑兙畂䝁䅣兡楂䝁䅷党杁䕁䅅督穂䝁䅕䅤穂䍁䅁䅋汁䍁䅫䅁㕃䅆䅁䅐䅁䙁䅑兙㑂䍁䅷䅉䵂䝁䅫睙求䝁䄴督求䍁䅁杊杁䕁䅙党求䡁䅍䅉卂䝁䅅䅤灂䝁䄸䅉潁䍁䅕克䅁䅁䠴䅁流䅁䅁䅖求䝁䅑䅉乂䝁䄸杣祂䝁䅫督杁䕁䅯睢潂䝁䄴督療䝁䄴䅁元䅃䅁䅙䅁䙁䅑党畂䝁䄴党穂䡁䅍党求䍁䅁杒桂䡁䅉兢求䡁䅉督杁䕁䅷兡浂䝁䅕䅉䩂䝁䄴督杁䕁䅍睢畁䍁䅁䅋呂䕁䄴䅔杁䕁䅷兡浂䝁䅕䅉䡂䡁䅉睢ㅂ䡁䅁克䅁䙁呯䅁あ䅁䅁䅖求䝁䄴杢求䡁䅍督求䝁䅕䅉䝂䝁䅅杣瑂䝁䅕杣穂䍁䅁䅔灂䝁䅙党杁䕁䅫杢穂䡁䅕杣桂䝁䄴睙求䍁䅁睑療䝁䄰䅣桂䝁䄴入杁䍁䅧睕佂䕁䅷䅉䵂䝁䅫杚求䍁䅁睒祂䝁䄸兤睂䍁䅫䅁婂睅䅁杘䅁䙁䅑党畂䝁䄴党穂䡁䅍党求䍁䅁杒桂䡁䅉兢求䡁䅉督杁䕁䄰兤あ䝁䅷䅉䩂䝁䄴督杁䕁䅍睢畁䍁䅁䅋呂䕁䄴䅔杁䙁䅁杊䑂䍁䅁睒祂䝁䄸兤睂䍁䅫䅁橂睅䅁杤䅁䙁䅑党畂䝁䄴党穂䡁䅍党求䍁䅁杒桂䡁䅉兢求䡁䅉督杁䕁䄰兤あ䡁䅕兙獂䍁䅁兓畂䡁䅍兤祂䝁䅅杢橂䝁䅕䅉䑂䝁䄸兢睂䝁䅅杢㕂䍁䅁䅋呂䕁䄴䅔杁䙁䅁杊䑂䍁䅁睒祂䝁䄸兤睂䍁䅫䅁楂睅䅁䅋䅁䙁䅑党祂䝁䅕督桂䍁䅁杓求䝁䅅杢杁䕁䅑兙獂䝁䅕杢あ䝁䅅䅁䩁睄䅁杋䅁䙁䅑党祂䝁䅕督桂䍁䅁杓療䡁䅫䅉卂䝁䅅督瑂䡁䅕督穂䝁䅕杢䅁䥁呉䅁畁䅁䅁䅖求䡁䅉杣桂䝁䄴睙求䍁䅁杓療䡁䅍党睂䝁䅧䅉䵂䝁䅫䅢獂䝁䅫督䅁䝁䭣䅁㉁䅁䅁䅖求䡁䅉杣求䝁䄴睙求䍁䅁睖灂䝁䅷䅢灂䝁䅅兢杁䕁䅍兙㉂䝁䅅杢桂䡁䅕睚潂䅁䅁睓䅫䍁䅑䅁啂䝁䅕杣祂䡁䅫䅉䕂䝁䅕党杁䕁䅳党獂䝁䅷睢湂䝁䅣䅁䡄䅄䅁䅊䅁䙁䅑党祂䡁䅉入杁䕁䅕䅢求䝁䅙䅤潂䝁䅕杣灂䝁䄸兤䅁䑁佉䅁流䅁䅁䅖求䡁䅉杣㕂䍁䅁䅔求䝁䅫睚潂䍁䅁睒祂䝁䄸杙桂䝁䄴䅁浄杄䅁权䅁䙁䅑党穂䡁䅑䅁䭃睂䅁䅒䅁䙁䅑党㑂䝁䅅督杁䕁䅙兙祂䝁䄰䅉䍂䡁䅕杣求䝁䅅兤杁䍁䅧睕佂䕁䅷䅉兂䍁䅙睑杁䕁䅣杣療䡁䅕䅣灁䅁䅁剚䅍䑁䅙䅁啂䝁䅕䅥桂䡁䅍䅉乂䡁䅕䅤ㅂ䝁䅅䅢杁䕁䅫杢穂䡁䅕杣桂䝁䄴睙求䍁䅁睑療䍁䄴䅁畂睅䅁材䅁䙁䅑党㑂䝁䅅督杁䕁䄰兤あ䡁䅕兙獂䍁䅁兓畂䡁䅍兤祂䝁䅅杢橂䝁䅕䅉䑂䝁䄸兢睂䝁䅅杢㕂䅁䅁硢䅍䑁䅑䅁啂䝁䅧党療䝁䅑睢祂䝁䅕䅉䉂䝁䅷党㑂䝁䅅杢歂䝁䅕杣杁䕁䄰兙あ䝁䅧兙穂䅁䅁䅄䅧䑁䅁䅁啂䝁䅧党療䝁䅑睢祂䝁䅕䅉卂䝁䄸杙求䡁䅉䅤杁䙁䅍䅤桂䝁䅷兡橂䝁䅳䅁䡁充䅁䅇䅁䙁䅑䅡灂䡁䅉䅚杁䕁䅙䅢療䝁䄸杣䅁䕁位䅁流䅁䅁䅖潂䝁䄸兢桂䡁䅍䅉䉂䍁䄴䅉䑂䡁䅉睢穂䡁䅣党獂䝁䅷䅁潃睅䅁杊䅁䙁䅑䅡療䝁䄰兙穂䍁䅁兑獂䝁䅅杢杁䕁䅷兙㍂䡁䅍睢畂䅁䅁䅥䅫䑁䅉䅁啂䝁䅧睢瑂䝁䅅督杁䕁䅅杢あ䝁䅧睢畂䡁䅫䅉䍂䝁䄸䅤あ䝁䅫睙潂䝁䅫睢䅁偁佁䅁睁䅁䅁䅖潂䝁䄸兢桂䡁䅍䅉䉂䝁䄴䅤潂䝁䄸杢㕂䍁䅁兔橂䕁䅍兙祂䡁䅑䅡㕂䅁䅁权䅫䍁䅧䅁啂䝁䅧睢瑂䝁䅅督杁䕁䅉兙灂䝁䅷党㕂䍁䅁䅓桂䝁䅣党畂䅁䅁杓䅫䍁䅯䅁啂䝁䅧睢瑂䝁䅅督杁䕁䅕兙祂䝁䅷䅉卂䝁䅅䅤あ䝁䄰兙畂䝁䄴䅁畃兄䅁䅌䅁䙁䅑䅡療䝁䄰兙穂䍁䅁杒灂䡁䅉睢ㅂ䡁䅯䅉乂䝁䄸䅤桂䝁䄰党歂䅁䅁兆䅫䍁䅧䅁啂䝁䅧睢瑂䝁䅅督杁䕁䅧党畂䡁䅉入杁䕁䅧兡湂䝁䅧党あ䅁䅁确䅁䍁䅯䅁啂䝁䅧睢瑂䝁䅅督杁䕁䅧党畂䡁䅉入杁䕁䄰兙橂䕁䅷党桂䡁䅫䅁穁权䅁杋䅁䙁䅑䅡療䝁䄰兙穂䍁䅁杓桂䝁䄰党穂䍁䅁杔灂䝁䅍䅡療䝁䅷督䅁䙁佅䅁睁䅁䅁䅖潂䝁䄸兢桂䡁䅍䅉䭂䝁䄸督求䡁䅁䅡杁䕁䄰睙䩂䝁䄴党祂䝁䄴党㕂䅁䅁杫䅫䍁䅷䅁啂䝁䅧睢瑂䝁䅅督杁䕁䅯睢穂䝁䅕䅣潂䍁䅁兔求䡁䅉杚求䝁䅷䅚䅁佁丰䅁潁䅁䅁䅖潂䝁䄸兢桂䡁䅍䅉䭂䝁䄸督求䡁䅁䅡杁䕁䄰睢祂䝁䅅杢䅁䕁剙䅁ぁ䅁䅁䅖潂䝁䄸兢桂䡁䅍䅉䭂䝁䄸督求䡁䅁䅡杁䕁䄸杙祂䝁䄸睡あ䝁䅅䅉䭂䡁䅉杌䅁䉁乕䅁煁䅁䅁䅖潂䝁䄸兢桂䡁䅍䅉䭂䝁䄸督求䡁䅁䅡杁䙁䅁䅡求䝁䅷兙畂䅁䅁睡䄰䑁䅁䅁啂䝁䅧睢瑂䝁䅅督杁䕁䅯睢穂䝁䅕䅣潂䍁䅁睖灂䝁䅷督療䝁䄴䅉䩂䕁䅫䅁⭂䅃䅁杌䅁䙁䅑䅡療䝁䄰兙穂䍁䅁睓灂䡁䅉杙㕂䍁䅁村祂䝁䄸睤畂䍁䅁杓祂䍁䄴䅁㥃䅄䅁䅊䅁䙁䅑䅡療䝁䄰兙穂䍁䅁䅔㕂䝁䄴杢杁䕁䅉杣療䡁䅣杢䅁䡁匰䅁畁䅁䅁䅖潂䝁䄸兢桂䡁䅍䅉乂䝁䅅杣牂䍁䅁杖桂䝁䄴䅉䍂䝁䅕杣牂䝁䅕䅢䅁䭁兣䅁煁䅁䅁䅖潂䝁䄸兢桂䡁䅍䅉乂䝁䅫睙潂䝁䅅党獂䍁䅁兔桂䡁䅉杣桂䅁䅁䅸䅯䍁䅷䅁啂䝁䅧睢瑂䝁䅅督杁䙁䅁党あ䝁䅕杣杁䕁䅳兙獂䝁䄰杙桂䝁䅍䅡䅁佁䩕䅁歁䅁䅁䅖潂䝁䄸兢桂䡁䅍䅉卂䝁䄸督杁䙁䅣兙あ䝁䅯党畂䅁䅁䅊䅳䑁䅁䅁啂䝁䅧睢瑂䝁䅅督杁䙁䅙兡畂䝁䅍党畂䡁䅑䅉䝂䝁䅷兙潂䝁䅕杣あ䡁䅫䅁啁兄䅁䅎䅁䙁䅑䅡療䝁䄰兙穂䍁䅁睖療䝁䄸䅚祂䝁䄸睤杁䙁䅣兙祂䡁䅍睢睂䍁䅁兓䩂䕁䅫䅁汄睅䅁杌䅁䙁䅑䅡祂䝁䅕党杁䕁䅉兙獂䝁䅅䅉兂䝁䅷兙㙂䝁䅅䅌杁䕁䅕兙穂䡁䅑䅁祃兆䅁杌䅁䙁䅑䅡祂䝁䅕党杁䙁䅁党畂䝁䄴䅉兂䝁䅷兙㙂䝁䅅䅌杁䕁䅕兙穂䡁䅑䅁睃睄䅁䅏䅁䙁䅑䅡祂䝁䅫杤求䝁䄴䅤杁䕁䅷兡浂䝁䅕䅉䩂䝁䄴督ㅂ䡁䅉兙畂䝁䅍党杁䕁䅍睢畁䅁䅁剥䅍䕁䅁䅁啂䝁䅧杣灂䡁䅙党畂䡁䅑䅉䵂䝁䅫杚求䍁䅁兓畂䡁䅍兤祂䝁䅅杢橂䝁䅕䅉䑂䝁䄸兢睂䝁䅅杢㕂䅁䅁桥䅍䑁䅁䅁啂䝁䅫兢療䡁䅑䅡㕂䍁䅁睒求䡁䅉兙祂䝁䅑䅉佂䝁䅕睑桂䡁䅍䅤祂䝁䄸䅁䥂元䅁杋䅁䙁䅑兡瑂䝁䄸䅤潂䡁䅫䅉䭂䝁䅅兢求䡁䅍䅉乂䝁䅅䅤あ䝁䅳党䅁䉁剉䅁流䅁䅁䅖灂䝁䄰睢あ䝁䅧入杁䕁䅯睢潂䝁䄴䅉偂䝁䅷督療䝁䄴䅁㕁䅄䅁䅍䅁䙁䅑兡瑂䝁䄸䅤潂䡁䅫䅉䭂䝁䄸督求䡁䅁䅡杁䕁䅍睢祂䝁䅍睢祂䝁䅅杢䅁䑁䬰䅁流䅁䅁䅖灂䝁䄰睢あ䝁䅧入杁䙁䅍杌杁䙁䅑杣桂䡁䅙党祂䡁䅍䅁⭃杄䅁材䅁䙁䅑睢桂䍁䅁杕求䝁䅫杢穂䡁䅕杣桂䝁䄴睙求䍁䅁睑療䍁䄴䅉療䝁䅙䅉䉂䝁䄰党祂䝁䅫睙桂䅁䅁䉨䅍䕁䅙䅁啂䝁䄸兙杁䙁䅉党灂䝁䄴督ㅂ䡁䅉兙畂䝁䅍党杁䕁䅍睢瑂䡁䅁兙畂䡁䅫䅉療䝁䅙䅉䉂䝁䄰党祂䝁䅫睙桂䅁䅁剨䅍䍁䅉䅁啂䝁䄸䅚歂䍁䅁睑療䡁䅉入杁䕁䅷兙祂䡁䅍睢畂䅁䅁睦䅯䍁䄴䅁啂䝁䄸䅚歂䍁䅁兔灂䝁䅍䅡桂䝁䅕䅢杁䙁䅍睙潂䡁䅉睢求䝁䅑党祂䅁䅁核䅉䕁䅧䅁啂䝁䄸睡灂䝁䄸䅉乂䝁䅅杣灂䝁䄴党杁䕁䅣杣療䡁䅕䅣杁䍁䅧睕佂䕁䅷䅉䵂䝁䅫杚求䍁䅁睒祂䝁䄸兤睂䍁䅫䅁偃睅䅁杒䅁䙁䅑睢牂䝁䅫睢杁䕁䄰兙祂䝁䅫杢求䍁䅁睒祂䝁䄸兤睂䍁䅁䅋呂䕁䄴䅔杁䙁䅁杊䑂䍁䅁睒祂䝁䄸兤睂䍁䅫䅁捄权䅁杉䅁䙁䅑睢瑂䝁䄸兙あ䡁䅍兤杁䕁䄴睢湂䡁䅕睙潂䝁䅫䅁乃睅䅁杄䅁䙁䅑睢睂䝁䅕睡桂䅁䅁杶䅫䍁䅙䅁啂䝁䄸䅣求䝁䅳兙獁䍁䅁睓呂䍁䅁䅋乂䝁䅕䅤祂䝁䄸克䅁䱁䩫䅁䍂䅁䅁䅖療䡁䅉睙潂䝁䄰兙祂䝁䅳䅉䑂䝁䄸杣睂䍁䄴䅉潁䙁䅍杔䵂䍁䅁䅔灂䝁䅙党杁䕁䅣杣療䡁䅕䅣灁䅁䅁眵䅯䕁䄴䅁啂䝁䄸杣橂䝁䅧兢桂䡁䅉睡杁䕁䅍睢祂䡁䅁睢祂䝁䅅䅤灂䝁䄸杢杁䍁䅧睕佂䕁䅷䅉䵂䝁䅫杚求䍁䅁睒祂䝁䄸兤睂䍁䅫䅁浄权䅁䅄䅁䙁䅑睢あ䝁䅅䅢䅁䉁䅯䅁佁䅁䅁䅖療䡁䅑兙獂䍁䅁䅁桁䅁䅁杇䅁䙁䅑睢あ䝁䅅䅢杁䕁䅅督穂䝁䅕䅤穂䅁䅁朴䅙䝁䅉䅁啂䝁䄸䅤桂䝁䅷䅉䑂䝁䅧睚杁䝁䅫杢杁䕁䅷睢穂䡁䅍䅉流䍁䅁䅔療䡁䅍督杁䕁䅅䅚煂䍁䅁兒㑂䡁䅁䅉卂䝁䅕督求䡁䅉杤求䡁䅍䅉潁䍁䅑䅍睁䑁䅁克䅁䝁䡕䅁潁䅁䅁䅖療䡁䅑兙獂䍁䅁睑ㅂ䡁䅉杣求䝁䄴䅤杁䅁䅯兗求䝁䅅杣䅁䑁䅳䅁㙁䅁䅁䅖療䡁䅑兙獂䍁䅁䅒求䝁䅉䅤癁䍁䅁䅖療䡁䅑兙獂䍁䅁兒硂䡁䅕兡あ䡁䅫䅉潁䡁䅧克䅁䱁啳䅁⭁䅁䅁䅖療䡁䅑兙獂䍁䅁兒硂䡁䅕兡あ䡁䅫睌杁䙁䅑睢あ䝁䅅䅢杁䕁䅅督穂䝁䅕䅤穂䍁䅁䅋汁䍁䅫䅁㙃䅆䅁杙䅁䙁䅑睢あ䝁䅅䅢杁䕁䅕䅥睂䝁䅕杢穂䝁䅕䅉卂䝁䅅䅤灂䝁䄸䅉灂䝁䄴睙獂䍁䅁睑療䝁䄰兢灂䡁䅍督灂䝁䄸杢穂䍁䅁杊杁䙁䅑兙㑂䝁䅕督杁䍁䅧兊灁䅁䅁䉙䅕䍁䅑䅁啂䝁䄸䅤桂䝁䅷䅉䵂䝁䅫兙楂䝁䅫䅢灂䡁䅑兡求䡁䅍䅁浄杂䅁杍䅁䙁䅑睢あ䝁䅅䅢杁䕁䅷兡桂䝁䅉兡獂䝁䅫䅤灂䝁䅕督杁䍁䅧䅊睁䑁䅁䅍灁䅁䅁儷䅙䕁䅯䅁啂䝁䄸䅤桂䝁䅷䅉䵂䝁䅫兙楂䝁䅫䅢灂䡁䅑兡求䡁䅍䅉䝂䝁䅫杤求䍁䄰入求䝁䅅杣杁䕁䅍兑䡂䙁䅉䅉潁䍁䅕克䅁䉁䠴䅁㙁䅁䅁䅖療䡁䅑兙獂䍁䅁䅔灂䝁䅅杙灂䝁䅷兡あ䝁䅫党穂䍁䅁睒祂䝁䄸睤あ䝁䅧䅉潁䍁䅕克䅁䉁䡧䅁畂䅁䅁䅖療䡁䅑兙獂䍁䅁䅕流䕁䅍杏杁䕁䅅督瑂䝁䅑䅉卂䝁䅕杏杁䙁䅉党杁䝁䄸杢杁䕁䅳杢療䡁䅣杢杁䕁䅍兙穂䝁䅕䅉䵂䝁䄸督穂䍁䅁杊杁䕁䅷兑䙂䍁䅁䅋歁䑁䅁䅍睁䍁䅫䅁穁睂䅁杙䅁䙁䅑睢あ䝁䅅䅢杁䙁䅁杊䑂䑁䅯䅉䉂䡁䅍兢歂䍁䅁杕求䑁䅯䅉卂䝁䅕䅉療䝁䄴䅉兂䝁䅅兡歂䍁䅁䅔療䡁䅍督杁䍁䅙䅉䵂䕁䅅兒杁䍁䅧䅊睁䑁䅁䅍灁䅁䅁杍䅣䍁䄴䅁啂䝁䄸䅤桂䝁䅷䅉兂䡁䅉兡㉂䝁䅅䅤求䝁䅷入杁䙁䅁䅢桂䝁䅍党歂䅁䅁䅐䅁䍁䅷䅁啂䝁䄸䅤桂䝁䅷䅉兂䡁䅕杙獂䝁䅫睙獂䡁䅫䅉啂䡁䅉兙歂䝁䅕䅚䅁䑁䅯䅁十䅁䅁䅖療䡁䅑兙獂䍁䅁杕䙂䅁䅁睘䅁䕁䅯䅁啂䝁䄸䅤桂䝁䅷䅉卂䝁䅕兡畂䡁䅍兤祂䝁䅅杢橂䝁䅕䅉䵂䝁䅫兙楂䝁䅫䅢灂䡁䅑兡求䡁䅍䅉潁䍁䅑䅍睁䑁䅁克䅁䕁䡧䅁㙁䅁䅁䅖療䡁䅑兙獂䍁䅁杚祂䝁䄸兢杁䕁䅍睢獂䍁䄴䅉㉁䍁䅁䅕祂䝁䅫睢祂䍁䅁兗求䝁䅅杣䅁䑁䅑䅁煁䅁䅁䅖療䡁䅑兙獂䑁䅯䅉䑂䝁䅅䅣灂䡁䅑兙獂䍁䅁杔療䡁䅑党穂䅁䅁儯䅅䑁䅁䅁啂䝁䄸䅤桂䝁䅷杏杁䕁䅍睢獂䝁䅷兙あ䝁䅕杣桂䝁䅷䅉䵂䝁䄸兙畂䡁䅍䅁塁杁䅁䅊䅁䙁䅑睢あ䝁䅅䅢㙁䍁䅁睑療䝁䄰兢杁䙁䅍䅤療䝁䅍睡䅁䍁䉳䅁獁䅁䅁䅖療䡁䅑兙獂䑁䅯䅉䝂䝁䅫䅥癁䙁䅙兙祂䑁䅯䅉䍂䝁䄸杢歂䡁䅍䅁祄允䅁䅎䅁䙁䅑睢あ䝁䅅䅢㙁䍁䅁杒灂䡁䅧睌坂䝁䅅杣㙁䍁䅁兔祂䡁䅑睚杁䕁䅙兤畂䝁䅑䅁䍁杁䅁䅏䅁䙁䅑睢あ䝁䅅䅢㙁䍁䅁杒灂䡁䅧睌坂䝁䅅杣㙁䍁䅁睔あ䝁䅧䅉䝂䝁䅫䅥杁䕁䅫杢橂䅁䅁䄲䅅䕁䅁䅁啂䝁䄸䅤桂䝁䅷杏杁䕁䅣兤桂䡁䅉兙畂䡁䅑党求䝁䅑䅉䝂䝁䅕䅚求䡁䅉兙獂䍁䅁䅔䩂䕁䅧䅖䑂䅁䅁䅸䅣䑁䅷䅁啂䝁䄸䅤桂䝁䅷杏杁䕁䅣兤桂䡁䅉兙畂䡁䅑党求䝁䅑䅉呂䡁䅑兙あ䝁䅕䅉䵂䕁䅫䅓啂䕁䅍䅁䝄睂䅁李䅁䙁䅑睢あ䝁䅅䅢㙁䍁䅁杓坂䍁䅁䅔䵂䕁䅍督㙁䍁䅁兔祂䡁䅑睚杁䕁䅷睢桂䝁䄴督䅁䅁䍯䅁㡁䅁䅁䅖療䡁䅑兙獂䑁䅯䅉䭂䙁䅙䅌杁䕁䅷䅔䑂䡁䅍杏杁䕁䅍睢瑂䝁䄰睢畂䍁䅁睕あ䝁䄸睙牂䅁䅁兆䅉䑁䅧䅁啂䝁䄸䅤桂䝁䅷杏杁䕁䅯杖獁䍁䅁䅔䵂䕁䅍督㙁䍁䅁杒灂䡁䅧䅉䩂䝁䄴睙療䝁䄰党䅁乁䈰䅁畁䅁䅁䅖療䡁䅑兙獂䑁䅯䅉䭂䙁䅙䅌杁䕁䅷䅔䑂䡁䅍杏杁䕁䄸䅤潂䝁䅕杣䅁佁䉁䅁㙁䅁䅁䅖療䡁䅑兙獂䑁䅯䅉䭂䙁䅙䅌杁䕁䅷䅔䑂䡁䅍杏杁䙁䅉党桂䝁䅷䅉䙂䡁䅍䅤桂䡁䅑党䅁偁䉣䅁敁䅁䅁䅖療䡁䅑兙獂䑁䅯䅉䵂䙁䅑䅉䍂䝁䄸杢歂䅁䅁杅䅅䍁䅷䅁啂䝁䄸䅤桂䝁䅷杏杁䕁䄰兡畂䝁䅕杣桂䝁䅷䅉卂䝁䅫睚潂䡁䅑督䅁乁䉅䅁䅂䅁䅁䅖療䡁䅑兙獂䑁䅯䅉佂䝁䄸杢瑁䕁䅍睢畂䝁䅙睢祂䝁䄰兡畂䝁䅣䅉䵂䙁䅑䅉䉂䡁䅍督求䡁䅑督䅁偁䅯䅁䅂䅁䅁䅖療䡁䅑兙獂䑁䅯䅉佂䝁䄸杢瑁䕁䅣兤桂䡁䅉兙畂䡁䅑党求䝁䅑䅉䝂䝁䅕䅚杁䕁䅷兓䥂䙁䅑睑䅁䵁䡍䅁䕂䅁䅁䅖療䡁䅑兙獂䑁䅯䅉佂䝁䄸杢瑁䝁䅣兤桂䡁䅉兙畂䡁䅑党求䝁䅑䅉呂䡁䅑兙あ䝁䅕䅉䵂䕁䅫䅓啂䕁䅍䅁䅄睂䅁李䅁䙁䅑睢あ䝁䅅䅢㙁䍁䅁杔療䝁䄴睙療䝁䅷䅢桂䡁䅑党祂䝁䅅䅢杁䕁䅷睢桂䝁䄴督䅁䵁䡅䅁㑁䅁䅁䅖療䡁䅑兙獂䑁䅯䅉偂䝁䅫䅢杁䍁䅙䅉䡂䝁䅅督杁䙁䅁杣療䝁䅑兤橂䡁䅑兡療䝁䄴䅁䡁杁䅁䅎䅁䙁䅑睢あ䝁䅅䅢㙁䍁䅁睔あ䝁䅧䅉呂䙁䅑䅉䩂䝁䄴杤求䡁䅍䅤瑂䝁䅕杢あ䡁䅍䅁敃䅁䅁䅋䅁䙁䅑睢あ䝁䅅䅢㙁䍁䅁睔あ䝁䅧党祂䍁䅁兑穂䡁䅍党あ䡁䅍䅁婁杁䅁杊䅁䙁䅑睢あ䝁䅅䅢㙁䍁䅁睔あ䝁䅧党祂䍁䅁䅔䩂䕁䅧䅖䑂䅁䅁典䅣䉁䄴䅁啂䝁䄸䅤桂䝁䅷杏杁䙁䅍䅖杁䕁䅉睢畂䝁䅑䅁坃䅁䅁杌䅁䙁䅑睢あ䝁䅅䅢㙁䍁䅁睕啂䍁䅁睑獂䡁䅍䅉偂䝁䄴党杁䕁䄰兔乂䕁䅙䅁䵃䅁䅁杋䅁䙁䅑睢あ䝁䅅䅢㙁䍁䅁睕啂䍁䅁兒㑂䝁䄰䅣あ䍁䅁兔乂䕁䄰杒䅁䝁䄰䅁獁䅁䅁䅖療䡁䅑兙獂䑁䅯䅉呂䙁䅑䅉䩂䝁䄴杤求䡁䅍䅤瑂䝁䅕杢あ䡁䅍䅁獃䅁䅁杋䅁䙁䅑睢あ䝁䅅䅢㙁䍁䅁睕啂䍁䅁兔祂䡁䅑睚杁䕁䅷睢桂䝁䄴督䅁䭁䅙䅁流䅁䅁䅖療䡁䅑兙獂䑁䅯䅉呂䡁䅑兙あ䝁䅕䅉䵂䕁䅫䅓啂䕁䅍䅁⽃睂䅁䅈䅁䙁䅑睢あ䝁䅅䅢㙁䍁䅁睕あ䝁䄸睙牂䡁䅍䅁瑁允䅁䅎䅁䙁䅑睢あ䝁䅅䅢㙁䍁䅁睕ㅂ䡁䅉䅣獂䡁䅕督杁䕁䅑党楂䝁䅕杢あ䡁䅕杣求䡁䅍䅁湄允䅁杌䅁䙁䅑睢あ䝁䅅䅢㙁䍁䅁䅖祂䝁䅅杢穂䡁䅁睢祂䡁䅑䅉䙂䡁䅅兤灂䡁䅁䅁呁杁䅁䅖䅁䙁䅑睢あ䝁䅅䅢㙁䍁䅁睖療䡁䅉睡灂䝁䄴睚杁䕁䅍兙睂䝁䅫䅤桂䝁䅷䅉䝂䝁䅫杢桂䝁䄴睙求䍁䅁兓畂䡁䅙党穂䡁䅑兢求䝁䄴䅤䅁䵁䡉䅁佁䅁䅁䅖療䡁䅣督療䝁䄴䅁求兄䅁䅊䅁䙁䅑杣桂䝁䅍入杁䙁䅣兙㕂䝁䄴党杁䕁䅳杢桂䡁䅁䅣䅁䑁光䅁卂䅁䅁䅖祂䝁䅅杤求䝁䅷党祂䡁䅍䅉䑂䝁䄸兢睂䝁䅅杢灂䝁䅕督杁䕁䅫杢橂䍁䄴䅉潁䙁䅍杔䵂䍁䅁䅕流䕁䅍䅉䡂䡁䅉睢ㅂ䡁䅁克䅁偁䭉䅁啂䅁䅁䅖祂䝁䅅杤求䝁䅷党祂䡁䅍䅉䑂䝁䄸兢睂䝁䅅杢灂䝁䅕督獁䍁䅁兓畂䝁䅍杌杁䍁䅧睕佂䕁䅷䅉兂䍁䅙睑杁䕁䅣杣療䡁䅕䅣灁䅁䅁眸䅯䉁䅷䅁啂䡁䅉兙㉂䝁䅕䅢求䡁䅉督杁䕁䅣杣睂䅁䅁共䅙䍁䅧䅁啂䡁䅉党畂䡁䅑睢畂䍁䅷䅉佂䕁䅯䅉潁䕁䄰党あ䡁䅉睢灁䅁䅁剦䅅䙁䅷䅁啂䡁䅉兤穂䡁䅑兢桂䡁䅉睡杁䕁䄰兤あ䡁䅕兙獂䍁䅁䅓療䝁䅷䅚灂䝁䄴睚杁䕁䅍睢畁䍁䅁䅋呂䕁䄴䅔杁䕁䅷兡浂䝁䅕䅉䡂䡁䅉睢ㅂ䡁䅁克䅁䩁呙䅁歂䅁䅁䅖祂䡁䅕督あ䝁䄰兙祂䝁䅳䅉乂䡁䅕䅤ㅂ䝁䅅䅢杁䕁䅧睢獂䝁䅑兡畂䝁䅣䅉䑂䝁䄸兢睂䝁䅅杢㕂䍁䅁䅋呂䕁䄴䅔杁䕁䅷兡浂䝁䅕䅉䡂䡁䅉睢ㅂ䡁䅁克䅁䩁呣䅁楂䅁䅁䅖ㅂ䝁䅙䅤穂䍁䅁兑穂䡁䅍睢橂䝁䅑䅉䥂䝁䅷䅤潂䍁䅁兔桂䝁䅫杢あ䝁䅕杢桂䝁䄴睙求䍁䅁䅋呂䕁䄴䅔杁䕁䅧党桂䝁䅷䅤潂䍁䅁睒祂䝁䄸兤睂䍁䅫䅁桃睅䅁䅬䅁䙁䅑兤浂䡁䅑督杁䕁䅅督穂䝁䄸睙灂䝁䅅䅤求䝁䅑䅉䥂䝁䅕兙獂䡁䅑䅡杁䕁䄰兙灂䝁䄴䅤求䝁䄴兙畂䝁䅍党杁䕁䄸杣湂䝁䅅杢灂䡁䅯兙あ䝁䅫睢畂䍁䅷䅉䩂䝁䄴睙畁䍁䅁䅋呂䕁䄴䅔杁䕁䅧党桂䝁䅷䅤潂䍁䅁睒祂䝁䄸兤睂䍁䅫䅁楃睅䅁杌䅁䙁䅑睤療䍁䅁兒桂䡁䅍䅤杁䕁䅣兡獂䝁䄰兙畂䍁䅁睕あ䡁䅉党求䡁䅑䅁啂充䅁䅍䅁䙁䅑睤療䍁䅁杔療䡁䅉䅤潂䍁䅁睕求䝁䅍睢畂䝁䅑䅉呂䡁䅑杣求䝁䅕䅤䅁䱁剅䅁杁䅁䅁䅖㍂䝁䄸䅉兂䝁䅅杣牂䍁䅁兑㉂䝁䅕杢ㅂ䝁䅕䅁睄䅅䅁䅏䅁䙁䅑睤療䍁䅁杕桂䝁䅑杢療䡁䅉䅉䑂䝁䄸杣睂䝁䄸杣桂䡁䅑党杁䕁䅍党畂䡁䅑党祂䅁䅁兘䄴䕁䄴䅁啂䡁䅣睢杁䙁䅫杣杁䕁䅷睢穂䡁䅍䅉卂䝁䅕督求䡁䅉杤求䍁䅁䅒求䡁䅙䅉啂䝁䄸䅤桂䝁䅷睌杁䙁䅁䅓呂䍁䅁䅋汁䍁䅫䅁楁睂䅁杒䅁䙁䅕睑桂䡁䅉党杁䕁䄰兡畂䝁䄴党穂䝁䄸䅤桂䍁䅁䅋呂䕁䄴䅔杁䕁䅧党桂䝁䅷䅤潂䍁䅁睒祂䝁䄸兤睂䍁䅫䅁獃睅䅁䅋䅁䙁䅕睕杁䕁䅙党歂䍁䅁睒療䡁䅙杏杁䕁䅷䅖杁䕁䅉睢畂䝁䅑䅁䕁允䅁䅋䅁䙁䅕睕杁䕁䅙党歂䍁䅁睒療䡁䅙杏杁䙁䅍䅖杁䕁䅉睢畂䝁䅑䅁呂䅁䅁杘䅁䙁䅕睕杁䕁䅙党歂䝁䅕杣桂䝁䅷䅉䡂䝁䄸杤湁䡁䅑杏杁䕁䅉睢畂䝁䅑督㙁䍁䅁睑桂䡁䅉杣㕂䝁䅫杢湂䍁䅁杖桂䝁䅷兤求䍁䅁䅋歁䑁䅁䅍睁䍁䅫䅁佄睂䅁杤䅁䙁䅕睕杁䕁䅙党歂䝁䅕杣桂䝁䅷䅉䡂䝁䄸杤湁䡁䅑杏杁䕁䅉睢畂䝁䅑督㙁䍁䅁兓畂䡁䅙党穂䡁䅑兢求䝁䄴䅤杁䙁䅙兙獂䡁䅕党癁䍁䅁䅖療䡁䅑兙獂䍁䅁村療䝁䄴䅚穂䍁䅁䅋汁䍁䅫䅁穁䅁䅁䅉䅁䙁䅕睕杁䙁䅁睢穂䑁䅯䅉䵂䙁䅑䅉䍂䝁䄸杢歂䅁䅁䅁䅅䍁䅁䅁噂䙁䅍䅉兂䝁䄸督㙁䍁䅁睕啂䍁䅁村療䝁䄴䅚䅁䩁䅁䅁啂䅁䅁兖呂䍁䅁睕あ䍁䅷䅉兂䝁䄸督穂䑁䅯䅉䍂䝁䄸杢歂䡁䅍杏杁䕁䅍兙祂䡁䅉入灂䝁䄴睚杁䙁䅙兙獂䡁䅕党杁䍁䅧䅊睁䑁䅁䅍灁䅁䅁䄰䅣䙁䄴䅁噂䙁䅍兑楂䝁䅷党杁䕁䄰兤あ䡁䅕兙獂䍁䅁兓畂䡁䅍兤祂䝁䅅杢橂䝁䅕䅉䑂䝁䄸杌杁䍁䅧睕佂䕁䅷䅉䥂䝁䅕兙獂䡁䅑䅡杁䕁䅣杣療䡁䅕䅣灁䅁䅁剸䅍䝁䅙䅁噂䙁䅍兑楂䝁䅷党杁䕁䄰兤あ䡁䅕兙獂䍁䅁兓畂䡁䅍兤祂䝁䅅杢橂䝁䅕䅉䑂䝁䄸兢睂䝁䅅杢㕂䍁䅁䅋呂䕁䄴䅔杁䕁䅧党桂䝁䅷䅤潂䍁䅁睒祂䝁䄸兤睂䍁䅫䅁䝄睅䅁杂䅁䙁䅕䅖䅁䱁䵧䅁畁䅁䅁兖瑂䝁䅕督潂䍁䅁兑畂䝁䅅䅤潂䝁䅅杣桂䝁䄰䅉䱂䡁䅕杣睂䝁䅅䅚䅁䭁呫䅁煁䅁䅁兖畂䝁䅅杚浂䑁䅯䅉䑂䝁䅅䅣灂䡁䅑兙獂䍁䅁杔療䡁䅑党穂䅁䅁兙䅁䑁䅁䅁噂䝁䄴兙浂䝁䅙杏杁䕁䅍睢獂䝁䅷兙あ䝁䅕杣桂䝁䅷䅉䵂䝁䄸兙畂䡁䅍䅁䭄䅁䅁䅌䅁䙁䅕杢桂䝁䅙杚㙁䍁䅁杒灂䡁䅧睌坂䝁䅅杣㙁䍁䅁村療䝁䄴䅚穂䅁䅁杸䅁䑁䅑䅁噂䝁䄴兙浂䝁䅙杏杁䕁䅙兡㑂䍁䄸杖桂䡁䅉杏杁䕁䄰杣あ䝁䅣䅉䝂䡁䅕杢歂䅁䅁䅭䅁䑁䅧䅁噂䝁䄴兙浂䝁䅙杏杁䕁䅙兡㑂䍁䄸杖桂䡁䅉杏杁䕁䄸䅤潂䍁䅁杒灂䡁䅧䅉䩂䝁䄴睙䅁䵁䅉䅁䅂䅁䅁兖畂䝁䅅杚浂䑁䅯䅉䡂䡁䅕兙祂䝁䅅杢あ䝁䅕党歂䍁䅁杒求䝁䅑党祂䝁䅅䅢杁䕁䅷兓䥂䙁䅑睑䅁䙁䅫䅁㡁䅁䅁兖畂䝁䅅杚浂䑁䅯䅉䡂䡁䅕兙祂䝁䅅杢あ䝁䅕党歂䍁䅁睕あ䝁䅅䅤求䍁䅁䅔䩂䕁䅧䅖䑂䅁䅁䅺䅁䑁䅙䅁噂䝁䄴兙浂䝁䅙杏杁䕁䅯杖杁䕁䅷䅔䑂䡁䅍杏杁䕁䄰杣あ䝁䅣䅉䵂䝁䄸兙畂䡁䅍䅁㙃䅁䅁䅐䅁䙁䅕杢桂䝁䅙杚㙁䍁䅁杓坂䍁䅷䅉䵂䕁䅷睑穂䑁䅯䅉䑂䝁䄸兢瑂䝁䄸杢杁䙁䅍䅤療䝁䅍睡䅁䭁䅁䅁㑁䅁䅁兖畂䝁䅅杚浂䑁䅯䅉䭂䙁䅙䅌杁䕁䅷䅔䑂䡁䅍杏杁䕁䅙兡㑂䍁䅁兓畂䝁䅍睢瑂䝁䅕䅁㡃䅁䅁杌䅁䙁䅕杢桂䝁䅙杚㙁䍁䅁杓坂䍁䅷䅉䵂䕁䅷睑穂䑁䅯䅉偂䡁䅑䅡求䡁䅉䅁祃䅁䅁杏䅁䙁䅕杢桂䝁䅙杚㙁䍁䅁杓坂䍁䅷䅉䵂䕁䅷睑穂䑁䅯䅉卂䝁䅕兙獂䍁䅁兒穂䡁䅑兙あ䝁䅕䅁䥄䅁䅁杇䅁䙁䅕杢桂䝁䅙杚㙁䍁䅁䅔䩂䕁䅧䅖䑂䅁䅁䅺䅅䍁䅷䅁噂䝁䄴兙浂䝁䅙杏杁䕁䄰兡畂䝁䅕杣桂䝁䅷䅉卂䝁䅫睚潂䡁䅑督䅁䩁䅯䅁䅂䅁䅁兖畂䝁䅅杚浂䑁䅯䅉佂䝁䄸杢瑁䕁䅍睢畂䝁䅙睢祂䝁䄰兡畂䝁䅣䅉䵂䙁䅑䅉䉂䡁䅍督求䡁䅑督䅁䵁䅑䅁䅂䅁䅁兖畂䝁䅅杚浂䑁䅯䅉佂䝁䄸杢瑁䕁䅣兤桂䡁䅉兙畂䡁䅑党求䝁䅑䅉䝂䝁䅕䅚杁䕁䅷兓䥂䙁䅑睑䅁䱁䅙䅁䕂䅁䅁兖畂䝁䅅杚浂䑁䅯䅉佂䝁䄸杢瑁䝁䅣兤桂䡁䅉兙畂䡁䅑党求䝁䅑䅉呂䡁䅑兙あ䝁䅕䅉䵂䕁䅫䅓啂䕁䅍䅁畃䅁䅁李䅁䙁䅕杢桂䝁䅙杚㙁䍁䅁杔療䝁䄴睙療䝁䅷䅢桂䡁䅑党祂䝁䅅䅢杁䕁䅷睢桂䝁䄴督䅁䱁䅑䅁㑁䅁䅁兖畂䝁䅅杚浂䑁䅯䅉偂䝁䅫䅢杁䍁䅙䅉䡂䝁䅅督杁䙁䅁杣療䝁䅑兤橂䡁䅑兡療䝁䄴䅁䅄䅁䅁䅋䅁䙁䅕杢桂䝁䅙杚㙁䍁䅁睔あ䝁䅧党祂䍁䅁兑穂䡁䅍党あ䡁䅍䅁㑃䅁䅁杊䅁䙁䅕杢桂䝁䅙杚㙁䍁䅁睔あ䝁䅧党祂䍁䅁䅔䩂䕁䅧䅖䑂䅁䅁杶䅁䍁䅙䅁噂䝁䄴兙浂䝁䅙杏杁䙁䅍䅤桂䡁䅑党杁䕁䅷兓䥂䙁䅑睑䅁䕁䅫䅁ぁ䅁䅁兖畂䝁䅅杚浂䑁䅯䅉呂䡁䅕杣睂䝁䅷兤穂䍁䅁䅒求䝁䅉党畂䡁䅑兤祂䝁䅕督䅁䭁䅧䅁畁䅁䅁兖畂䝁䅅杚浂䑁䅯䅉啂䡁䅉兙畂䡁䅍䅣療䡁䅉䅤杁䕁䅕兣ㅂ䝁䅫䅣䅁䱁䅁䅁啂䅁䅁兖畂䝁䅅杚浂䑁䅯䅉塂䝁䄸杣牂䝁䅫杢湂䍁䅁睑桂䡁䅁兡あ䝁䅅䅢杁䕁䅙兡畂䝁䅅杢橂䝁䅕䅉䩂䝁䄴杤求䡁䅍䅤瑂䝁䅕杢あ䅁䅁杺䅁䑁䅁䅁噂䝁䄴兙穂䡁䅍兡湂䝁䄴党歂䍁䅁杒ㅂ䝁䄴䅚穂䍁䅁䅋歁䑁䅁䅍睁䍁䅫䅁㙁睂䅁材䅁䙁䅕杢歂䝁䅕杣㍂䡁䅉兡あ䝁䅫杢湂䍁䅁䅒求䝁䅑兤橂䡁䅑兡療䝁䄴督杁䍁䅧䅊睁䑁䅁䅍灁䅁䅁兡䅣䑁䅉䅁噂䝁䄴党桂䡁䅉杢求䝁䅑䅉兂䡁䅉党瑂䝁䅫兤瑂䡁䅍䅉潁䍁䅑䅍睁䑁䅁克䅁䅁䡧䅁祂䅁䅁兖畂䝁䅕兙祂䝁䄴党歂䍁䅁䅕祂䝁䅕兢灂䡁䅕兢穂䍁䅁兔療䡁䅉党杁䡁䅑䅡桂䝁䄴䅉硁䍁䅁兗祂䍁䅁杚祂䝁䄸兢杁䙁䅁睢獂䝁䅫睙㕂䍁䅁䅒桂䡁䅑党杁䍁䅧䅊睁䑁䅁䅍灁䅁䅁䈳䅑䝁䅧䅁噂䝁䄴党桂䡁䅉杢求䝁䅑䅉兂䡁䅉党瑂䝁䅫兤瑂䡁䅍䅉塂䝁䅫䅤潂䝁䅫杢杁䑁䅅䅉婂䡁䅉䅉療䝁䅙䅉兂䝁䄸䅢灂䝁䅍入杁䕁䅑兙あ䝁䅕䅉潁䍁䅑䅍睁䑁䅁克䅁乁啙䅁佂䅁䅁兖畂䝁䅫䅤求䝁䅑䅉䝂䝁䅫杣求䍁䅁睒祂䝁䄸兤睂䍁䅁兓畂䝁䅍杌杁䍁䅧睕佂䕁䅷䅉兂䍁䅙睑杁䕁䅣杣療䡁䅕䅣灁䅁䅁桴䅍䙁䅁䅁噂䝁䄴兡あ䝁䅕䅚杁䕁䅙兡祂䝁䅕䅉䡂䡁䅉睢ㅂ䡁䅁䅌杁䕁䅫杢橂䍁䄴䅉潁䙁䅍杔䵂䍁䅁䅕流䕁䅍䅉䡂䡁䅉睢ㅂ䡁䅁克䅁䱁呕䅁ぁ䅁䅁兖畂䝁䅫䅤求䝁䅑䅉䵂䝁䅫杚求䍁䅁兓畂䡁䅍兤祂䝁䅅杢橂䝁䅕䅉䑂䝁䄸杌䅁䱁吸䅁㡁䅁䅁兖畂䝁䅫䅤求䝁䅑䅉䵂䝁䅫杚求䍁䅁兓畂䡁䅍兤祂䝁䅅杢橂䝁䅕䅉䑂䝁䄸兢睂䝁䅅杢㕂䅁䅁䉷䅍䡁䅁䅁噂䝁䄴兡あ䝁䅕䅚杁䙁䅍党祂䡁䅙兡橂䝁䅕督杁䕁䅅兤あ䝁䄸兢療䝁䅉兡獂䝁䅕䅉䉂䡁䅍督療䝁䅍兡桂䡁䅑兡療䝁䄴䅉潁䙁䅍杔䵂䍁䅁䅔灂䝁䅙党杁䕁䅣杣療䡁䅕䅣灁䅁䅁䄯䅯䝁䄴䅁噂䝁䄴兡あ䝁䅕䅚杁䙁䅍党祂䡁䅙兡橂䝁䅕督杁䕁䅅兤あ䝁䄸兢療䝁䅉兡獂䝁䅕䅉䉂䡁䅍督療䝁䅍兡桂䡁䅑兡療䝁䄴䅉潁䙁䅍杔䵂䍁䅁䅕流䕁䅍䅉䡂䡁䅉睢ㅂ䡁䅁克䅁䅁䱧䅁祁䅁䅁兖畂䝁䅫䅤求䝁䅑䅉呂䡁䅑兙あ䝁䅕督杁䝁䄸杚杁䕁䅅兢求䡁䅉兡橂䝁䅅䅁橂允䅁杗䅁䙁䅕杢灂䡁䅑党歂䍁䅁睕㉂䝁䅍督杁䕁䅅兤あ䝁䄸兢療䝁䅉兡獂䝁䅕䅉䉂䡁䅍督畂䍁䅁䅋呂䕁䄴䅔杁䕁䅷兡浂䝁䅕䅉䡂䡁䅉睢ㅂ䡁䅁克䅁偁䭳䅁奂䅁䅁兖畂䝁䅫䅤求䝁䅑䅉呂䡁䅙睙穂䍁䅁兑ㅂ䡁䅑睢瑂䝁䄸杙灂䝁䅷党杁䕁䅅督穂䝁䄴䅉潁䙁䅍杔䵂䍁䅁䅕流䕁䅍䅉䡂䡁䅉睢ㅂ䡁䅁克䅁䅁䱣䅁ぁ䅁䅁兖畂䝁䅫䅤求䝁䅑䅓求䝁䅅䅢あ䝁䅧䅉䡂䡁䅉睢ㅂ䡁䅁䅉䑂䝁䅕杢あ䝁䅕杣䅁䅁䰰䅁坂䅁䅁兖畂䝁䅫䅤求䝁䅑䅓求䝁䅅䅢あ䝁䅧䅉䡂䡁䅉睢ㅂ䡁䅁䅉䩂䝁䄴睙畁䍁䅁䅋呂䕁䄴䅔杁䕁䅧党桂䝁䅷䅤潂䍁䅁睒祂䝁䄸兤睂䍁䅫䅁䭁睃䅁杕䅁䙁䅕杢灂䡁䅑党歂䕁䅧党桂䝁䅷䅤潂䍁䅁睒祂䝁䄸兤睂䍁䅁兓畂䝁䅍杌杁䍁䅧睕佂䕁䅷䅉䵂䝁䅫杚求䍁䅁睒祂䝁䄸兤睂䍁䅫䅁奁睃䅁杚䅁䙁䅕杢灂䡁䅑党歂䕁䅧党桂䝁䅷䅤潂䍁䅁睒祂䝁䄸兤睂䍁䅁兓畂䝁䅍睢祂䡁䅁睢祂䝁䅅䅤求䝁䅑䅉潁䙁䅍杔䵂䍁䅁䅓求䝁䅅䅢あ䝁䅧䅉䡂䡁䅉睢ㅂ䡁䅁克䅁䅁䱳䅁楂䅁䅁兖畂䝁䅫䅤求䝁䅑䅓求䝁䅅䅢あ䝁䅧䅉䡂䡁䅉睢ㅂ䡁䅁䅉䩂䝁䄴睙療䡁䅉䅣療䡁䅉兙あ䝁䅕䅚杁䍁䅧睕佂䕁䅷䅉䵂䝁䅫杚求䍁䅁睒祂䝁䄸兤睂䍁䅫䅁塁睃䅁杘䅁䙁䅕杢睂䝁䅅兡歂䍁䅁兓䍂䕁䄴杕杁䕁䅷睢穂䡁䅍党穂䑁䅯䅉卂䝁䅕兡畂䡁䅍兤祂䝁䅅杢橂䝁䅕䅉䉂䡁䅍督ㅂ䝁䄰党歂䍁䅁䅋歁䑁䅁䅍睁䍁䅫䅁獄䅆䅁杗䅁䙁䅕杢睂䝁䅅兡歂䍁䅁兓䍂䕁䄴杕杁䕁䅷睢穂䡁䅍党穂䑁䅯䅉卂䝁䅕兡畂䡁䅍兤祂䝁䅅杢橂䝁䅕䅉䑂䝁䅕䅚求䝁䅑䅉潁䍁䅑䅍睁䑁䅁克䅁佁啁䅁畂䅁䅁兖畂䡁䅁兙灂䝁䅑䅉䩂䝁䄴睙ㅂ䡁䅉杣求䝁䅑䅉䍂䡁䅕䅤杁䕁䄴睢あ䍁䅁杕求䡁䅁睢祂䡁䅑党歂䍁䅁䅔療䡁䅍督求䡁䅍杏杁䕁䅑兡祂䝁䅕睙あ䍁䅁䅋歁䑁䅁䅍睁䍁䅫䅁牄䅆䅁䅑䅁䙁䅕杢睂䝁䅅兡歂䍁䅁䅔療䡁䅍督杁䕁䅅䅚煂䍁䅁兒㑂䡁䅁党畂䡁䅍党穂䍁䅁䅋歁䑁䅁䅍睁䍁䅫䅁䝂睂䅁杋䅁䙁䅕杢睂䝁䅅兡歂䍁䅁䅔療䡁䅍督求䡁䅍䅉潁䍁䅑䅍睁䑁䅁克䅁䕁䡕䅁㡁䅁䅁兖畂䡁䅁兙灂䝁䅑䅉卂䝁䅕䅣療䡁䅉䅤求䝁䅑䅉䵂䝁䄸督穂䝁䅕督杁䍁䅧䅊睁䑁䅁䅍灁䅁䅁栶䅑䕁䅷䅁噂䝁䄴䅣桂䝁䅫䅚杁䙁䅉党睂䝁䄸杣あ䝁䅕䅚杁䕁䅷睢穂䡁䅍党穂䑁䅯䅉䕂䝁䅫杣求䝁䅍䅤杁䍁䅧䅊睁䑁䅁䅍灁䅁䅁砵䅑䝁䅙䅁噂䝁䄴䅣桂䝁䅫䅚杁䙁䅉党睂䝁䄸杣あ䝁䅕䅚杁䕁䅷睢穂䡁䅍党穂䑁䅯䅉卂䝁䅕兡畂䡁䅍兤祂䝁䅅杢橂䝁䅕䅉䉂䡁䅍督ㅂ䝁䄰党歂䍁䅁䅋歁䑁䅁䅍睁䍁䅫䅁潄䅆䅁杢䅁䙁䅕杢睂䝁䅅兡歂䍁䅁杕求䡁䅁睢祂䡁䅑党歂䍁䅁䅔療䡁䅍督求䡁䅍杏杁䙁䅉党灂䝁䄴督ㅂ䡁䅉兙畂䝁䅍党杁䙁䅉党橂䝁䄸杤求䡁䅉兙楂䝁䅷党杁䍁䅧䅊睁䑁䅁䅍灁䅁䅁制䅑䑁䅧䅁噂䝁䄴兤瑂䍁䅁睒祂䝁䄸兤睂䍁䅁䅋呂䕁䄴䅔杁䕁䅷兡浂䝁䅕䅉䡂䡁䅉睢ㅂ䡁䅁克䅁䉁䱯䅁允䅁䅁兖睂䝁䅣杣桂䝁䅑党䅁䝁䥣䅁敂䅁䅁兖あ䝁䅫睙桂䍁䅁杔桂䡁䅑兡療䝁䄴兙獂䍁䅁兓畂䡁䅍兤祂䝁䅅杢橂䝁䅕䅉䡂䡁䅉睢ㅂ䡁䅁䅉潁䙁䅍杔䵂䍁䅁䅕流䕁䅍䅉䡂䡁䅉睢ㅂ䡁䅁克䅁乁呉䅁畁䅁䅁兖あ䝁䅫睙桂䍁䄰杕療䝁䄰党獁䍁䅁杔婂䍁䅁䅋乂䝁䅕䅤祂䝁䄸克䅁乁呣䅁䝁䅁䅁杖䉂䅁䅁䅪䅫䅁䅙䅁坂䙁䅑䅁獁权䅁杅䅁䙁䅙兙畂䍁䅁睖求䡁䅉䅤䅁䙁乙䅁煁䅁䅁杖桂䝁䄴䅉塂䝁䅕杣あ䍁䅷䅉偂䕁䅧䅉潁䕁䄰兡橂䡁䅉睢灁䅁䅁睖䄰䍁䅑䅁坂䝁䅕杣畂䝁䄸杢杁䕁䅷杌杁䙁䅍䅤求䝁䅫杢求䡁䅉䅁穃权䅁杈䅁䙁䅙兡畂䝁䅍党畂䡁䅑䅉䕂䡁䅕杤桂䝁䅷䅢䅁䵁䱕䅁流䅁䅁杖灂䝁䄴睙求䝁䄴䅤杁䙁䅁兙ㅂ䝁䅷䅉兂䡁䅉兡橂䝁䅕䅁灂杅䅁杋䅁䙁䅙兡祂䝁䅣兡畂䝁䅫兙杁䕁䄰兙祂䡁䅫䅉塂䝁䅫䅢穂䝁䄸杢䅁䑁䥷䅁潁䅁䅁杖灂䡁䅉睚灂䝁䄴兡桂䍁䅁睕ㅂ䡁䅉党あ䡁䅫䅉䑂䝁䄸杌䅁乁吰䅁㡁䅁䅁杖灂䡁䅉睚灂䝁䄴兡桂䍁䅁睕ㅂ䡁䅉党あ䡁䅫䅉䑂䝁䄸兢睂䝁䅅杢㕂䍁䅷䅉䩂䝁䄴睙畁䅁䅁栳䅍䕁䅯䅁坂䝁䄸入桂䍁䅁杒灂䝁䄴兙畂䝁䅍兡桂䝁䅷䅉䩂䝁䄴睙畁䍁䅁䅋呂䕁䄴䅔杁䕁䅷兡浂䝁䅕䅉䡂䡁䅉睢ㅂ䡁䅁克䅁䍁䱙䅁䵂䅁䅁杖療䡁䅫兙杁䕁䅙兡畂䝁䅅杢橂䝁䅫兙獂䍁䅷䅉䩂䝁䄴睙畁䍁䅁䅋呂䕁䄴䅔杁䕁䅷兡浂䝁䅕䅉䡂䡁䅉睢ㅂ䡁䅁克䅁䍁䱣䅁䥂䅁䅁睖畁䍁䅁杕畁䍁䅁村求䡁䅉睡獂䝁䅕入杁䕁䅍睢祂䡁䅁杌杁䍁䅧睕佂䕁䅷䅉兂䍁䅙睑杁䕁䅣杣療䡁䅕䅣灁䅁䅁䅍䅳䙁䅑䅁塂䍁䄴䅉卂䍁䄴䅉䍂䝁䅕杣牂䝁䅷党㕂䍁䅁睑療䡁䅉䅣療䡁䅉兙あ䝁䅫睢畂䍁䅁䅋呂䕁䄴䅔杁䙁䅁杊䑂䍁䅁睒祂䝁䄸兤睂䍁䅫䅁硁睃䅁杂䅁䙁䅣兑䅁䵁䭁䅁䝁䅁䅁睖䩂䅁䅁兯䅙䅁䅙䅁塂䙁䅙䅁乁兄䅁权䅁䙁䅣兙橂䝁䄸䅁潂睅䅁杉䅁䙁䅣兙橂䝁䄸䅌杁䙁䅑䅗杁䍁䅧兔求䡁䅑杣療䍁䅫䅁浂睅䅁杇䅁䙁䅣兙獂䝁䄴兤あ䍁䅁睑祂䝁䅕党牂䅁䅁朴䄰䍁䅑䅁塂䝁䅅䅢あ䝁䅕杣杁䕁䅷党療䍁䅁䅓桂䡁䅉杣灂䡁䅍䅁⭃睄䅁杉䅁䙁䅣兙獂䡁䅑党祂䍁䅁杕求䡁䅧䅉塂䝁䅧兡あ䝁䅕䅁硂䅃䅁杉䅁䙁䅣兙獂䡁䅑党祂䍁䅁睕畁䍁䅁村求䡁䅉兢桂䝁䄴䅁㕃䅃䅁䅅䅁䙁䅣兙獂䡁䅑䅡桂䝁䄰䅁㍄兄䅁杄䅁䙁䅣兙祂䡁䅉党畂䅁䅁眫䅧䍁䅑䅁塂䝁䅅杣祂䝁䅕杢杁䕁䅕杌杁䕁䅉兤浂䝁䅙党あ䡁䅑䅁睄睂䅁䅋䅁䙁䅣兙祂䡁䅉党畂䍁䅁杓療䝁䅧杢杁䙁䅯兙橂䝁䅍兙祂䝁䄸䅁啃权䅁条䅁䙁䅣兙穂䝁䅧兡畂䝁䅣䅤療䝁䄴兌䉂䡁䅉䅢灂䝁䄴睚あ䝁䄸杢瑁䕁䅅䅢求䡁䅧兙畂䝁䅑杣灂䝁䅅䅌杁䕁䅑睑瑁䙁䅙兑瑁䕁䄰䅒瑁䙁䅣杖杁䍁䅧兔求䡁䅑杣療䍁䅫䅁䡃杂䅁杈䅁䙁䅣兙あ䝁䅍䅡杁䕁䄴党湂䝁䅅䅤灂䡁䅙党䅁䕁䥫䅁敁䅁䅁睖桂䡁䅑睙潂䍁䅁䅕療䡁䅍兡あ䝁䅫杤求䅁䅁光䄸䍁䅁䅁塂䝁䅅䅤橂䝁䅧䅉噂䝁䄴睙求䡁䅉䅤桂䝁䅫杢䅁䕁䥧䅁啁䅁䅁睖桂䡁䅑党祂䡁䅑睢㍂䝁䄴䅁歃睅䅁杋䅁䙁䅣兙㕂䝁䄴党杁䕁䅅杢歂䡁䅉党㍂䍁䅁兔求䡁䅉杣灂䝁䅷䅢䅁䝁呁䅁慁䅁䅁睖求䝁䅉䅉䉂䝁䅑䅚祂䝁䅕督穂䍁䅁䅁㉁杂䅁䅅䅁䙁䅣党楂䡁䅍䅤求䡁䅉䅁㑃䅅䅁䅘䅁䙁䅣党獂䝁䅷睑桂䡁䅉党杁䕁䅧党桂䝁䅷䅤潂䍁䅁䅕獂䝁䅅杢穂䍁䅁兓畂䝁䅍杌杁䍁䅧睕佂䕁䅷䅉䥂䝁䅕兙獂䡁䅑䅡杁䕁䅣杣療䡁䅕䅣灁䅁䅁制䅍䙁䄴䅁塂䝁䅕䅢獂䕁䅍兙祂䝁䅕䅉䥂䝁䅕兙獂䡁䅑䅡杁䙁䅁䅢桂䝁䄴督獁䍁䅁兓畂䝁䅍杌杁䍁䅧睕佂䕁䅷䅉䥂䝁䅕兙獂䡁䅑䅡杁䕁䅣杣療䡁䅕䅣灁䅁䅁栶䅍䉁䅑䅁塂䝁䅕䅢獂䝁䅕督獂䝁䅕入䅁䙁偍䅁杁䅁䅁睖求䝁䅷䅢求䡁䅍䅢求䡁䅫䅉䥂䝁䅫䅢獂䡁䅍䅁䥄权䅁村䅁䙁䅣党獂䝁䅷兢桂䡁䅉睡杁䕁䅫杢橂䍁䄴䅉潁䙁䅍杔䵂䍁䅁䅓求䝁䅅䅢あ䝁䅧䅉䡂䡁䅉睢ㅂ䡁䅁克䅁偁呙䅁䕂䅁䅁睖求䝁䅷䅢瑂䝁䅅杣牂䍁䅷䅉䩂䝁䄴睙畁䍁䅁䅋呂䕁䄴䅔杁䕁䅧党桂䝁䅷䅤潂䍁䅁睒祂䝁䄸兤睂䍁䅫䅁㍄睅䅁䅊䅁䙁䅣党畂䝁䅑入杁䙁䅉兙求䍁䅁睕橂䝁䅧兤獂䝁䅕杣䅁䝁䱑䅁䭁䅁䅁睖求䡁䅍䅤䅁䙁䩷䅁啁䅁䅁睖求䡁䅍䅤杁䕁䅉党畂䝁䅑䅁䑁䅆䅁材䅁䙁䅣党穂䡁䅑䅉䍂䝁䅕杢歂䍁䅁兔ㅂ䡁䅑兤桂䝁䅷䅉䩂䝁䄴督ㅂ䡁䅉兙畂䝁䅍党杁䕁䅍睢畁䅁䅁䉁䅑䕁䅙䅁塂䝁䅕督あ䍁䅁村求䝁䄴䅚杁䕁䄰兤あ䡁䅕兙獂䍁䅁兓畂䡁䅍兤祂䝁䅅杢橂䝁䅕䅉䑂䝁䄸兢睂䝁䅅杢㕂䅁䅁砯䅍䍁䅁䅁塂䝁䅕督あ䍁䅁䅒求䡁䅍䅉乂䝁䄸兡畂䝁䅕督䅁䥁䥫䅁慁䅁䅁睖求䡁䅍䅤杁䙁䅑杣求䝁䄴䅤療䝁䄴䅁㙂充䅁䅘䅁䙁䅣党穂䡁䅑党祂䝁䄴䅉流䍁䅁睕療䡁䅕䅤潂䝁䅕杣畂䍁䅁杒灂䝁䄴兙畂䝁䅍兡桂䝁䅷䅉潁䙁䅍杔䵂䍁䅁䅔灂䝁䅙党杁䕁䅣杣療䡁䅕䅣灁䅁䅁睏䅳䥁䅁䅁塂䝁䅕督あ䝁䅕杣畂䍁䅁杊杁䙁䅍睢ㅂ䡁䅑䅡求䡁䅉杢杁䕁䅙兡畂䝁䅅杢橂䝁䅫兙獂䍁䅁睒祂䝁䄸兤睂䍁䅷䅉䩂䝁䄴睙畁䍁䅁䅋乂䕁䅧睑灁䍁䅁䅋呂䕁䄴䅔杁䕁䅷兡浂䝁䅕䅉䡂䡁䅉睢ㅂ䡁䅁克䅁䑁䱷䅁楁䅁䅁睖求䡁䅍䅤浂䝁䅫党獂䝁䅑䅉䑂䝁䅕杢あ䝁䅕杣䅁䅁唰䅁䅂䅁䅁睖求䡁䅍䅤浂䝁䅫党獂䝁䅑䅉䡂䡁䅉睢ㅂ䡁䅁䅉潁䙁䅍杔䵂䍁䅁䅕流䕁䅍䅉䡂䡁䅉睢ㅂ䡁䅁克䅁䅁啯䅁杁䅁䅁睖求䡁䅍䅤療䝁䄴䅉乂䍁䄴䅉䥂䝁䅫睙牂䡁䅍䅁橂䅃䅁䅖䅁䙁䅣䅡灂䡁䅑党杁䕁䄰睢ㅂ䝁䄴䅤桂䝁䅫杢穂䍁䅁兓畂䡁䅍兤祂䝁䅅杢橂䝁䅕䅉潁䙁䅍杔䵂䍁䅁䅕流䕁䅍䅉䡂䡁䅉睢ㅂ䡁䅁克䅁䉁啑䅁獂䅁䅁睖潂䝁䅫䅤求䍁䅁兔療䡁䅕杢あ䝁䅅兡畂䡁䅍䅉䩂䝁䄴督ㅂ䡁䅉兙畂䝁䅍党杁䕁䅣杣療䡁䅕䅣獁䍁䅁䅔あ䝁䅑杌杁䍁䅧睕佂䕁䅷䅉兂䍁䅙睑杁䕁䅣杣療䡁䅕䅣灁䅁䅁硅䅑䉁䅯䅁塂䝁䅧兡あ䝁䅕䅉兂䝁䅷兙灂䝁䄴督䅁偁佷䅁祁䅁䅁睖灂䝁䅷䅢灂䝁䅅兢杁䕁䅅杌杁䙁䅙睢畂䍁䅁䅓療䝁䅕杢求䍁䅁杓祂䍁䄴䅁婃充䅁杌䅁䙁䅣兡獂䝁䅷兡桂䝁䄰䅉䑂䝁䅧兙祂䝁䅷党穂䍁䅁杒桂䝁䅷䅢療䝁䄴䅁剄䅅䅁杌䅁䙁䅣兡獂䝁䅷兡桂䝁䄰䅉䙂䝁䅑睤桂䡁䅉䅚杁䕁䅣兙ㅂ䝁䄰睢畂䝁䅑䅁祂䅃䅁䅘䅁䙁䅣兡獂䝁䅷兡桂䝁䄰䅉䙂䝁䅷兢求䡁䅉䅉䕂䡁䅕杣祂䝁䅕䅤あ䍁䅷䅉塂䝁䅫䅢獂䝁䅫兙瑂䍁䅁兔桂䡁䅉䅤㕂䝁䄴䅉䑂䝁䅅兢求䡁䅉睢畂䅁䅁䄲䅳䑁䅷䅁塂䝁䅫䅢獂䝁䅫兙瑂䍁䅁兒ㅂ䝁䅣党畂䝁䅕䅉䑂䡁䅕杢畂䝁䅫杢湂䝁䅧兙瑂䍁䅁杓祂䍁䄴䅁塄睄䅁䅌䅁䙁䅣兡獂䝁䅷兡桂䝁䄰䅉䡂䝁䅕睢祂䝁䅣党杁䙁䅑兤橂䝁䅳党祂䅁䅁䉋䅍䍁䅷䅁塂䝁䅫䅢獂䝁䅫兙瑂䍁䅁䅓畁䍁䅁睑ㅂ䝁䄴杢灂䝁䄴睚潂䝁䅅兢䅁偁䩣䅁ぁ䅁䅁睖灂䝁䅷䅢灂䝁䅅兢杁䕁䅯睢穂䝁䅕䅣潂䍁䅁村求䝁䅣䅢求䡁䅫䅉䭂䡁䅉杌䅁䥁卙䅁睁䅁䅁睖灂䝁䅷䅢灂䝁䅅兢杁䕁䅷兙㍂䡁䅉党畂䝁䅍党杁䕁䄴兙㕂䝁䅷睢畂䅁䅁䈴䅁䍁䄴䅁塂䝁䅫䅢獂䝁䅫兙瑂䍁䅁兔桂䡁䅉䅤㕂䝁䄴䅉䑂䝁䅅兢求䡁䅉睢畂䅁䅁朱䅳䍁䄴䅁塂䝁䅫䅢獂䝁䅫兙瑂䍁䅁杕療䝁䅉党祂䡁䅑䅉䍂䝁䅕杣牂䝁䅷党㕂䅁䅁兏䅳䑁䅙䅁塂䝁䅫䅢獂䝁䅫兙瑂䍁䅁杕療䝁䅉党祂䡁䅑䅉䍂䝁䅕杣牂䝁䅷党㕂䍁䅁杓祂䍁䄴䅁㍁睃䅁䅎䅁䙁䅣兡獂䝁䅷兡桂䝁䄰䅉卂䡁䅕䅚療䝁䅷䅣潂䍁䅁䅓桂䝁䄰督桂䍁䅁杓祂䍁䄴䅁灄充䅁䅋䅁䙁䅣兡獂䝁䅷兡桂䝁䄰䅉呂䝁䅍兙獂䝁䅑兙浂䝁䅕杣祂䝁䅫䅁㕂兆䅁䅍䅁䙁䅣兡獂䝁䅷兡桂䝁䄰䅉呂䡁䅑兙畂䝁䅍兡獂䍁䅁睕あ䝁䅅杣畂䝁䅕督䅁䍁即䅁煁䅁䅁睖灂䝁䅷䅢灂䝁䅅兢杁䙁䅑睢歂䝁䅑䅉䝂䝁䅅杢橂䝁䅧党祂䅁䅁睹䅳䉁䅙䅁塂䝁䅫䅢瑂䝁䅫杢湂䡁䅑睢畂䅁䅁硫䅅䍁䅯䅁塂䝁䅫䅢穂䝁䄸杢杁䙁䅣党獂䝁䅑睢畂䍁䅁睖灂䝁䅷督療䝁䄴䅁療䅅䅁杄䅁䙁䅣睢楂䡁䅕杣畂䅁䅁硱䅉䉁䄴䅁塂䝁䄸睢歂䝁䅷兙畂䝁䅑䅉䥂䝁䅫䅢獂䡁䅍䅁敂元䅁䅆䅁䙁䅣睢祂䝁䅍党穂䡁䅑党祂䅁䅁兓䄸䑁䅉䅁塂䝁䄸杣橂䝁䅕督あ䝁䅕杣獁䍁䅁兔䉂䍁䄰睑啂䍁䅁䅋乂䝁䅕䅤祂䝁䄸克䅁䩁䨴䅁啂䅁䅁睖療䡁䅉睡求䡁䅉督杁䕁䅍睢瑂䡁䅁党畂䡁䅍兙あ䝁䅫睢畂䍁䅁杒ㅂ䝁䄴䅚杁䍁䅧睕佂䕁䅷䅉兂䍁䅙睑杁䕁䅣杣療䡁䅕䅣灁䅁䅁硈䅑䑁䅯䅁奂䕁䅷䅉䡂䡁䅉睢ㅂ䡁䅁䅉䵂䡁䅑䅚杁䍁䅧睕佂䕁䅷䅉兂䍁䅙睑杁䕁䅣杣療䡁䅕䅣灁䅁䅁剋䅑䅁䅑䅁婂䅁䅁杄䅁䅁䅧䅁婂䝁䅕督䅁䡁䉧䅁兂䅁䅁杗ㅂ䡁䅉兡橂䝁䅧䅉䩂䝁䄴督ㅂ䡁䅉兙畂䝁䅍党杁䕁䅣杣療䡁䅕䅣杁䍁䅧睕佂䕁䅷䅉䵂䝁䅫杚求䍁䅁睒祂䝁䄸兤睂䍁䅫䅁祁䅆䅁杔䅁䙁䅯兤祂䝁䅫睙潂䍁䅁兓畂䡁䅍兤祂䝁䅅杢橂䝁䅕䅉䡂䡁䅉睢ㅂ䡁䅁䅉潁䙁䅍杔䵂䍁䅁䅕流䕁䅍䅉䡂䡁䅉睢ㅂ䡁䅁克䅁䕁䱕䅁慂䅁䅁杗ㅂ䡁䅉兡橂䝁䅧䅉䩂䝁䄴督ㅂ䡁䅉兙畂䝁䅍党杁䕁䅣杣療䡁䅕䅣杁䕁䅷䅤歂䍁䄴䅉潁䙁䅍杔䵂䍁䅁䅔灂䝁䅙党杁䕁䅣杣療䡁䅕䅣灁䅁䅁硍䅑䙁䅧䅁慂䡁䅕杣灂䝁䅍䅡杁䕁䅫杢穂䡁䅕杣桂䝁䄴睙求䍁䅁睒祂䝁䄸兤睂䍁䅁䅔あ䝁䅑杌杁䍁䅧睕佂䕁䅷䅉兂䍁䅙睑杁䕁䅣杣療䡁䅕䅣灁䅁䅁杒䅳䑁䅙䅁扂䙁䅑睕畁䡁䅧䅢穂䙁䄰兓畂䡁䅍䅤祂䡁䅕睙あ䝁䅫睢畂䡁䅍光歁䙁䅁䅊ㅁ䑁䅁䅁㡁䅆䅁李䅁䙁䅳䅖呂䍁䄴䅥獂䡁䅍兘䩂䝁䄴督あ䡁䅉兤橂䡁䅑兡療䝁䄴督桁䍁䅑䅕歁䑁䅕睍䅁䑁唰䅁㉁䅁䅁睗啂䙁䅍杌㑂䝁䅷督摂䕁䅫杢穂䡁䅑杣ㅂ䝁䅍䅤灂䝁䄸杢穂䍁䅅䅊剂䍁䅑兎睁䅁䅁桐䅑䑁䄴䅁扂䙁䅑睕畁䡁䅧䅢穂䙁䄰睕佂䕁䅷睘䕂䝁䅅䅤桂䍁䅅䅊䉂䕁䅙䅊硁䑁䅉杏歁䕁䅅杒歁䑁䅉睎䅁䝁啍䅁畁䅁䅁睗啂䙁䅍杌㑂䝁䅷督摂䙁䅍杔䵂䙁䄸䅒桂䡁䅑兙桁䍁䅑兑䝂䍁䅑兏䅁䝁啅䅁⭁䅁䅁睗啂䙁䅍杌㑂䝁䅷督摂䙁䅍杔䵂䙁䄸䅒桂䡁䅑兙桁䍁䅑兑䡂䍁䅑免睁䑁䅯䅊䉂䕁䅷䅊硁䑁䅁䅁歂䅆䅁杏䅁䙁䅳䅖呂䍁䄴䅥獂䡁䅍兘呂䕁䄴䅔時䕁䅑兙あ䝁䅅光歁䕁䅅睒歁䑁䅫杏歁䕁䅅䅔歁䑁䅫䅁楂䅆䅁材䅁䙁䅳䅖呂䍁䄴䅥獂䡁䅍兘呂䕁䄴䅔時䕁䅑兙あ䝁䅅光歁䕁䅅兔歁䑁䅅杍㙁䍁䅑兑乂䍁䅑杍㍁䅁䅁硚䅑䍁䄴䅁扂䙁䅑睕畁䡁䅧䅢穂䙁䄰睕佂䕁䅷睘䕂䝁䅅䅤桂䍁䅅䅊䉂䕁䄰䅊㕁䅁䅁剚䅑䑁䄴䅁扂䙁䅑睕畁䡁䅧䅢穂䙁䄰睕佂䕁䅷睘䕂䝁䅅䅤桂䍁䅅䅊䉂䕁䄴䅊硁䑁䅁杏歁䕁䅅睕歁䑁䅅䅍䅁䝁啧䅁㙁䅁䅁睗啂䙁䅍杌㑂䝁䅷督摂䙁䅍杔䵂䙁䄸䅒桂䡁䅑兙桁䍁䅑兑佂䍁䅑兏㙁䍁䅑兑呂䍁䅑兏䅁䝁啙䅁⭁䅁䅁睗啂䙁䅍杌㑂䝁䅷督摂䙁䅍杔䵂䙁䄸䅒桂䡁䅑兙桁䍁䅑兑啂䍁䅑免祁䑁䅯䅊䉂䙁䅑䅊祁䑁䅣䅁牂䅆䅁杌䅁䙁䅳䅖呂䍁䄴䅥獂䡁䅍兘呂䕁䄴䅔時䕁䅑兙あ䝁䅅光歁䕁䅅䅖歁䑁䅫䅁灂䅆䅁材䅁䙁䅳䅖呂䍁䄴䅥獂䡁䅍兘呂䕁䄴䅔時䕁䅑兙あ䝁䅅光歁䕁䅅兖歁䑁䅅䅍㙁䍁䅑兑慂䍁䅑免睁䅁䅁䉢䅑䑁䅯䅁扂䙁䅑睕畁䡁䅧䅢穂䙁䄰睕佂䕁䅷睘䕂䝁䅅䅤桂䍁䅅䅊䉂䙁䅕䅊㕁䑁䅯䅊䉂䙁䅯䅊㕁䅁䅁桡䅑䍁䅷䅁扂䙁䅑睕畁䡁䅧䅢穂䙁䄰睕佂䕁䅷睘䕂䝁䅅䅤桂䍁䅅䅊䍂䍁䅑兎䅁䙁啉䅁⭁䅁䅁睗啂䙁䅍杌㑂䝁䅷督摂䙁䅍杔䵂䙁䄸䅒桂䡁䅑兙桁䍁䅑村䉂䍁䅑免祁䑁䅯䅊䍂䕁䅅䅊祁䑁䅣䅁療䅆䅁杌䅁䙁䅳䅖呂䍁䄴䅥獂䡁䅍兘呂䕁䄴䅔時䕁䅑兙あ䝁䅅光歁䕁䅉兑歁䑁䅫䅁瑂䅆䅁材䅁䙁䅳䅖呂䍁䄴䅥獂䡁䅍兘呂䕁䄴䅔時䕁䅑兙あ䝁䅅光歁䕁䅉村歁䑁䅅䅍㙁䍁䅑村䡂䍁䅑免睁䅁䅁䉣䅑䑁䅯䅁扂䙁䅑睕畁䡁䅧䅢穂䙁䄰睕佂䕁䅷睘䕂䝁䅅䅤桂䍁䅅䅊䍂䕁䅉䅊㕁䑁䅯䅊䍂䕁䅣䅊㕁䅁䅁桢䅑䑁䄴䅁扂䙁䅑睕畁䡁䅧䅢穂䙁䄰睕佂䕁䅷睘䕂䝁䅅䅤桂䍁䅅䅊䍂䕁䅧䅊硁䑁䅉杏歁䕁䅉䅓歁䑁䅉睎䅁䡁啍䅁畁䅁䅁睗啂䙁䅍杌㑂䝁䅷督摂䙁䅍杔䵂䙁䄸䅒桂䡁䅑兙桁䍁䅑村䥂䍁䅑兏䅁䡁啅䅁⭁䅁䅁睗啂䙁䅍杌㑂䝁䅷督摂䙁䅍杔䵂䙁䄸䅒桂䡁䅑兙桁䍁䅑村䩂䍁䅑免睁䑁䅯䅊䍂䕁䄴䅊硁䑁䅁䅁あ䅆䅁杏䅁䙁䅳䅖呂䍁䄴䅥獂䡁䅍兘呂䕁䄴䅔時䕁䅑兙あ䝁䅅光歁䕁䅉兓歁䑁䅫杏歁䕁䅉杔歁䑁䅫䅁祂䅆䅁杏䅁䙁䅳䅖呂䍁䄴䅥獂䡁䅍兘呂䕁䄴䅔時䕁䅑兙あ䝁䅅光歁䕁䅍䅊㑁䑁䅯䅊䑂䍁䅑免㕁䑁䅍䅁啂䅆䅁䅌䅁䙁䅳䅖呂䍁䄴䅥獂䡁䅍兘呂䕁䄴䅔時䕁䅑兙あ䝁䅅光歁䕁䅙䅊㍁䅁䅁硕䅑䑁䅯䅁扂䙁䅑睕畁䡁䅧䅢穂䙁䄰睕佂䕁䅷睘䕂䝁䅅䅤桂䍁䅅䅊䱂䍁䅑免祁䑁䅯䅊䱂䍁䅑杍㍁䅁䅁硖䅑䍁䅷䅁扂䙁䅑睕畁䡁䅧䅢穂䙁䄰睕佂䕁䅷睘䕂䝁䅅䅤桂䍁䅅䅊䱂䍁䅑兏䅁䙁啕䅁㙁䅁䅁睗啂䙁䅍杌㑂䝁䅷督摂䙁䅍杔䵂䙁䄸䅒桂䡁䅑兙桁䍁䅑䅔歁䑁䅅䅍㙁䍁䅑兕歁䑁䅅䅍䅁䙁啧䅁㉁䅁䅁睗啂䙁䅍杌㑂䝁䅷督摂䙁䅍杔䵂䙁䄸䅒桂䡁䅑兙桁䍁䅑䅔歁䑁䅫杏歁䙁䅅䅊㕁䅁䅁桖䅑䑁䅯䅁扂䙁䅑睕畁䡁䅧䅢穂䙁䄰睕佂䕁䅷睘䕂䝁䅅䅤桂䍁䅅䅊卂䍁䅑免祁䑁䅯䅊卂䍁䅑杍㍁䅁䅁硗䅑䍁䅷䅁扂䙁䅑睕畁䡁䅧䅢穂䙁䄰睕佂䕁䅷睘䕂䝁䅅䅤桂䍁䅅䅊卂䍁䅑兏䅁䙁啫䅁㙁䅁䅁睗啂䙁䅍杌㑂䝁䅷督摂䙁䅍杔䵂䙁䄸䅒桂䡁䅑兙桁䍁䅑睕歁䑁䅅䅍㙁䍁䅑䅗歁䑁䅅䅍䅁䙁啷䅁㉁䅁䅁睗啂䙁䅍杌㑂䝁䅷督摂䙁䅍杔䵂䙁䄸䅒桂䡁䅑兙桁䍁䅑睕歁䑁䅫杏歁䙁䅧䅊㕁䅁䅁桗䅑䑁䅯䅁扂䙁䅑睕畁䡁䅧䅢穂䙁䄰睕佂䕁䅷睘䕂䝁䅅䅤桂䍁䅅䅊婂䍁䅑免祁䑁䅯䅊婂䍁䅑杍㍁䅁䅁硘䅑䍁䅷䅁扂䙁䅑睕畁䡁䅧䅢穂䙁䄰睕佂䕁䅷睘䕂䝁䅅䅤桂䍁䅅䅊婂䍁䅑兏䅁䙁唰䅁㡁䅁䅁睗啂䙁䅍杌㑂䝁䅷督摂䙁䅍杔䵂䙁䄸䅒桂䡁䅑兙桁䍁䅑杗歁䑁䅅䅍㙁䍁䅑兑䙂䍁䅑免睁䅁䅁䉙䅑䑁䅧䅁扂䙁䅑睕畁䡁䅧䅢穂䙁䄰睕佂䕁䅷睘䕂䝁䅅䅤桂䍁䅅䅊慂䍁䅑兏㙁䍁䅑兑䙂䍁䅑兏䅁䙁唴䅁歁䅁䅁睗啂䙁䅍杌㑂䝁䅷督摂䙁䅑兙楂䑁䅉光歁䕁䅉䅊祁䅁䅁剤䅑䑁䅑䅁扂䙁䅑睕畁䡁䅧䅢穂䙁䄰䅖桂䝁䅉杍桁䍁䅑睑歁䑁䅅李㙁䍁䅑睑歁䑁䅅睍ㅁ䅁䅁硤䅑䍁䄴䅁扂䙁䅑睕畁䡁䅧䅢穂䙁䄰䅖桂䝁䅉杍桁䍁䅑䅒歁䑁䅉杏歁䕁䅫䅊祁䅁䅁桤䅑䍁䄴䅁扂䙁䅑睕畁䡁䅧䅢穂䙁䄰䅖桂䝁䅉杍桁䍁䅑䅒歁䑁䅍杏歁䕁䅫䅊穁䅁䅁䉥䅑䍁䅑䅁扂䙁䅑睕畁䡁䅧䅢穂䙁䄰䅖桂䝁䅉睍桁䍁䅑村歁䑁䅉䅁㕂䅆䅁䅎䅁䙁䅳䅖呂䍁䄴䅥獂䡁䅍兘啂䝁䅅杙穁䍁䅅䅊䑂䍁䅑免㉁䑁䅯䅊䑂䍁䅑免ㅁ䑁䅙䅁㝂䅆䅁杌䅁䙁䅳䅖呂䍁䄴䅥獂䡁䅍兘啂䝁䅅杙穁䍁䅅䅊䕂䍁䅑杍㙁䍁䅑兓歁䑁䅉䅁㙂䅆䅁杌䅁䙁䅳䅖呂䍁䄴䅥獂䡁䅍兘啂䝁䅅杙穁䍁䅅䅊䕂䍁䅑睍㙁䍁䅑兓歁䑁䅍䅁㡂䅆䅁䅊䅁䙁䅳䅖呂䍁䄴䅥獂䡁䅍兘啂䝁䅅杙ぁ䍁䅅䅊䍂䍁䅑杍䅁䡁唰䅁ぁ䅁䅁睗啂䙁䅍杌㑂䝁䅷督摂䙁䅑兙楂䑁䅑光歁䕁䅍䅊硁䑁䅙杏歁䕁䅍䅊硁䑁䅙免䅁䡁唸䅁畁䅁䅁睗啂䙁䅍杌㑂䝁䅷督摂䙁䅑兙楂䑁䅑光歁䕁䅑䅊祁䑁䅯䅊䩂䍁䅑杍䅁䡁唴䅁畁䅁䅁睗啂䙁䅍杌㑂䝁䅷督摂䙁䅑兙楂䑁䅑光歁䕁䅑䅊穁䑁䅯䅊䩂䍁䅑睍䅁䥁啁䅁歁䅁䅁睗啂䙁䅍杌㑂䝁䅷督摂䙁䅑兙楂䑁䅕光歁䕁䅉䅊祁䅁䅁剧䅑䑁䅉䅁扂䙁䅑睕畁䡁䅧䅢穂䙁䄰䅖桂䝁䅉兎桁䍁䅑睑歁䑁䅅李㙁䍁䅑睑歁䑁䅫李䅁䥁啍䅁畁䅁䅁睗啂䙁䅍杌㑂䝁䅷督摂䙁䅑兙楂䑁䅕光歁䕁䅑䅊祁䑁䅯䅊䩂䍁䅑杍䅁䥁啉䅁畁䅁䅁睗啂䙁䅍杌㑂䝁䅷督摂䙁䅑兙楂䑁䅕光歁䕁䅑䅊穁䑁䅯䅊䩂䍁䅑睍䅁䥁啑䅁歁䅁䅁睗啂䙁䅍杌㑂䝁䅷督摂䙁䅑兙楂䑁䅙光歁䕁䅉䅊祁䅁䅁剨䅑䑁䅉䅁扂䙁䅑睕畁䡁䅧䅢穂䙁䄰䅖桂䝁䅉李桁䍁䅑睑歁䑁䅅李㙁䍁䅑睑歁䑁䅕睎䅁䥁啣䅁畁䅁䅁睗啂䙁䅍杌㑂䝁䅷督摂䙁䅑兙楂䑁䅙光歁䕁䅑䅊祁䑁䅯䅊䩂䍁䅑杍䅁䥁啙䅁畁䅁䅁睗啂䙁䅍杌㑂䝁䅷督摂䙁䅑兙楂䑁䅙光歁䕁䅑䅊穁䑁䅯䅊䩂䍁䅑睍䅁䥁啧䅁歁䅁䅁睗啂䙁䅍杌㑂䝁䅷督摂䙁䅑兙楂䑁䅣光歁䕁䅉䅊㕁䅁䅁剩䅑䑁䅉䅁扂䙁䅑睕畁䡁䅧䅢穂䙁䄰䅖桂䝁䅉睎桁䍁䅑睑歁䑁䅅䅎㙁䍁䅑睑歁䑁䅉䅎䅁䥁啳䅁流䅁䅁睗啂䙁䅍杌㑂䝁䅷督摂䙁䅑兙楂䑁䅣光歁䕁䅍䅊祁䑁䅙䅁乃䅆䅁䅎䅁䙁䅳䅖呂䍁䄴䅥獂䡁䅍兘啂䝁䅅杙㍁䍁䅅䅊䑂䍁䅑睍穁䑁䅯䅊䑂䍁䅑免穁䑁䅣䅁偃䅆䅁杊䅁䙁䅳䅖呂䍁䄴䅥獂䡁䅍兘啂䝁䅅杙㍁䍁䅅䅊䕂䍁䅑睍睁䅁䅁剫䅑䑁䅑䅁扂䙁䅑睕畁䡁䅧䅢穂䙁䄰䅖桂䝁䅉睎桁䍁䅑䅒歁䑁䅣睎㙁䍁䅑䅒歁䑁䅅免祁䅁䅁硫䅑䑁䅉䅁扂䙁䅑睕畁䡁䅧䅢穂䙁䄰䅖桂䝁䅉睎桁䍁䅑兒歁䑁䅅䅍㙁䍁䅑兔歁䑁䅅䅍䅁䥁啷䅁祁䅁䅁睗啂䙁䅍杌㑂䝁䅷督摂䙁䅑兙楂䑁䅣光歁䕁䅕䅊祁䑁䅙杏歁䕁䄰䅊祁䑁䅙䅁佃䅆䅁杍䅁䙁䅳䅖呂䍁䄴䅥獂䡁䅍兘啂䝁䅅杙㍁䍁䅅䅊䙂䍁䅑杍㍁䑁䅯䅊乂䍁䅑杍㍁䅁䅁䉫䅑䍁䄴䅁扂䙁䅑睕畁䡁䅧䅢穂䙁䄰䅖桂䝁䅉睎桁䍁䅑兒歁䑁䅫杏歁䕁䄰䅊㕁䅁䅁桩䅑䑁䅉䅁扂䙁䅑睕畁䡁䅧䅢穂䙁䄰䅖桂䝁䅉睎桁䍁䅑杒歁䑁䅍䅍㙁䍁䅑杔歁䑁䅍䅍䅁䩁啉䅁祁䅁䅁睗啂䙁䅍杌㑂䝁䅷督摂䙁䅑兙楂䑁䅣光歁䕁䅙䅊穁䑁䅅杏歁䕁䄴䅊穁䑁䅅䅁啃䅆䅁䅊䅁䙁䅳䅖呂䍁䄴䅥獂䡁䅍兘啂䝁䅅杙㑁䍁䅅䅊䍂䍁䅑杍䅁䩁啕䅁ぁ䅁䅁睗啂䙁䅍杌㑂䝁䅷督摂䙁䅑兙楂䑁䅧光歁䕁䅍䅊硁䑁䅙杏歁䕁䅍䅊硁䑁䅍䅏䅁䩁啣䅁畁䅁䅁睗啂䙁䅍杌㑂䝁䅷督摂䙁䅑兙楂䑁䅧光歁䕁䅑䅊祁䑁䅯䅊䩂䍁䅑杍䅁䩁啙䅁畁䅁䅁睗啂䙁䅍杌㑂䝁䅷督摂䙁䅑兙楂䑁䅧光歁䕁䅑䅊穁䑁䅯䅊䩂䍁䅑睍䅁䩁啧䅁歁䅁䅁睗啂䙁䅍杌㑂䝁䅷督摂䙁䅑兙楂䑁䅫光歁䕁䅉䅊祁䅁䅁剭䅑䑁䅉䅁扂䙁䅑睕畁䡁䅧䅢穂䙁䄰䅖桂䝁䅉兏桁䍁䅑睑歁䑁䅅李㙁䍁䅑睑歁䑁䅑兎䅁䩁啳䅁畁䅁䅁睗啂䙁䅍杌㑂䝁䅷督摂䙁䅑兙楂䑁䅫光歁䕁䅑䅊祁䑁䅯䅊䩂䍁䅑杍䅁䩁啯䅁畁䅁䅁睗啂䙁䅍杌㑂䝁䅷督摂䙁䅑兙楂䑁䅫光歁䕁䅑䅊穁䑁䅯䅊䩂䍁䅑睍䅁䩁啷䅁睁䅁䅁睗啂䙁䅍杌㑂䝁䅷督摂䙁䅑党桂䡁䅉睕潂䝁䅕党あ䍁䅅䅊䉂䙁䅉䅊㉁䅁䅁䉔䅑䕁䅁䅁扂䙁䅑睕畁䡁䅧䅢穂䙁䄰䅖求䝁䅅杣呂䝁䅧党求䡁䅑光歁䕁䅅睕歁䑁䅅杍㙁䍁䅑兑噂䍁䅑免ぁ䅁䅁剔䅑䑁䅁䅁扂䙁䅑睕畁䡁䅧䅢穂䙁䄰䅖求䝁䅅杣呂䝁䅧党求䡁䅑光歁䕁䅅睕歁䑁䅧䅁佂䅆䅁䅍䅁䙁䅳䅖呂䍁䄴䅥獂䡁䅍兘啂䝁䅕兙祂䙁䅍䅡求䝁䅕䅤桁䍁䅑兑呂䍁䅑兏䅁䕁唸䅁畁䅁䅁睗啂䙁䅍杌㑂䝁䅷督摂䙁䅑党桂䡁䅉睕潂䝁䅕党あ䍁䅅䅊䕂䍁䅑杍䅁䑁唸䅁㡁䅁䅁睗啂䙁䅍杌㑂䝁䅷督摂䙁䅑党桂䡁䅉睕潂䝁䅕党あ䍁䅅䅊䙂䍁䅑睎㉁䑁䅯䅊䙂䍁䅑兏硁䅁䅁剑䅑䑁䅧䅁扂䙁䅑睕畁䡁䅧䅢穂䙁䄰䅖求䝁䅅杣呂䝁䅧党求䡁䅑光歁䕁䅙䅊祁䑁䅯䅊䭂䍁䅑杍䅁䕁啁䅁㑁䅁䅁睗啂䙁䅍杌㑂䝁䅷督摂䙁䅑党桂䡁䅉睕潂䝁䅕党あ䍁䅅䅊䝂䍁䅑睍㙁䍁䅑杓歁䑁䅍䅁䍂䅆䅁杌䅁䙁䅳䅖呂䍁䄴䅥獂䡁䅍兘啂䝁䅕兙祂䙁䅍䅡求䝁䅕䅤桁䍁䅑䅔歁䑁䅉䅁䕂䅆䅁䅐䅁䙁䅳䅖呂䍁䄴䅥獂䡁䅍兘啂䝁䅕兙祂䙁䅍䅡求䝁䅕䅤桁䍁䅑兔歁䑁䅉䅎㙁䍁䅑兔歁䑁䅫免䅁䕁啙䅁㑁䅁䅁睗啂䙁䅍杌㑂䝁䅷督摂䙁䅑党桂䡁䅉睕潂䝁䅕党あ䍁䅅䅊佂䍁䅑杍㙁䍁䅑杕歁䑁䅉䅁䙂䅆䅁䅏䅁䙁䅳䅖呂䍁䄴䅥獂䡁䅍兘啂䝁䅕兙祂䙁䅍䅡求䝁䅕䅤桁䍁䅑杔歁䑁䅍杏歁䙁䅉䅊穁䅁䅁硒䅑䍁䄴䅁扂䙁䅑睕畁䡁䅧䅢穂䙁䄰䅖求䝁䅅杣呂䝁䅧党求䡁䅑光歁䙁䅑䅊祁䅁䅁䉓䅑䑁䅷䅁扂䙁䅑睕畁䡁䅧䅢穂䙁䄰䅖求䝁䅅杣呂䝁䅧党求䡁䅑光歁䙁䅕䅊硁䑁䅉杏歁䙁䅕䅊㕁䑁䅅䅁䭂䅆䅁䅏䅁䙁䅳䅖呂䍁䄴䅥獂䡁䅍兘啂䝁䅕兙祂䙁䅍䅡求䝁䅕䅤桁䍁䅑杖歁䑁䅉杏歁䙁䅯䅊祁䅁䅁剓䅑䑁䅧䅁扂䙁䅑睕畁䡁䅧䅢穂䙁䄰䅖求䝁䅅杣呂䝁䅧党求䡁䅑光歁䙁䅙䅊穁䑁䅯䅊慂䍁䅑睍䅁䕁啳䅁㉁䅁䅁睗啂䝁䅕兙祂䙁䅍䅡求䝁䅕䅤畁䡁䅧䅢穂䝁䄰兘䍂䝁䄸杢歂䡁䅍光歁䕁䅅䅊穁䅁䅁杳䅣䕁䅁䅁扂䙁䅑党桂䡁䅉睕潂䝁䅕党あ䍁䄴䅥獂䡁䅍兢摂䕁䅉睢畂䝁䅑督桁䍁䅑睑歁䑁䅕杏歁䙁䅉䅊ㅁ䅁䅁睹䅣䕁䅁䅁扂䙁䅑党桂䡁䅉睕潂䝁䅕党あ䍁䄴䅥獂䡁䅍兢摂䕁䅉睢畂䝁䅑督桁䍁䅑睑歁䑁䅕杏歁䙁䅙䅊ㅁ䅁䅁睳䅣䑁䄴䅁扂䙁䅑党桂䡁䅉睕潂䝁䅕党あ䍁䄴䅥獂䡁䅍兢摂䕁䅍睢瑂䡁䅁兙畂䝁䅫党穂䍁䅅䅊䉂䍁䅑免䅁䱁䠰䅁䥂䅁䅁睗啂䝁䅕兙祂䙁䅍䅡求䝁䅕䅤畁䡁䅧䅢穂䝁䄰兘䑂䝁䄸兢睂䝁䅅杢灂䝁䅕督桁䍁䅑睑歁䑁䅑杏歁䕁䅑䅊ぁ䅁䅁杶䅣䕁䅉䅁扂䙁䅑党桂䡁䅉睕潂䝁䅕党あ䍁䄴䅥獂䡁䅍兢摂䕁䅫杢灂䡁䅑兡桂䝁䅷兡㙂䝁䅕杣桁䍁䅑兑歁䑁䅅䅁瑃杂䅁村䅁䙁䅳䅖求䝁䅅杣呂䝁䅧党求䡁䅑杌㑂䝁䅷督瑂䙁䄰兓畂䝁䅫䅤灂䝁䅅䅢灂䡁䅯党祂䍁䅅䅊䍂䍁䅑李䅁䭁䜴䅁䍂䅁䅁睗啂䝁䅕兙祂䙁䅍䅡求䝁䅕䅤畁䡁䅧䅢穂䝁䄰兘䩂䝁䄴兡あ䝁䅫兙獂䝁䅫来求䡁䅉光歁䕁䅍䅊穁䅁䅁睲䅙䕁䅧䅁扂䙁䅑党桂䡁䅉睕潂䝁䅕党あ䍁䄴䅥獂䡁䅍兢摂䙁䅁杣療䡁䅍睙睂䝁䅕睙あ䙁䄸䅔灂䡁䅍䅤桁䍁䅑兑歁䑁䅅䅁䥄杂䅁䅖䅁䙁䅳䅖求䝁䅅杣呂䝁䅧党求䡁䅑杌㑂䝁䅷督瑂䙁䄰䅕祂䝁䄸督橂䡁䅁党橂䡁䅑睘䵂䝁䅫督あ䍁䅅䅊䑂䍁䅑睎㙁䍁䅑睑慂䍁䅑睎䅁䵁䝫䅁䝂䅁䅁睗啂䝁䅕兙祂䙁䅍䅡求䝁䅕䅤畁䡁䅧䅢穂䝁䄰兘兂䡁䅉睢穂䡁䅁党橂䡁䅑睘䵂䝁䅫督あ䍁䅅䅊䉂䍁䅑免䅁䵁䜰䅁卂䅁䅁睗啂䝁䅕兙祂䙁䅍䅡求䝁䅕䅤畁䡁䅧䅢穂䝁䄰兘兂䡁䅉睢穂䡁䅁党橂䡁䅑睘䵂䝁䅫督あ䍁䅅䅊䑂䍁䅑睎㙁䍁䅑睑慂䍁䅑睎䅁䵁䜴䅁㑁䅁䅁睗啂䝁䅕兙祂䙁䅍䅡求䝁䅕䅤畁䡁䅧䅢穂䝁䄰兘呂䝁䅧党求䡁䅑免桁䍁䅑兑歁䑁䅅䅁䉄杂䅁䅏䅁䙁䅳䅖求䝁䅅杣呂䝁䅧党求䡁䅑杌㑂䝁䅷督瑂䙁䄰睕潂䝁䅕党あ䑁䅅光歁䕁䅅䅊穁䅁䅁杰䅣䕁䅑䅁扂䙁䅑党桂䡁䅉睕潂䝁䅕党あ䍁䄴䅥獂䡁䅍兢摂䙁䅍䅡求䝁䅕䅤硁䍁䅅䅊䑂䍁䅑睍㙁䍁䅑䅒䍂䍁䅑睍䅁䵁䝙䅁㑁䅁䅁睗啂䝁䅕兙祂䙁䅍䅡求䝁䅕䅤畁䡁䅧䅢穂䝁䄰兘呂䝁䅧党求䡁䅑免桁䍁䅑睑歁䑁䅑䅁㝃睂䅁村䅁䙁䅳䅖求䝁䅅杣呂䝁䅧党求䡁䅑杌㑂䝁䅷督瑂䙁䄰睕潂䝁䅕党あ䑁䅅光歁䕁䅍䅊ぁ䑁䅯䅊䕂䍁䅑䅎䅁䱁䡷䅁䕂䅁䅁睗啂䝁䅕兙祂䙁䅍䅡求䝁䅕䅤畁䡁䅧䅢穂䝁䄰兘呂䝁䅧党求䡁䅑免桁䍁䅑睑歁䑁䅕杏歁䕁䅅䅔歁䑁䅕䅁潃睂䅁村䅁䙁䅳䅖求䝁䅅杣呂䝁䅧党求䡁䅑杌㑂䝁䅷督瑂䙁䄰睕潂䝁䅕党あ䑁䅅光歁䕁䅍䅊ㅁ䑁䅯䅊䝂䍁䅑兎䅁䭁䡷䅁䍂䅁䅁睗啂䝁䅕兙祂䙁䅍䅡求䝁䅕䅤畁䡁䅧䅢穂䝁䄰兘呂䝁䅧党求䡁䅑免桁䍁䅑睑歁䑁䅕杏歁䙁䅙䅊ㅁ䅁䅁关䅣䕁䅑䅁扂䙁䅑党桂䡁䅉睕潂䝁䅕党あ䍁䄴䅥獂䡁䅍兢摂䙁䅍䅡求䝁䅕䅤硁䍁䅅䅊䑂䍁䅑睎㙁䍁䅑睑慂䍁䅑睎䅁䵁䝣䅁㑁䅁䅁睗啂䝁䅕兙祂䙁䅍䅡求䝁䅕䅤畁䡁䅧䅢穂䝁䄰兘呂䝁䅧党求䡁䅑免桁䍁䅑兔歁䑁䅅䅁䙄杂䅁䅒䅁䙁䅳䅖求䝁䅅杣呂䝁䅧党求䡁䅑杌㑂䝁䅷督瑂䙁䄰睕潂䝁䅕党あ䑁䅅光歁䙁䅅䅊穁䑁䅯䅊䕂䙁䅉䅊穁䅁䅁睷䅙䑁䅧䅁扂䙁䅑党桂䡁䅉睕潂䝁䅕党あ䍁䄴䅥獂䡁䅍兢摂䙁䅍䅡求䝁䅕䅤穁䍁䅅䅊䉂䍁䅑睍䅁䥁䡫䅁䕂䅁䅁睗啂䝁䅕兙祂䙁䅍䅡求䝁䅕䅤畁䡁䅧䅢穂䝁䄰兘呂䝁䅧党求䡁䅑睍桁䍁䅑兑歁䑁䅣杏歁䕁䅅䅊硁䑁䅕䅁癃睂䅁村䅁䙁䅳䅖求䝁䅅杣呂䝁䅧党求䡁䅑杌㑂䝁䅷督瑂䙁䄰睕潂䝁䅕党あ䑁䅍光歁䕁䅉䅊ぁ䑁䅯䅊䝂䍁䅑䅎䅁䱁䡁䅁䍂䅁䅁睗啂䝁䅕兙祂䙁䅍䅡求䝁䅕䅤畁䡁䅧䅢穂䝁䄰兘呂䝁䅧党求䡁䅑睍桁䍁䅑睑歁䑁䅕杏歁䕁䅙䅊ㅁ䅁䅁睩䅣䅁䅯䅁橂䑁䅅䅍硁䅁䅁䅌䅙䅁䅯䅁橂䑁䅅䅍穁䅁䅁東䅙䅁䅯䅁浂䝁䅷杚歂䅁䅁䅬䅙䡁䄴䅁潂䡁䅑䅤睂䑁䅯睌癁䝁䅅督穂䡁䅕杣求䝁䅑睚ㅂ䝁䅅杣桂䝁䄴䅤㕂䍁䄴睙療䝁䄰睌灂䝁䄴杤求䡁䅍䅤療䡁䅉兌灂䝁䄴杚療䡁䅉兢桂䡁䅑兡療䝁䄴睌楂䡁䅫兌橂䝁䄸兢睂䝁䅅杢㕂䍁䄸兙湂䝁䄰䅁楂䅄䅁杕䅁䝁䅧䅤あ䡁䅁杏癁䍁䄸睙療䡁䅙党畂䡁䅑杣㕂䝁䅫䅢畁䝁䅍睢㉂䝁䅕杢あ䡁䅉入潂䝁䅕兙獂䡁䅑䅡橂䝁䅅杣求䍁䄴睙療䝁䄰䅁䥃杂䅁䅐䅁䝁䅧䅤あ䡁䅁杏癁䍁䄸睙穂䝁䅅兙瑁䝁䅫杢穂䡁䅕杣桂䝁䄴睙求䍁䄴兙桂䝁䅅杌橂䝁䄸兢䅁佁乁䅁潁䅁䅁䅡あ䡁䅑䅣㙁䍁䄸睌潂䝁䅫睙湂䡁䅉睢ㅂ䡁䅁杌橂䝁䄸兢䅁䱁偫䅁敁䅁䅁䅡あ䡁䅑䅣㙁䍁䄸睌獂䝁䅉䅢畁䝁䅍睢瑂䅁䅁桢䅁䑁䅉䅁潂䡁䅑䅤睂䑁䅯睌癁䡁䅣睤㍂䍁䄴兔䉂䕁䅣兔ㅂ䡁䅑兤桂䝁䅷杌橂䝁䄸兢䅁䩁允䅁流䅁䅁䅡あ䡁䅑䅣㙁䍁䄸睌㍂䡁䅣睤畁䝁䅅兙桂䍁䄴睙療䝁䄰䅁㕂䅄䅁䅋䅁䝁䅧䅤あ䡁䅁杏癁䍁䄸睤㍂䡁䅣杌桂䝁䅅兡橂䍁䄴睙療䝁䄰䅁䑄睃䅁䅑䅁䝁䅧䅤あ䡁䅁杏癁䍁䄸睤㍂䡁䅣杌桂䝁䅉兡獂䝁䅫䅤㕂䝁䅫杢穂䡁䅕杣桂䝁䄴睙求䍁䄴睙療䝁䄰䅁瑂睃䅁䅏䅁䝁䅧䅤あ䡁䅁杏癁䍁䄸睤㍂䡁䅣杌桂䝁䅍睙灂䝁䅑党畂䡁䅑杚ㅂ䝁䄴䅚畁䝁䅍睢瑂䅁䅁杤䅳䍁䅯䅁潂䡁䅑䅤睂䑁䅯睌癁䡁䅣睤㍂䍁䄴兙求䡁䅑杢桂䍁䄴睙療䝁䄰䅁䕂䅃䅁䅌䅁䝁䅧䅤あ䡁䅁杏癁䍁䄸睤㍂䡁䅣杌桂䝁䅙睚灂䝁䄴睙畁䝁䅍睢瑂䅁䅁杮䅧䍁䅯䅁潂䡁䅑䅤睂䑁䅯睌癁䡁䅣睤㍂䍁䄴兙浂䝁䅷兙橂䍁䄴睙療䝁䄰䅁噂䅃䅁䅏䅁䝁䅧䅤あ䡁䅁杏癁䍁䄸睤㍂䡁䅣杌桂䝁䅣睙穂䍁䄴兙獂䝁䅷兡桂䝁䄴来畁䝁䅍睢瑂䅁䅁兪䅳䍁䅙䅁潂䡁䅑䅤睂䑁䅯睌癁䡁䅣睤㍂䍁䄴兙灂䝁䅣杌橂䝁䄸兢䅁佁䡁䅁潁䅁䅁䅡あ䡁䅑䅣㙁䍁䄸睌㍂䡁䅣睤畁䝁䅅䅢桂䡁䅍杌橂䝁䄸兢䅁䝁䴴䅁祁䅁䅁䅡あ䡁䅑䅣㙁䍁䄸睌㍂䡁䅣睤畁䝁䅅䅢獂䝁䅕睚潂䝁䅅杢㕂䍁䄴睙療䝁䄰䅁楂䅃䅁䅍䅁䝁䅧䅤あ䡁䅁杏癁䍁䄸睤㍂䡁䅣杌桂䝁䅷䅢穂䡁䅑兙あ䝁䅕杌橂䝁䄸兢䅁䡁䤰䅁煁䅁䅁䅡あ䡁䅑䅣㙁䍁䄸睌㍂䡁䅣睤畁䝁䅅兢楂䝁䅅睙畁䝁䅍睢瑂䅁䅁睱䅳䑁䄴䅁潂䡁䅑䅤睂䑁䅯睌癁䡁䅣睤㍂䍁䄴兙瑂䝁䅕杣灂䝁䅍兙畂䍁䄰党硂䡁䅕兡あ䡁䅫杌橂䝁䄸兢䅁䥁䥳䅁畁䅁䅁䅡あ䡁䅑䅣㙁䍁䄸睌㍂䡁䅣睤畁䝁䅅兢求䡁䅉兡橂䝁䄸杌橂䝁䄸兢䅁佁䱑䅁ぁ䅁䅁䅡あ䡁䅑䅣㙁䍁䄸睌㍂䡁䅣睤畁䝁䅅兢求䡁䅉兡睂䡁䅉兡穂䝁䅕杌橂䝁䄸兢䅁䱁䥙䅁祁䅁䅁䅡あ䡁䅑䅣㙁䍁䄸睌㍂䡁䅣睤畁䝁䅅兢求䡁䅉兡穂䝁䅅杚求䍁䄴睙療䝁䄰䅁㉄睃䅁杍䅁䝁䅧䅤あ䡁䅁杏癁䍁䄸睤㍂䡁䅣杌桂䝁䄰党祂䝁䅫督ㅂ䡁䅉党畁䝁䅍睢瑂䅁䅁儯䅳䕁䅑䅁潂䡁䅑䅤睂䑁䅯睌癁䡁䅣睤㍂䍁䄴兙瑂䝁䅕杣灂䡁䅑兙穂䍁䄴睙療䝁䄰睌灂䝁䄴䅚求䡁䅧杌潂䡁䅑兢䅁䵁䥍䅁煁䅁䅁䅡あ䡁䅑䅣㙁䍁䄸睌㍂䡁䅣睤畁䝁䅅兢浂䝁䅅兢畁䝁䅍睢瑂䅁䅁杬䅧䍁䅧䅁潂䡁䅑䅤睂䑁䅯睌癁䡁䅣睤㍂䍁䄴兙瑂䝁䅫睚畁䝁䅍睢瑂䅁䅁睴䅙䑁䅉䅁潂䡁䅑䅤睂䑁䅯睌癁䡁䅣睤㍂䍁䄴兙畂䡁䅑䅡求䝁䄰兡畂䝁䅍杌橂䝁䄸兢䅁䵁䥳䅁畁䅁䅁䅡あ䡁䅑䅣㙁䍁䄸睌㍂䡁䅣睤畁䝁䅅杣楂䝁䅕䅢獂䝁䅅杌橂䝁䄸兢䅁䍁䴰䅁䝃䅁䅁䅡あ䡁䅑䅣㙁䍁䄸睌㍂䡁䅣睤畁䝁䅅杣橂䝁䅧睙桂䡁䅁睚祂䝁䄸兤睂䍁䄴睙療䝁䄰睌卂䝁䅕兡畂䡁䅍兤祂䝁䅅杢橂䝁䅕睌偂䡁䅕杣瑁䙁䅁䅢桂䡁䅑杚療䡁䅉兢癁䙁䅕杢灂䡁䅑党歂䍁䄰睕あ䝁䅅䅤求䡁䅍䅁㉁䅄䅁村䅁䝁䅧䅤あ䡁䅁杏癁䍁䄸睤㍂䡁䅣杌桂䡁䅉睡桂䝁䄴督桂䡁䅍杙獂䡁䅕党橂䡁䅉睢穂䡁䅍杌橂䝁䄸兢䅁䵁吰䅁㙁䅁䅁䅡あ䡁䅑䅣㙁䍁䄸睌㍂䡁䅣睤畁䝁䅅杣祂䝁䄸睤睂䝁䄸兡畂䡁䅑睙桂䡁䅁杌橂䝁䄸兢䅁䕁䵷䅁睁䅁䅁䅡あ䡁䅑䅣㙁䍁䄸睌㍂䡁䅣睤畁䝁䅅督穂䡁䅕杣桂䝁䄴䅤畁䝁䅍睢瑂䅁䅁䅖䅷䑁䅯䅁潂䡁䅑䅤睂䑁䅯睌癁䡁䅣睤㍂䍁䄴兙あ䝁䅧党畂䝁䅕兙畂䝁䄴兤灂䡁䅑入畁䝁䅍睢瑂䅁䅁儲䅧䑁䅙䅁潂䡁䅑䅤睂䑁䅯睌癁䡁䅣睤㍂䍁䄴兙ㅂ䡁䅑睢瑁䝁䄸睤畂䝁䅕杣穂䍁䄴睙療䝁䄰䅁潄䅃䅁䅋䅁䝁䅧䅤あ䡁䅁杏癁䍁䄸睤㍂䡁䅣杌桂䡁䅣兙橂䍁䄴睙療䝁䄰䅁呃睃䅁李䅁䝁䅧䅤あ䡁䅁杏癁䍁䄸睤㍂䡁䅣杌桂䡁䅧兡穂䝁䅍兙睂䝁䅫䅤桂䝁䅷杌橂䝁䄸兢䅁䥁䴰䅁獁䅁䅁䅡あ䡁䅑䅣㙁䍁䄸睌㍂䡁䅣睤畁䝁䅉睙楂䡁䅍睡穂䍁䄴睙療䝁䄰䅁浃䅄䅁䅌䅁䝁䅧䅤あ䡁䅁杏癁䍁䄸睤㍂䡁䅣杌楂䝁䅍杙穂䝁䅷兙畁䝁䅍睢瑂䅁䅁剤䅁䍁䅯䅁潂䡁䅑䅤睂䑁䅯睌癁䡁䅣睤㍂䍁䄴杙橂䝁䅉督瑂䍁䄴睙療䝁䄰䅁畄䅄䅁杋䅁䝁䅧䅤あ䡁䅁杏癁䍁䄸睤㍂䡁䅣杌楂䝁䅍杙穂䡁䅑杌橂䝁䄸兢䅁偁䵫䅁兂䅁䅁䅡あ䡁䅑䅣㙁䍁䄸睌㍂䡁䅣睤畁䝁䅉党畂䝁䅕杚灂䝁䅍兡桂䝁䅷杚灂䝁䄴兙畂䝁䅍兡桂䝁䅷睚祂䝁䄸兤睂䍁䄴睙療䝁䄰䅁㡃䅄䅁村䅁䝁䅧䅤あ䡁䅁杏癁䍁䄸睤㍂䡁䅣杌楂䝁䅕杣牂䡁䅍䅡灂䡁䅉党潂䝁䅅䅤潂䝁䅅睤桂䡁䅫杌橂䝁䄸兢䅁佁䠸䅁㉁䅁䅁䅡あ䡁䅑䅣㙁䍁䄸睌㍂䡁䅣睤畁䝁䅉䅢ㅂ䝁䅕睙祂䝁䄸督穂䝁䄰兙畁䝁䅍睢瑂䅁䅁睲䅷䝁䅙䅁潂䡁䅑䅤睂䑁䅯睌癁䡁䅣睤㍂䍁䄴睙桂䡁䅉党浂䝁䅫杣穂䡁䅑睙療䝁䄰兢灂䡁䅑兢求䝁䄴䅤畁䝁䅍睢瑂䍁䄸䅡あ䝁䄰䅢癁䝁䅫杢歂䝁䅕䅥畁䝁䅧䅤瑂䝁䅷䅁祁兄䅁杌䅁䝁䅧䅤あ䡁䅁杏癁䍁䄸睤㍂䡁䅣杌橂䝁䅕杢あ䝁䅕杢求䍁䄴睙療䝁䄰䅁䡂兄䅁村䅁䝁䅧䅤あ䡁䅁杏癁䍁䄸睤㍂䡁䅣杌橂䝁䅕杢あ䡁䅉兙獂䍁䄰兡畂䡁䅍兤祂䝁䅅杢橂䝁䅕杌橂䝁䄸兢䅁䙁义䅁畁䅁䅁䅡あ䡁䅑䅣㙁䍁䄸睌㍂䡁䅣睤畁䝁䅍杚湂䝁䅷兡浂䝁䅕杌橂䝁䄸兢䅁䭁丰䅁煁䅁䅁䅡あ䡁䅑䅣㙁䍁䄸睌㍂䡁䅣睤畁䝁䅍䅡ㅂ䝁䅉杙畁䝁䅍睢瑂䅁䅁术䅧䍁䅯䅁潂䡁䅑䅤睂䑁䅯睌癁䡁䅣睤㍂䍁䄴睙灂䝁䅣杢桂䍁䄴睙療䝁䄰䅁䙁元䅁䅌䅁䝁䅧䅤あ䡁䅁杏癁䍁䄸睤㍂䡁䅣杌橂䝁䅫杢浂䝁䅫杢畁䝁䅍睢瑂䅁䅁睪䄰䑁䅙䅁潂䡁䅑䅤睂䑁䅯睌癁䡁䅣睤㍂䍁䄴睙灂䡁䅑兡㙂䝁䅕杢穂䝁䅫杢橂䍁䄴睙療䝁䄰䅁晃兄䅁䅌䅁䝁䅧䅤あ䡁䅁杏癁䍁䄸睤㍂䡁䅣杌橂䝁䄴睢灂䝁䄴睙畁䝁䅍睢瑂䅁䅁杈䅫䕁䅙䅁潂䡁䅑䅤睂䑁䅯睌癁䡁䅣睤㍂䍁䄴睙療䝁䄰兢療䝁䄴睤求䝁䅅䅢あ䝁䅧兙畂䝁䄴兤灂䡁䅑入畁䝁䅍睢瑂䅁䅁杭䅫䕁䅁䅁潂䡁䅑䅤睂䑁䅯睌癁䡁䅣睤㍂䍁䄴睙療䝁䄰䅣穂䝁䄸兤祂䝁䅍党瑂䡁䅕䅤ㅂ䝁䅅䅢畁䝁䅍睢瑂䅁䅁䅴䄰䑁䅑䅁潂䡁䅑䅤睂䑁䅯睌癁䡁䅣睤㍂䍁䄴睙ㅂ䝁䄴兙瑂䡁䅕䅤ㅂ䝁䅅䅢畁䝁䅍睢瑂䅁䅁儶䄰䕁䅁䅁潂䡁䅑䅤睂䑁䅯睌癁䡁䅣睤㍂䍁䄴䅚求䝁䅅杣楂䝁䄸杣畂䝁䄴兙あ䝁䅫睢畂䝁䅅䅢畁䝁䅍睢瑂䅁䅁䅬䄸䕁䅁䅁潂䡁䅑䅤睂䑁䅯睌癁䡁䅣睤㍂䍁䄴䅚獂䝁䅫杌穂䡁䅑兙あ䝁䅕杌睂䝁䅅杌ㅂ䡁䅍睌穂䡁䅣兡浂䅁䅁剑䅍䍁䄴䅁潂䡁䅑䅤睂䑁䅯睌癁䡁䅣睤㍂䍁䄴䅚療䡁䅉兡畂䝁䅍睢畁䝁䅍睢瑂䅁䅁睇䄴䕁䅉䅁潂䡁䅑䅤睂䑁䅯睌癁䡁䅣睤㍂䍁䄴党獂䝁䅕睙あ䡁䅉兡橂䝁䅫杢穂䡁䅕杣桂䝁䄴睙求䍁䄴睙療䝁䄰䅁煄杄䅁䅏䅁䝁䅧䅤あ䡁䅁杏癁䍁䄸睤㍂䡁䅣杌求䝁䄰杙獂䝁䅕兢潂䝁䅕兙獂䡁䅑䅡畁䝁䅍睢瑂䅁䅁䅊䄴䍁䅷䅁潂䡁䅑䅤睂䑁䅯睌癁䡁䅣睤㍂䍁䄴党瑂䝁䅍兡畂䡁䅍杌橂䝁䄸兢䅁䑁佧䅁ぁ䅁䅁䅡あ䡁䅑䅣㙁䍁䄸睌㍂䡁䅣睤畁䝁䅕兢睂䝁䅷睢㕂䝁䅕杣穂䍁䄴睙療䝁䄰睌䅁䑁佁䅁睁䅁䅁䅡あ䡁䅑䅣㙁䍁䄸睌㍂䡁䅣睤畁䝁䅕杢歂䡁䅕杣桂䝁䄴睙求䍁䄴杙瑂䅁䅁杒䄴䑁䅙䅁潂䡁䅑䅤睂䑁䅯睌癁䡁䅣睤㍂䍁䄴党畂䡁䅍䅤桂䡁䅉睚祂䝁䄸兤睂䍁䄴睙療䝁䄰䅁䱂杄䅁杍䅁䝁䅧䅤あ䡁䅁杏癁䍁䄸睤㍂䡁䅣杌求䡁䅅兤灂䡁䅑杣ㅂ䡁䅍䅤畁䝁䅍睢瑂䅁䅁杏䅫䑁䅯䅁潂䡁䅑䅤睂䑁䅯睌癁䡁䅣睤㍂䍁䄴党祂䝁䅫党灂䝁䄴督ㅂ䡁䅉兙畂䝁䅍党畁䝁䅍睢瑂䅁䅁睒䅫䍁䅯䅁潂䡁䅑䅤睂䑁䅯睌癁䡁䅣睤㍂䍁䄴党穂䡁䅍党畂䡁䅑杌ㅂ䡁䅍䅁時杄䅁杍䅁䝁䅧䅤あ䡁䅁杏癁䍁䄸睤㍂䡁䅣杌求䡁䅙党祂䝁䅕督あ䡁䅉党畁䝁䅍睢瑂䅁䅁党䄴䑁䅧䅁潂䡁䅑䅤睂䑁䅯睌癁䡁䅣睤㍂䍁䄴杚楂䝁䅷杚灂䝁䄴兙畂䝁䅍兡桂䝁䅷杌橂䝁䄸兢䅁䩁佫䅁ぁ䅁䅁䅡あ䡁䅑䅣㙁䍁䄸睌㍂䡁䅣睤畁䝁䅙睙橂䝁䅫兌湂䡁䅉睢ㅂ䡁䅁杌橂䝁䄸兢䅁䭁佑䅁潁䅁䅁䅡あ䡁䅑䅣㙁䍁䄸睌㍂䡁䅣睤畁䝁䅙睚灂䝁䅍杌橂䝁䄸兢䅁䱁佫䅁睁䅁䅁䅡あ䡁䅑䅣㙁䍁䄸睌㍂䡁䅣睤畁䝁䅙兢湂䝁䅷睢楂䝁䅅䅢畁䝁䅍睢瑂䅁䅁睤䅫䕁䅧䅁潂䡁䅑䅤睂䑁䅯睌癁䡁䅣睤㍂䍁䄴杚ㅂ䝁䄴党祂䝁䅅䅢歂䝁䅫杣求䝁䅍䅤療䡁䅉督獂䝁䅫杚求䍁䄴睙療䝁䄰䅁楄杄䅁䅍䅁䝁䅧䅤あ䡁䅁杏癁䍁䄸睤㍂䡁䅣杌湂䝁䅕杢㍂䝁䄸杣あ䝁䅧杌橂䝁䄸兢䅁䥁䨰䅁ぁ䅁䅁䅡あ䡁䅑䅣㙁䍁䄸睌㍂䡁䅣睤畁䝁䅣党祂䝁䅉党祂䝁䅷兡浂䝁䅕杌橂䝁䄸兢䅁偁估䅁流䅁䅁䅡あ䡁䅑䅣㙁䍁䄸睌㍂䡁䅣睤畁䝁䅣䅡橂䍁䄴睢祂䝁䅣䅁摁睄䅁杍䅁䝁䅧䅤あ䡁䅁杏癁䍁䄸睤㍂䡁䅣杌湂䡁䅉党桂䡁䅑睤求䡁䅍䅤畁䝁䅍睢瑂䅁䅁共䅫䍁䅧䅁潂䡁䅑䅤睂䑁䅯睌癁䡁䅣睤㍂䍁䄴睚㍂䝁䅫睙畁䝁䅍睢瑂䅁䅁睅䄸䍁䄴䅁潂䡁䅑䅤睂䑁䅯睌癁䡁䅣睤㍂䍁䄴䅡桂䝁䄴睢㉂䝁䅕杣畁䝁䅍睢瑂䅁䅁杓䄸䍁䅧䅁潂䡁䅑䅤睂䑁䅯睌癁䡁䅣睤㍂䍁䄴䅡橂䡁䅍睙畁䝁䅍睢瑂䅁䅁兩䄸䕁䅁䅁潂䡁䅑䅤睂䑁䅯睌癁䡁䅣睤㍂䍁䄴䅡療䝁䄰党穂䡁䅑党桂䝁䅑党祂䡁䅍䅢灂䝁䅙党畁䝁䅍睢瑂䅁䅁兮䄸䑁䅑䅁潂䡁䅑䅤睂䑁䅯睌癁䡁䅣睤㍂䍁䄴䅡療䡁䅉兙橂䝁䅕兢桂䝁䄴杢畁䝁䅍睢瑂䅁䅁睰䄸䑁䅙䅁潂䡁䅑䅤睂䑁䅯睌癁䡁䅣睤㍂䍁䄴䅡療䡁䅉兡㙂䝁䄸杢楂䝁䅷兤求䍁䄴睙療䝁䄰䅁祃睄䅁䅌䅁䝁䅧䅤あ䡁䅁杏癁䍁䄸睤㍂䡁䅣杌潂䡁䅕兢桂䝁䄴兙畁䝁䅍睢瑂䅁䅁睷䄸䑁䅁䅁潂䡁䅑䅤睂䑁䅯睌癁䡁䅣睤㍂䍁䄴兡橂䡁䅣睚祂䝁䄸兤睂䍁䄴睙療䝁䄰䅁摄睄䅁䅐䅁䝁䅧䅤あ䡁䅁杏癁䍁䄸睤㍂䡁䅣杌灂䝁䅷䅢灂䝁䄴睢灂䡁䅍兢ㅂ䡁䅑兤桂䝁䅷杌橂䝁䄸兢䅁佁偧䅁㉁䅁䅁䅡あ䡁䅑䅣㙁䍁䄸睌㍂䡁䅣睤畁䝁䅯睢潂䝁䄴䅡桂䝁䄴睙療䝁䅍睡畁䝁䅍睢瑂䅁䅁术䅫䍁䅷䅁潂䡁䅑䅤睂䑁䅯睌癁䡁䅣睤㍂䍁䄴睡求䝁䄰䅣求䡁䅉杌橂䝁䄸兢䅁䑁兣䅁䕂䅁䅁䅡あ䡁䅑䅣㙁䍁䄸睌㍂䡁䅣睤畁䝁䅷兡楂䝁䅕杣あ䡁䅫杙桂䝁䄴睡求䡁䅉督獂䝁䅫杚求䍁䄴睙療䝁䄰䅁慂䅅䅁杏䅁䝁䅧䅤あ䡁䅁杏癁䍁䄸睤㍂䡁䅣杌獂䝁䅫杙求䡁䅉䅤㕂䝁䄰兤あ䡁䅕兙獂䍁䄴睙療䝁䄰䅁灄元䅁䅋䅁䝁䅧䅤あ䡁䅁杏癁䍁䄸睤㍂䡁䅣杌獂䡁䅣睙橂䍁䄴睙療䝁䄰䅁䉃䅅䅁杏䅁䝁䅧䅤あ䡁䅁杏癁䍁䄸睤㍂䡁䅣杌瑂䝁䅅杢潂䝁䅅䅤あ䝁䅅杢獂䝁䅫杚求䍁䄴睙療䝁䄰䅁獃䅅䅁䅎䅁䝁䅧䅤あ䡁䅁杏癁䍁䄸睤㍂䡁䅣杌瑂䝁䅅杣牂䝁䅕䅢橂䝁䄸杣睂䍁䄴睙療䝁䄰䅁䑄䅅䅁䅋䅁䝁䅧䅤あ䡁䅁杏癁䍁䄸睤㍂䡁䅣杌瑂䝁䅉兡桂䍁䄴睙療䝁䄰䅁䩄䅅䅁䅋䅁䝁䅧䅤あ䡁䅁杏癁䍁䄸睤㍂䡁䅣杌瑂䝁䅍兡橂䍁䄴睙療䝁䄰䅁婄䅅䅁李䅁䝁䅧䅤あ䡁䅁杏癁䍁䄸睤㍂䡁䅣杌瑂䝁䅕兙歂䝁䄸睤楂䡁䅉睢療䝁䅳杌橂䝁䄸兢䅁乁佁䅁䅂䅁䅁䅡あ䡁䅑䅣㙁䍁䄸睌㍂䡁䅣睤畁䝁䄰党祂䝁䅍兤祂䡁䅫兡畂䡁䅍兤祂䝁䅅杢橂䝁䅕杌橂䝁䄸兢䅁䅁剉䅁睁䅁䅁䅡あ䡁䅑䅣㙁</t>
  </si>
  <si>
    <t>PRINT PDF OF COMPLETED BOOK? (1/0)</t>
  </si>
  <si>
    <t>Example</t>
  </si>
  <si>
    <t>{"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t>
  </si>
  <si>
    <t>TROWEA</t>
  </si>
  <si>
    <t>STAGING LABEL ROW</t>
  </si>
  <si>
    <t>STAGING VALUE ROW</t>
  </si>
  <si>
    <t>䍁䄸睌㍂䡁䅣睤畁䝁䄰党あ䝁䅷兡浂䝁䅕杌橂䝁䄸兢癁䅁䅁兖䅙䍁䅧䅁潂䡁䅑䅤睂䑁䅯睌癁䡁䅣睤㍂䍁䄴兢湂䝁䅫睙畁䝁䅍睢瑂䅁䅁䉄䅅䍁䅯䅁潂䡁䅑䅤睂䑁䅯睌癁䡁䅣睤㍂䍁䄴兢獂䝁䄰兡橂䍁䄴睙療䝁䄰䅁畄䅅䅁䅑䅁䝁䅧䅤あ䡁䅁杏癁䍁䄸睤㍂䡁䅣杌瑂䝁䄸䅢灂䝁䄴兙潂䝁䅕兙獂䡁䅑䅡橂䝁䅅杣求䍁䄴睙療䝁䄰䅁摁充䅁䅍䅁䝁䅧䅤あ䡁䅁杏癁䍁䄸睤㍂䡁䅣杌瑂䡁䅍兙湂䡁䅉睢ㅂ䡁䅁杌橂䝁䄸兢䅁䭁光䅁畁䅁䅁䅡あ䡁䅑䅣㙁䍁䄸睌㍂䡁䅣睤畁䝁䄰督灂䝁䅣兤穂䝁䅅杌橂䝁䄸兢䅁䍁刴䅁睁䅁䅁䅡あ䡁䅑䅣㙁䍁䄸睌㍂䡁䅣睤畁䝁䄰兤畂䝁䅫睙潂䡁䅉党畁䝁䅍睢瑂䅁䅁充䅯䑁䄴䅁潂䡁䅑䅤睂䑁䅯睌癁䡁䅣睤㍂䍁䄴兢ㅂ䡁䅑兤桂䝁䅷睢浂䝁䅅兢求䡁䅉兡橂䝁䅅杌橂䝁䄸兢䅁䕁前䅁㙁䅁䅁䅡あ䡁䅑䅣㙁䍁䄸睌㍂䡁䅣睤畁䝁䄰兤あ䡁䅕兙獂䝁䄸杚療䝁䄰兙潂䝁䅅杌橂䝁䄸兢䅁䉁䭷䅁⭁䅁䅁䅡あ䡁䅑䅣㙁䍁䄸睌㍂䡁䅣睤畁䝁䄴兙あ䝁䅫睢畂䝁䅅䅢湂䝁䅕杢求䡁䅉兙獂䍁䄴睙療䝁䄰䅁䵂充䅁䅏䅁䝁䅧䅤あ䡁䅁杏癁䍁䄸睤㍂䡁䅣杌畂䝁䅅䅤灂䝁䄸杢桂䝁䅷䅢灂䝁䅙党畁䝁䅍睢瑂䅁䅁䅍䅯䑁䅑䅁潂䡁䅑䅤睂䑁䅯睌癁䡁䅣睤㍂䍁䄴杢桂䡁䅑兡療䝁䄴睤灂䝁䅑党畁䝁䅍睢瑂䅁䅁杏䅯䍁䅧䅁潂䡁䅑䅤睂䑁䅯睌癁䡁䅣睤㍂䍁䄴杢桂䡁䅙睚畁䝁䅍睢瑂䅁䅁桡䅅䍁䄴䅁潂䡁䅑䅤睂䑁䅯睌癁䡁䅣睤㍂䍁䄴杢橂䝁䅙杙灂䝁䄴督畁䝁䅍睢瑂䅁䅁䉤䅅䑁䅙䅁潂䡁䅑䅤睂䑁䅯睌癁䡁䅣睤㍂䍁䄴杢求䡁䅣入療䡁䅉睡獂䝁䅫杚求䍁䄴睙療䝁䄰䅁䱁䅃䅁䅏䅁䝁䅧䅤あ䡁䅁杏癁䍁䄸睤㍂䡁䅣杌畂䝁䄸杣橂䝁䅅䅢瑁䝁䅣杣療䡁䅕䅣畁䝁䅍睢瑂䅁䅁䉩䅅䑁䅉䅁潂䡁䅑䅤睂䑁䅯睌癁䡁䅣睤㍂䍁䄴睢歂䡁䅫督穂䝁䅕入祂䝁䅕杌橂䝁䄸兢䅁䙁䩑䅁㉁䅁䅁䅡あ䡁䅑䅣㙁䍁䄸睌㍂䡁䅣睤畁䝁䄸䅢歂䡁䅉党睂䡁䅕杙獂䝁䅫睙畁䝁䅍睢瑂䅁䅁剱䅅䑁䅑䅁潂䡁䅑䅤睂䑁䅯睌癁䡁䅣睤㍂䍁䄴睢畂䝁䅕兙瑂䝁䅕杣灂䝁䅍兙畁䝁䅍睢瑂䅁䅁杒䅯䑁䅑䅁潂䡁䅑䅤睂䑁䅯睌癁䡁䅣睤㍂䍁䄴睢㑂䝁䅙睢祂䝁䅑䅢灂䝁䅙党畁䝁䅍睢瑂䅁䅁睴䅳䑁䅯䅁潂䡁䅑䅤睂䑁䅯睌癁䡁䅣睤㍂䍁䄴䅣桂䝁䅍兡浂䝁䅫睙瑂䡁䅕䅤ㅂ䝁䅅䅢畁䝁䅍睢瑂䅁䅁兔䅯䑁䅉䅁潂䡁䅑䅤睂䑁䅯睌癁䡁䅣睤㍂䍁䄴䅣桂䡁䅉䅤畂䝁䅕杣祂䝁䅕杌橂䝁䄸兢䅁䵁剧䅁㡁䅁䅁䅡あ䡁䅑䅣㙁䍁䄸睌㍂䡁䅣睤畁䡁䅁党牂䝁䅫杢灂䝁䄴督ㅂ䡁䅉兙畂䝁䅍党畁䝁䅍睢瑂䅁䅁砱䅅䕁䅯䅁潂䡁䅑䅤睂䑁䅯睌癁䡁䅣睤㍂䍁䄴䅣求䝁䄴杢畂䝁䅅䅤灂䝁䄸杢桂䝁䅷兡畂䡁䅍兤祂䝁䅅杢橂䝁䅕杌橂䝁䄸兢䅁䱁剁䅁睁䅁䅁䅡あ䡁䅑䅣㙁䍁䄸睌㍂䡁䅣睤畁䡁䅁兡畂䝁䄴兙橂䝁䄸䅢畁䝁䅍睢瑂䅁䅁䈸䅅䍁䅷䅁潂䡁䅑䅤睂䑁䅯睌癁䡁䅣睤㍂䍁䄴䅣瑂䝁䅫兌ㅂ䡁䅍杌橂䝁䄸兢䅁䅁卍䅁畁䅁䅁䅡あ䡁䅑䅣㙁䍁䄸睌㍂䡁䅣睤畁䡁䅁杣求䝁䄰党祂䝁䅅杌橂䝁䄸兢䅁䅁匰䅁流䅁䅁䅡あ䡁䅑䅣㙁䍁䄸睌㍂䡁䅣睤畁䡁䅁杣灂䍁䄴睙療䝁䄰䅁十杅䅁杍䅁䝁䅧䅤あ䡁䅁杏癁䍁䄸睤㍂䡁䅣杌睂䡁䅉兡瑂䝁䅕杣灂䝁䅍兙畁䝁䅍睢瑂䅁䅁硈䅉䑁䅉䅁潂䡁䅑䅤睂䑁䅯睌癁䡁䅣睤㍂䍁䄴䅣祂䝁䅫杢橂䝁䅫䅣桂䝁䅷杌橂䝁䄸兢䅁䝁䭕䅁㑁䅁䅁䅡あ䡁䅑䅣㙁䍁䄸睌㍂䡁䅣睤畁䡁䅁杣療䝁䅅督穂䡁䅕杣桂䝁䄴睙求䍁䄴睙療䝁䄰䅁煁杅䅁李䅁䝁䅧䅤あ䡁䅁杏癁䍁䄸睤㍂䡁䅣杌睂䡁䅉睢湂䡁䅉党穂䡁䅍兡㉂䝁䅕杌橂䝁䄸兢䅁䡁䭁䅁䍂䅁䅁䅡あ䡁䅑䅣㙁䍁䄸睌㍂䡁䅣睤畁䡁䅁杣療䡁䅍兡湂䝁䅧䅤穂䡁䅁党橂䝁䅫兙獂䡁䅑入畁䝁䅍睢瑂䅁䅁剎䅉䑁䅑䅁潂䡁䅑䅤睂䑁䅯睌癁䡁䅣睤㍂䍁䄴䅣祂䝁䄸䅤求䝁䅍䅤灂䡁䅙党畁䝁䅍睢瑂䅁䅁兌䅫䑁䅑䅁潂䡁䅑䅤睂䑁䅯睌癁䡁䅣睤㍂䍁䄴䅣祂䡁䅕䅚求䝁䄴䅤灂䝁䅅䅢畁䝁䅍睢瑂䅁䅁兊䅧䍁䅯䅁潂䡁䅑䅤睂䑁䅯睌癁䡁䅣睤㍂䍁䄴兣楂䝁䅕杢桂䍁䄴睙療䝁䄰䅁䩂杅䅁䅌䅁䝁䅧䅤あ䡁䅁杏癁䍁䄸睤㍂䡁䅣杌祂䝁䅅䅚灂䝁䅅杢畁䝁䅉兡㙂䅁䅁硘䅉䕁䅁䅁潂䡁䅑䅤睂䑁䅯睌癁䡁䅣睤㍂䍁䄴杣求䝁䅷兡桂䝁䄴睙求䡁䅍䅤桂䝁䄴䅚桂䡁䅉䅚畁䝁䅍睢瑂䅁䅁硫䅍䝁䅧䅁潂䡁䅑䅤睂䑁䅯睌癁䡁䅣睤㍂䍁䄴杣求䝁䄴杣求䍁䄴睙療䝁䄰睌祂䝁䅕杢桂䝁䅫督穂䝁䅅杢橂䝁䅕兌祂䝁䅕兡畂䡁䅍兤祂䝁䅅杢橂䝁䅕兌ㅂ䡁䅍兌灂䝁䄴睙䅁䡁卍䅁煁䅁䅁䅡あ䡁䅑䅣㙁䍁䄸睌㍂䡁䅣睤畁䡁䅉睚桂䡁䅉党畁䝁䅍睢瑂䅁䅁䅥䅯䍁䄴䅁潂䡁䅑䅤睂䑁䅯睌癁䡁䅣睤㍂䍁䄴杣獂䝁䅫睙療䡁䅉䅣畁䝁䅍睢瑂䅁䅁剥䅉䑁䄴䅁潂䡁䅑䅤睂䑁䅯睌癁䡁䅣睤㍂䍁䄴督桂䝁䅙党あ䡁䅫兡畂䡁䅍兤祂䝁䅅杢橂䝁䅕杌橂䝁䄸兢䅁䥁卅䅁㡁䅁䅁䅡あ䡁䅑䅣㙁䍁䄸睌㍂䡁䅣睤畁䡁䅍兙湂䝁䅫睙療䡁䅉䅢灂䝁䅙党ㅂ䡁䅍兙畁䝁䅍睢瑂䅁䅁䉪䅉䍁䅧䅁潂䡁䅑䅤睂䑁䅯睌癁䡁䅣睤㍂䍁䄴督桂䝁䅫杚畁䝁䅍睢瑂䅁䅁桮䅉䑁䅑䅁潂䡁䅑䅤睂䑁䅯睌癁䡁䅣睤㍂䍁䄴督橂䝁䄸䅤あ䝁䅫督潂䡁䅉党畁䝁䅍睢瑂䅁䅁剹䅉䑁䅉䅁潂䡁䅑䅤睂䑁䅯睌癁䡁䅣睤㍂䍁䄴督求䝁䅷党橂䡁䅑兡㉂䝁䅕杌橂䝁䄸兢䅁乁卯䅁獁䅁䅁䅡あ䡁䅑䅣㙁䍁䄸睌㍂䡁䅣睤畁䡁䅍杚楂䝁䅍兡橂䍁䄴睙療䝁䄰䅁婁睅䅁杌䅁䝁䅧䅤あ䡁䅁杏癁䍁䄸睤㍂䡁䅣杌穂䝁䅧兡睂䝁䅷䅤橂䍁䄴睙療䝁䄰䅁浄杅䅁杒䅁䝁䅧䅤あ䡁䅁杏癁䍁䄸睤㍂䡁䅣杌穂䝁䅫杣灂䡁䅕督湂䡁䅉睢ㅂ䡁䅁杌橂䝁䄸兢癁䝁䅅兢求䡁䅉兡橂䝁䅅䅁䭁睅䅁杌䅁䝁䅧䅤あ䡁䅁杏癁䍁䄸睤㍂䡁䅣杌穂䝁䅯杢牂䍁䄰兤穂䍁䄴睙療䝁䄰䅁噁睅䅁杋䅁䝁䅧䅤あ䡁䅁杏癁䍁䄸睤㍂䡁䅣杌穂䝁䄰䅢畂䡁䅫杌橂䝁䄸兢䅁乁卉䅁㡁䅁䅁䅡あ䡁䅑䅣㙁䍁䄸睌㍂䡁䅣睤畁䡁䅍䅤桂䡁䅉杣橂䝁䄸兢睂䝁䅅杢灂䝁䅕督畁䝁䅍睢瑂䅁䅁桊䅍䑁䅉䅁潂䡁䅑䅤睂䑁䅯睌癁䡁䅣睤㍂䍁䄴督あ䝁䅅䅤求䝁䅅兤あ䝁䄸杌橂䝁䄸兢䅁䍁吴䅁㉁䅁䅁䅡あ䡁䅑䅣㙁䍁䄸睌㍂䡁䅣睤畁䡁䅍䅤桂䡁䅑党浂䡁䅕杢歂䝁䅍兙畁䝁䅍睢瑂䅁䅁睰䅯䑁䅑䅁潂䡁䅑䅤睂䑁䅯睌癁䡁䅣睤㍂䍁䄴督ㅂ䝁䄴䅢灂䝁䅙党畁䝁䅍睢瑂䍁䄸兤穂䅁䅁䅺䅯䍁䄴䅁潂䡁䅑䅤睂䑁䅯睌癁䡁䅣睤㍂䍁䄴督㍂䝁䅫督穂䡁䅉党畁䝁䅍睢瑂䅁䅁䄱䅯䍁䄴䅁潂䡁䅑䅤睂䑁䅯睌癁䡁䅣睤㍂䍁䄴督㕂䝁䄴睙療䡁䅉兙畁䝁䅍睢瑂䅁䅁硕䅍䑁䅙䅁潂䡁䅑䅤睂䑁䅯睌癁䡁䅣睤㍂䍁䄴䅤求䡁䅧兙穂䝁䄰兤あ䡁䅕兙獂䍁䄴睙療䝁䄰䅁あ睅䅁䅎䅁䝁䅧䅤あ䡁䅁杏癁䍁䄸睤㍂䡁䅣杌あ䝁䅧党歂䝁䄸睙あ䝁䄸杣穂䍁䄴睙療䝁䄰䅁⽄兄䅁李䅁䝁䅧䅤あ䡁䅁杏癁䍁䄸睤㍂䡁䅣杌あ䝁䅧党潂䝁䅅杣あ䝁䅙睢祂䝁䅑杌橂䝁䄸兢䅁䵁䩫䅁⭁䅁䅁䅡あ䡁䅑䅣㙁䍁䄸睌㍂䡁䅣睤畁䡁䅑䅡求䡁䅍兡獂䡁䅙党祂䝁䅷兡畂䝁䅫杢湂䍁䄴睙療䝁䄰䅁䝁䅆䅁䅑䅁䝁䅧䅤あ䡁䅁杏癁䍁䄸睤㍂䡁䅣杌あ䝁䅧党㍂䝁䅅杣祂䝁䅅杢あ䡁䅫睚祂䝁䄸兤睂䍁䄴睙療䝁䄰䅁歄睅䅁杋䅁䝁䅧䅤あ䡁䅁杏癁䍁䄸睤㍂䡁䅣杌あ䝁䄸兙祂䝁䅕杌橂䝁䄸兢䅁䥁呫䅁㙁䅁䅁䅡あ䡁䅑䅣㙁䍁䄸睌㍂䡁䅣睤畁䡁䅑睢祂䝁䅍䅡瑂䝁䅅杣牂䝁䅍睢祂䡁䅁杌橂䝁䄸兢䅁佁䬴䅁祁䅁䅁䅡あ䡁䅑䅣㙁䍁䄸睌㍂䡁䅣睤畁䡁䅑杣桂䡁䅙党獂䝁䅕杣穂䍁䄴睙療䝁䄰䅁㍄权䅁䅒䅁䝁䅧䅤あ䡁䅁杏癁䍁䄸睤㍂䡁䅣杌あ䡁䅉兤穂䡁䅑兢桂䡁䅉睡橂䝁䄸兢睂䝁䅅杢灂䝁䅕督畁䝁䅍睢瑂䅁䅁䉮䅍䑁䄴䅁潂䡁䅑䅤睂䑁䅯睌癁䡁䅣睤㍂䍁䄴兤畂䝁䅫䅤求䝁䅑杚灂䡁䅉党湂䡁䅉睢ㅂ䡁䅁杌橂䝁䄸兢䅁䱁呧䅁䍂䅁䅁䅡あ䡁䅑䅣㙁䍁䄸睌㍂䡁䅣睤畁䡁䅕杢灂䡁䅑党歂䝁䅧党桂䝁䅷䅤潂䝁䅣杣療䡁䅕䅣畁䝁䅍睢瑂䅁䅁充䅳䍁䅧䅁潂䡁䅑䅤睂䑁䅯睌癁䡁䅣睤㍂䍁䄴兤畂䡁䅕兢畁䝁䅍睢瑂䅁䅁睇䅳䑁䅷䅁潂䡁䅑䅤睂䑁䅯睌癁䡁䅣睤㍂䍁䄴兤あ䝁䅅兡畂䡁䅑党祂䝁䅅睙あ䝁䅫杤求䍁䄴睙療䝁䄰䅁捂睄䅁杏䅁䝁䅧䅤あ䡁䅁杏癁䍁䄸睤㍂䡁䅣杌ㅂ䡁䅑兡橂䝁䅅杢桂䡁䅑兡療䝁䄴兙獂䍁䄴睙療䝁䄰䅁奄睅䅁䅋䅁䝁䅧䅤あ䡁䅁杏癁䍁䄸睤㍂䡁䅣杌㉂䝁䄸入桂䍁䄴睙療䝁䄰䅁潁睃䅁䅍䅁䝁䅧䅤あ䡁䅁杏癁䍁䄸睤㍂䡁䅣杌㍂䝁䅕䅢獂䝁䅍兙祂䝁䅕杌橂䝁䄸兢䅁偁呅䅁⭁䅁䅁䅡あ䡁䅑䅣㙁䍁䄸睌㍂䡁䅣睤畁䡁䅣党穂䡁䅑党祂䝁䄴督療䡁䅕䅤潂䝁䅕杣畂䍁䄴睙療䝁䄰䅁䉂睃䅁䅒䅁䝁䅧䅤あ䡁䅁杏癁䍁䄸睤㍂䡁䅣杌㍂䝁䅕督あ䝁䅙兡求䝁䅷䅚灂䝁䄴督ㅂ䡁䅉兙畂䝁䅍党畁䝁䅍睢瑂䅁䅁硃䅑䑁䅷䅁潂䡁䅑䅤睂䑁䅯睌癁䡁䅣睤㍂䍁䄴睤潂䝁䅫䅤求䝁䄰睢ㅂ䝁䄴䅤桂䝁䅫杢穂䍁䄴睙療䝁䄰䅁坁䅆䅁䅍䅁䝁䅧䅤あ䡁䅁杏癁䍁䄸睤㍂䡁䅣杌㍂䝁䅫䅢あ䝁䄸杢祂䝁䅕杌橂䝁䄸兢䅁䉁乯䅁祁䅁䅁䅡あ䡁䅑䅣㙁䍁䄸睌㍂䡁䅣睤畁䡁䅣杣楂䝁䅕杣牂䝁䅷党㕂䍁䄴睙療䝁䄰䅁㉁睃䅁䅍䅁䝁䅧䅤あ䡁䅁杏癁䍁䄸睤㍂䡁䅣杌㙂䡁䅕杣灂䝁䅍䅡畂䝁䅅杌橂䝁䄸兢䅁䕁䱣䅁䥃䅁䅁䅡あ䡁䅑䅣㙁䍁䄸睌㍂䡁䅣睤祁䍁䄴䅣求䝁䄴杢瑂䡁䅕䅤ㅂ䝁䅅䅢畁䝁䅍睢瑂䍁䄸睙療䝁䄴䅤求䝁䄴䅤癁䡁䅁兤楂䝁䅷兡橂䍁䄸兡畂䝁䅑兡㉂䝁䅫䅚ㅂ䝁䅅䅢穂䍁䄰杚桂䝁䄰兡獂䝁䅫党穂䍁䄴䅡あ䝁䄰䅢䅁䙁䭣䅁潁䅁䅁䅡あ䡁䅑䅣㙁䍁䄸睌㑂䝁䅷睙桂䡁䅑䅢灂䝁䄴杌橂䝁䄸兢䅁䍁啷䅁㙁䅁䅁䅡あ䡁䅑䅣穂䑁䅯睌癁䝁䅅兢求䡁䅉兡橂䝁䅅杢浂䝁䅫䅚求䝁䅷兡あ䡁䅫杌橂䝁䄸兢䅁䵁䰸䅁ぁ䅁䅁䅡あ䡁䅑䅣穂䑁䅯睌癁䝁䅅兢あ䡁䅉兤穂䡁䅑睚祂䝁䄸兤睂䍁䄴睙療䝁䄰睌䅁䉁䵯䅁䭂䅁䅁䅡あ䡁䅑䅣穂䑁䅯睌癁䝁䅧党桂䝁䅷䅤潂䡁䅫杌牂䝁䅅兡穂䝁䅕杣睂䝁䅕杣瑂䝁䅅杢求䝁䄴䅤求䍁䄴睢祂䝁䅣䅁湁䅅䅁䅍䅁䝁䅧䅤あ䡁䅁督㙁䍁䄸睌潂䝁䄸兢求䍁䄴杚湂䝁䅷兡浂䝁䅕杌橂䝁䄸兢䅁䝁䩯䅁流䅁䅁䅡あ䡁䅑䅣穂䑁䅯睌癁䡁䅕督畁䝁䅅䅥桂䍁䄴睙療䝁䄰䅁畄䅃䅁杌䅁䝁䅧䅤あ䡁䅁督㙁䍁䄸睌㍂䡁䅣睤畁䝁䅅睙ㅂ䝁䅫䅤㕂䍁䄴睙療䝁䄰䅁捂睃䅁䅐䅁䝁䅧䅤あ䡁䅁督㙁䍁䄸睌㍂䡁䅣睤畁䝁䅅䅢浂䝁䅅兡畂䡁䅍兤祂䝁䅅杢橂䝁䅕杌橂䝁䄸兢䅁䥁䱅䅁㑁䅁䅁䅡あ䡁䅑䅣穂䑁䅯睌癁䡁䅣睤㍂䍁䄴兙獂䝁䅷兡桂䝁䄴来獂䝁䅫杚求䍁䄴睙療䝁䄰䅁煂䅃䅁村䅁䝁䅧䅤あ䡁䅁督㙁䍁䄸睌㍂䡁䅣睤畁䝁䅅兢求䡁䅉兡橂䝁䅅杢畂䝁䅅䅤灂䝁䄸杢桂䝁䅷杌橂䝁䄸兢䅁䭁䤴䅁獁䅁䅁䅡あ䡁䅑䅣穂䑁䅯睌癁䡁䅣睤㍂䍁䄴兙瑂䝁䅙兙瑂䍁䄴睙療䝁䄰䅁婃杂䅁䅌䅁䝁䅧䅤あ䡁䅁督㙁䍁䄸睌㍂䡁䅣睤畁䝁䅅兢灂䝁䅍兙畁䝁䅍睢瑂䅁䅁兄䅷䑁䅙䅁潂䡁䅑䅤睂䡁䅍杏癁䍁䄸睤㍂䡁䅣杌桂䝁䄴䅚療䡁䅙党祂䝁䅍睢穂䍁䄴睙療䝁䄰䅁歁䅄䅁䅏䅁䝁䅧䅤あ䡁䅁督㙁䍁䄸睌㍂䡁䅣睤畁䝁䅅杣湂䝁䄸䅢灂䝁䄰兡あ䝁䅕䅚畁䝁䅍睢瑂䅁䅁睐䅷䍁䄴䅁潂䡁䅑䅤睂䡁䅍杏癁䍁䄸睤㍂䡁䅣杌桂䡁䅯杙獂䡁䅕党畁䝁䅍睢瑂䅁䅁眴䅷䑁䅉䅁潂䡁䅑䅤睂䡁䅍杏癁䍁䄸睤㍂䡁䅣杌楂䝁䅅䅢あ䝁䅷兡浂䝁䅕杌橂䝁䄸兢䅁䩁䵧䅁畁䅁䅁䅡あ䡁䅑䅣穂䑁䅯睌癁䡁䅣睤㍂䍁䄴杙橂䝁䅉督桂䝁䅷杌療䡁䅉睚䅁䵁䵙䅁㑁䅁䅁䅡あ䡁䅑䅣穂䑁䅯睌癁䡁䅣睤㍂䍁䄴杙獂䡁䅕党橂䡁䅉睢穂䡁䅍兢畂䍁䄴睙療䝁䄰䅁奄䅄䅁杏䅁䝁䅧䅤あ䡁䅁督㙁䍁䄸睌㍂䡁䅣睤畁䝁䅉睢穂䡁䅑睢畂䝁䄰兤あ䡁䅕兙獂䍁䄴睙療䝁䄰䅁䉁兄䅁䅏䅁䝁䅧䅤あ䡁䅁督㙁䍁䄸睌㍂䡁䅣睤畁䝁䅉杣灂䝁䅍睡穂䡁䅑杣求䝁䅕䅤畁䝁䅍睢瑂䅁䅁充䄰䑁䅯䅁潂䡁䅑䅤睂䡁䅍杏癁䍁䄸睤㍂䡁䅣杌橂䝁䅅䅣楂䝁䅷兤求䝁䅍杣療䡁䅍督畁䝁䅍睢瑂䅁䅁䅋䄰䑁䅙䅁潂䡁䅑䅤睂䡁䅍杏癁䍁䄸睤㍂䡁䅣杌橂䝁䅅杣求䡁䅍睢ㅂ䡁䅉睙求䍁䄴睙療䝁䄰䅁㕁兄䅁䅌䅁䝁䅧䅤あ䡁䅁督㙁䍁䄸睌㍂䡁䅣睤畁䝁䅍党灂䡁䅣睙畁䝁䅍睢瑂䅁䅁条䄰䑁䅯䅁潂䡁䅑䅤睂䡁䅍杏癁䍁䄸睤㍂䡁䅣杌橂䝁䅧兤祂䝁䅍䅡瑂䡁䅕䅤ㅂ䝁䅅䅢畁䝁䅍睢瑂䅁䅁䅧䄰䍁䅧䅁潂䡁䅑䅤睂䡁䅍杏癁䍁䄸睤㍂䡁䅣杌橂䝁䄴兙畁䝁䅍睢瑂䅁䅁䅆䅫䙁䅁䅁潂䡁䅑䅤睂䡁䅍杏癁䍁䄸睤㍂䡁䅣杌橂䝁䄸兢楂䝁䅫杢求䝁䅑兡畂䡁䅍兤祂䝁䅅杢橂䝁䅕杌橂䝁䄸兢癁䡁䅕督瑁䝁䅕杢䅁䡁乕䅁㑁䅁䅁䅡あ䡁䅑䅣穂䑁䅯睌癁䡁䅣睤㍂䍁䄴睙療䡁䅁䅣求䡁䅉䅣療䝁䅫杢あ䍁䄴睙療䝁䄰䅁䍄兄䅁村䅁䝁䅧䅤あ䡁䅁督㙁䍁䄸睌㍂䡁䅣睤畁䝁䅍睢ㅂ䝁䄴䅤祂䡁䅫杚灂䝁䄴兙畂䝁䅍兡桂䝁䅷杌橂䝁䄸兢䅁䵁乳䅁睁䅁䅁䅡あ䡁䅑䅣穂䑁䅯睌癁䡁䅣睤㍂䍁䄴睙療䡁䅙党祂䡁䅫督畁䝁䅍睢瑂䅁䅁䄱䄰䑁䅯䅁潂䡁䅑䅤睂䡁䅍杏癁䍁䄸睤㍂䡁䅣杌歂䝁䅕䅢桂䡁䅣兙祂䝁䅕䅢灂䝁䅙党畁䝁䅍睢瑂䅁䅁儫䄰䑁䅯䅁潂䡁䅑䅤睂䡁䅍杏癁䍁䄸睤㍂䡁䅣杌歂䝁䄸杢求䝁䅣兙獂䝁䅣杣療䡁䅕䅣畁䝁䅍睢瑂䅁䅁杄䄴䑁䅷䅁潂䡁䅑䅤睂䡁䅍杏癁䍁䄸睤㍂䡁䅣杌求䡁䅉兡求䝁䅫杢穂䡁䅕杣桂䝁䄴睙求䍁䄴睙療䝁䄰䅁塂杄䅁杏䅁䝁䅧䅤あ䡁䅁督㙁䍁䄸睌㍂䡁䅣睤畁䝁䅕䅥橂䝁䅕䅢獂䡁䅕督楂䝁䅍杙穂䍁䄴睙療䝁䄰䅁㉂杄䅁杔䅁䝁䅧䅤あ䡁䅁督㙁䍁䄸睌㍂䡁䅣睤畁䝁䅙兙祂䝁䄰杙ㅂ䡁䅉党桂䡁䅕兡畂䡁䅍兤祂䝁䅅杢橂䝁䅕兌瑂䝁䅫杌橂䝁䄸兢䅁䥁佯䅁睁䅁䅁䅡あ䡁䅑䅣穂䑁䅯睌癁䡁䅣睤㍂䍁䄴杚桂䡁䅉兢求䡁䅉督畁䝁䅍睢瑂䅁䅁兙䅫䍁䅯䅁潂䡁䅑䅤睂䡁䅍杏癁䍁䄸睤㍂䡁䅣杌浂䝁䅉杚穂䍁䄴睙療䝁䄰䅁千杄䅁䅌䅁䝁䅧䅤あ䡁䅁督㙁䍁䄸睌㍂䡁䅣睤畁䝁䅙杙灂䡁䅑杢畁䝁䅍睢瑂䅁䅁桘䅍䕁䅙䅁潂䡁䅑䅤睂䡁䅍杏癁䍁䄸睤㍂䡁䅣杌浂䝁䅕䅚求䡁䅉兙あ䝁䅕䅚灂䝁䄴督ㅂ䡁䅉兙畂䝁䅍党畁䝁䅍睢瑂䅁䅁東䄴䑁䅧䅁潂䡁䅑䅤睂䡁䅍杏癁䍁䄸睤㍂䡁䅣杌浂䝁䅷睢祂䝁䅫䅚桂䝁䅉䅢ㅂ䝁䅕杌橂䝁䄸兢䅁䑁偉䅁獁䅁䅁䅡あ䡁䅑䅣穂䑁䅯睌癁䡁䅣睤㍂䍁䄴杚瑂䝁䅫杢穂䍁䄴睙療䝁䄰䅁噄杄䅁䅑䅁䝁䅧䅤あ䡁䅁督㙁䍁䄸睌㍂䡁䅣睤畁䝁䅣杣桂䝁䄴睚求䝁䅫杢穂䡁䅕杣桂䝁䄴睙求䍁䄴睙療䝁䄰䅁䕁睄䅁杏䅁䝁䅧䅤あ䡁䅁督㙁䍁䄸睌㍂䡁䅣睤畁䝁䅣兤桂䡁䅉䅚灂䝁䅅杢獂䝁䅫杚求䍁䄴睙療䝁䄰䅁穃元䅁杍䅁䝁䅧䅤あ䡁䅁督㙁䍁䄸睌㍂䡁䅣睤畁䝁䅣兤灂䝁䅑党療䝁䄴党畁䝁䅍睢瑂䅁䅁睊䄸䑁䅧䅁潂䡁䅑䅤睂䡁䅍杏癁䍁䄸睤㍂䡁䅣杌潂䝁䅅杢畂䝁䄸杤求䡁䅉兌祂䝁䅕杌橂䝁䄸兢䅁䑁偷䅁⭁䅁䅁䅡あ䡁䅑䅣穂䑁䅯睌癁䡁䅣睤㍂䍁䄴䅡桂䡁䅉杤桂䡁䅉䅚睂䝁䅫䅢湂䡁䅉兡瑂䍁䄴睢祂䝁䅣䅁噂睄䅁材䅁䝁䅧䅤あ䡁䅁督㙁䍁䄸睌㍂䡁䅣睤畁䝁䅧党桂䝁䅷䅤潂䡁䅁兙祂䡁䅑杢求䡁䅉督畁䝁䅍睢瑂䅁䅁兡䄸䑁䅉䅁潂䡁䅑䅤睂䡁䅍杏癁䍁䄸睤㍂䡁䅣杌潂䝁䅫睚潂䝁䄰兙祂䝁䅳杌橂䝁䄸兢䅁䡁偫䅁䕂䅁䅁䅡あ䡁䅑䅣穂䑁䅯睌癁䡁䅣睤㍂䍁䄴兡桂䡁䅑兡畂䡁䅍兤祂䝁䅅杢橂䝁䅕睚祂䝁䄸兤睂䍁䄴睙療䝁䄰䅁坄睄䅁䅋䅁䝁䅧䅤あ䡁䅁督㙁䍁䄸睌㍂䡁䅣睤畁䝁䅫杙㑂䍁䄴睙療䝁䄰䅁ㅄ睄䅁杏䅁䝁䅧䅤あ䡁䅁督㙁䍁䄸睌㍂䡁䅣睤畁䝁䅫杢浂䝁䅅杣瑂䝁䅉兤祂䝁䅕兙ㅂ䍁䄴睙療䝁䄰䅁䅁䅅䅁杏䅁䝁䅧䅤あ䡁䅁督㙁䍁䄸睌㍂䡁䅣睤畁䝁䅫杢浂䝁䅫杢灂䡁䅑入桂䡁䅕䅤療䍁䄴睙療䝁䄰䅁噁䅅䅁䅌䅁䝁䅧䅤あ䡁䅁督㙁䍁䄸睌㍂䡁䅣睤畁䝁䅫督瑂䝁䅫党畁䝁䅍睢瑂䅁䅁案䅁䍁䄴䅁潂䡁䅑䅤睂䡁䅍杏癁䍁䄸睤㍂䡁䅣杌牂䝁䅍䅢灂䝁䅙党畁䝁䅍睢瑂䅁䅁剌䅁䍁䅯䅁潂䡁䅑䅤睂䡁䅍杏癁䍁䄸睤㍂䡁䅣杌牂䡁䅫杚楂䍁䄴睙療䝁䄰䅁䡂䅅䅁杋䅁䝁䅧䅤あ䡁䅁督㙁䍁䄸睌㍂䡁䅣睤畁䝁䅷杚湂䍁䄴睙療䝁䄰睌䅁偁䩑䅁ぁ䅁䅁䅡あ䡁䅑䅣穂䑁䅯睌癁䡁䅣睤㍂䍁䄴䅢湂䝁䅅兢求䡁䅉兡橂䝁䅅杌橂䝁䄸兢䅁䕁儰䅁㡁䅁䅁䅡あ䡁䅑䅣穂䑁䅯睌癁䡁䅣睤㍂䍁䄴䅢灂䝁䅉党祂䡁䅑入瑂䡁䅕䅤ㅂ䝁䅅䅢畁䝁䅍睢瑂䅁䅁眴䅫䕁䅑䅁潂䡁䅑䅤睂䡁䅍杏癁䍁䄸睤㍂䡁䅣杌獂䝁䅫杚求䝁䅍兙祂䝁䅕兙穂䡁䅍兤祂䝁䅅杢橂䝁䅕杌橂䝁䄸兢䅁䙁儸䅁獁䅁䅁䅡あ䡁䅑䅣穂䑁䅯睌癁䡁䅣睤㍂䍁䄴兢桂䝁䅫䅚求䝁䄴杌楂䝁䄰䅁敃䅅䅁䅑䅁䝁䅧䅤あ䡁䅁督㙁䍁䄸睌㍂䡁䅣睤畁䝁䄰兙睂䝁䅙杣求䝁䅫杢穂䡁䅕杣桂䝁䄴睙求䍁䄴睙療䝁䄰䅁ㅃ䅅䅁李䅁䝁䅧䅤あ䡁䅁督㙁䍁䄸睌㍂䡁䅣睤畁䝁䄰兙穂䡁䅍兢ㅂ䡁䅑兤桂䝁䅷杌橂䝁䄸兢䅁偁䠴䅁㡁䅁䅁䅡あ䡁䅑䅣穂䑁䅯睌癁䡁䅣睤㍂䍁䄴兢求䝁䅑兙瑂䝁䅕杣灂䝁䅍兙獂䡁䅑睙畁䝁䅍睢瑂䅁䅁栳䅁䍁䄴䅁潂䡁䅑䅤睂䡁䅍杏癁䍁䄸睤㍂䡁䅣杌瑂䝁䅕䅚灂䝁䅍兙畁䝁䅍睢瑂䅁䅁砵䅁䑁䅑䅁潂䡁䅑䅤睂䡁䅍杏癁䍁䄸睤㍂䡁䅣杌瑂䝁䅕䅚瑂䡁䅕䅤ㅂ䝁䅅䅢畁䝁䅍睢瑂䅁䅁栫䅁䕁䅁䅁潂䡁䅑䅤睂䡁䅍杏癁䍁䄸睤㍂䡁䅣杌瑂䝁䅫䅚獂䝁䅅杢歂䝁䄴兙あ䝁䅫睢畂䝁䅅䅢畁䝁䅍睢瑂䅁䅁䅩䅯䕁䅁䅁潂䡁䅑䅤睂䡁䅍杏癁䍁䄸睤㍂䡁䅣杌瑂䝁䄸䅤療䡁䅉兡穂䡁䅑督瑂䡁䅕䅤ㅂ䝁䅅䅢畁䝁䅍睢瑂䅁䅁桉䅅䕁䅷䅁潂䡁䅑䅤睂䡁䅍杏癁䍁䄸睤㍂䡁䅣杌瑂䡁䅕杢灂䝁䅍䅡祂䝁䅕杌橂䝁䄸兢癁䡁䅕督癁䝁䅷兡浂䝁䅕睌潂䝁䄸兢求䅁䅁䉏䅅䕁䅧䅁潂䡁䅑䅤睂䡁䅍杏癁䍁䄸睤㍂䡁䅣杌畂䝁䅅䅤灂䝁䄸杢桂䝁䅷睤求䡁䅍䅤求䡁䅉杢獂䝁䅫杚求䍁䄴睙療䝁䄰䅁杂充䅁䅌䅁䝁䅧䅤あ䡁䅁督㙁䍁䄸睌㍂䡁䅣睤畁䝁䄴睚獂䝁䅫睙畁䝁䅍睢瑂䅁䅁硕䅅䍁䅧䅁潂䡁䅑䅤睂䡁䅍杏癁䍁䄸睤㍂䡁䅣杌畂䝁䅯兢畁䝁䅍睢瑂䅁䅁桦䅅䑁䅁䅁潂䡁䅑䅤睂䡁䅍杏癁䍁䄸睤㍂䡁䅣杌畂䝁䄰䅢畂䝁䅕兡獂䍁䄴睙療䝁䄰䅁坃充䅁杏䅁䝁䅧䅤あ䡁䅁督㙁䍁䄸睌㍂䡁䅣睤畁䝁䄴睢祂䡁䅑䅡獂䝁䅅杢歂䝁䅫杢穂䍁䄴睙療䝁䄰䅁䭃杂䅁杒䅁䝁䅧䅤あ䡁䅁督㙁䍁䄸睌㍂䡁䅣睤畁䝁䄴睢祂䡁䅑䅡㍂䝁䅕督あ䝁䅕杣畂䝁䄰兤あ䡁䅕兙獂䍁䄴睙療䝁䄰䅁奁䅃䅁杏䅁䝁䅧䅤あ䡁䅁督㙁䍁䄸睌㍂䡁䅣睤畁䝁䄸䅡灂䝁䄸杢桂䡁䅑兡療䝁䄴兙獂䍁䄴睙療䝁䄰䅁权充䅁䅌䅁䝁䅧䅤あ䡁䅁督㙁䍁䄸睌㍂䡁䅣睤畁䡁䅁兙獂䝁䅫睚畁䝁䅍睢瑂䅁䅁䉷䅅䍁䅯䅁潂䡁䅑䅤睂䡁䅍杏癁䍁䄸睤㍂䡁䅣杌睂䝁䅧䅢㕂䍁䄴睙療䝁䄰䅁楄权䅁䅐䅁䝁䅧䅤あ䡁䅁督㙁䍁䄸睌㍂䡁䅣睤畁䡁䅁䅡療䝁䅕杢灂䡁䅧睤瑂䍁䄴䅣潂䝁䅷杌橂䝁䄸兢䅁䍁䭕䅁䍂䅁䅁䅡あ䡁䅑䅣穂䑁䅯睌癁䡁䅣睤㍂䍁䄴䅣潂䡁䅫督灂䝁䅍兡桂䝁䄴督瑂䡁䅕䅤ㅂ䝁䅅䅢畁䝁䅍睢瑂䅁䅁栵䅅䑁䅯䅁潂䡁䅑䅤睂䡁䅍杏癁䍁䄸睤㍂䡁䅣杌睂䝁䅷入瑂䝁䄸兤あ䝁䅧杣療䝁䅍睡畁䝁䅍睢瑂䅁䅁砫䅅䑁䅯䅁潂䡁䅑䅤睂䡁䅍杏癁䍁䄸睤㍂䡁䅣杌硂䡁䅕兡畂䝁䅍入瑂䡁䅕䅤ㅂ䝁䅅䅢畁䝁䅍睢瑂䅁䅁䉖䅉䑁䅁䅁潂䡁䅑䅤睂䡁䅍杏癁䍁䄸睤㍂䡁䅣杌祂䝁䅕睚求䝁䄴睙求䍁䄴睙療䝁䄰䅁潂杅䅁杋䅁䝁䅧䅤あ䡁䅁督㙁䍁䄸睌㍂䡁䅣睤畁䡁䅍杙獂䝁䅫杌橂䝁䄸兢䅁䭁卣䅁睁䅁䅁䅡あ䡁䅑䅣穂䑁䅯睌癁䡁䅣睤㍂䍁䄴督楂䝁䅷兡ㅂ䡁䅍兙畁䝁䅍睢瑂䅁䅁硐䅉䍁䅯䅁潂䡁䅑䅤睂䡁䅍杏癁䍁䄸睤㍂䡁䅣杌穂䝁䅍睢祂䍁䄴睙療䝁䄰䅁祃杅䅁杍䅁䝁䅧䅤あ䡁䅁督㙁䍁䄸睌㍂䡁䅣睤畁䡁䅍党橂䡁䅕杣灂䝁䅅杢畁䝁䅍睢瑂䅁䅁杫䅯䕁䅁䅁潂䡁䅑䅤睂䡁䅍杏癁䍁䄸睤㍂䡁䅣杌穂䝁䅕睙ㅂ䡁䅉兡あ䡁䅫杙求䝁䄴党浂䝁䅫䅤畁䝁䅍睢瑂䅁䅁䅶䅫䍁䄴䅁潂䡁䅑䅤睂䡁䅍杏癁䍁䄸睤㍂䡁䅣杌穂䝁䅕杢あ䡁䅉入畁䝁䅍睢瑂䅁䅁券䅉䍁䅷䅁潂䡁䅑䅤睂䡁䅍杏癁䍁䄸睤㍂䡁䅣杌穂䝁䅙杙獂䝁䅫杌橂䝁䄸兢䅁䩁䭯䅁䍂䅁䅁䅡あ䡁䅑䅣穂䑁䅯睌癁䡁䅣睤㍂䍁䄴督潂䝁䅕䅢あ䝁䅕杣灂䝁䄴督ㅂ䡁䅉兙畂䝁䅍党畁䝁䅍睢瑂䅁䅁䉁䅍䕁䅙䅁潂䡁䅑䅤睂䡁䅍杏癁䍁䄸睤㍂䡁䅣杌穂䝁䄸兤あ䝁䅧睙桂䡁䅉睢獂䝁䅫杢桂䝁䅉䅢ㅂ䝁䅕督畁䝁䅍睢瑂䅁䅁兺䅷䑁䅉䅁潂䡁䅑䅤睂䡁䅍杏癁䍁䄸睤㍂䡁䅣杌穂䡁䅑兙畂䝁䅑兙祂䝁䅑杌橂䝁䄸兢䅁䅁䭙䅁ぁ䅁䅁䅡あ䡁䅑䅣穂䑁䅯睌癁䡁䅣睤㍂䍁䄴督あ䝁䅅䅤求䝁䅙兙祂䝁䄰杌橂䝁䄸兢䅁䑁䥉䅁獁䅁䅁䅡あ䡁䅑䅣穂䑁䅯睌癁䡁䅣睤㍂䍁䄴督㉂䝁䄰兡橂䍁䄴睙療䝁䄰䅁㝁睅䅁䅍䅁䝁䅧䅤あ䡁䅁督㙁䍁䄸睌㍂䡁䅣睤畁䡁䅍入瑂䝁䅕䅤祂䝁䅅杌橂䝁䄸兢䅁䱁䭷䅁祁䅁䅁䅡あ䡁䅑䅣穂䑁䅯睌癁䡁䅣睤㍂䍁䄴䅤潂䡁䅉兡㉂䝁䅕杢あ䍁䄴睙療䝁䄰䅁䅃睅䅁杋䅁䝁䅧䅤あ䡁䅁督㙁䍁䄸睌㍂䡁䅣睤畁䡁䅑兡桂䝁䅅杌療䡁䅉睚䅁䑁䥣䅁㙁䅁䅁䅡あ䡁䅑䅣穂䑁䅯睌癁䡁䅣睤㍂䍁䄴䅤祂䝁䅅杢穂䝁䅅兢求䡁䅉兡橂䝁䅅杌橂䝁䄸兢䅁䙁䱣䅁䅂䅁䅁䅡あ䡁䅑䅣穂䑁䅯睌癁䡁䅣睤㍂䍁䄴䅤ㅂ䝁䅙䅤穂䝁䅧党桂䝁䅷䅤潂䡁䅁䅢桂䝁䄴杌橂䝁䄸兢䅁䭁呣䅁祁䅁䅁䅡あ䡁䅑䅣穂䑁䅯睌癁䡁䅣睤㍂䍁䄴䅤㑂䝁䅙杙瑁䝁䅫杢穂䍁䄴睙療䝁䄰䅁牂睅䅁䅌䅁䝁䅧䅤あ䡁䅁督㙁䍁䄸睌㍂䡁䅣睤畁䡁䅕睙桂䡁䅉党畁䝁䄸杣湂䅁䅁割䅍䑁䅯䅁潂䡁䅑䅤睂䡁䅍杏癁䍁䄸睤㍂䡁䅣杌ㅂ䝁䅙睚灂䝁䄴督ㅂ䡁䅉兙畂䝁䅍党畁䝁䅍睢瑂䅁䅁硷䅍䍁䅯䅁潂䡁䅑䅤睂䡁䅍杏癁䍁䄸睤㍂䡁䅣杌ㅂ䡁䅍兙桂䍁䄴睙療䝁䄰䅁䍁睃䅁䅋䅁䝁䅧䅤あ䡁䅁督㙁䍁䄸睌㍂䡁䅣睤畁䡁䅣睙浂䍁䄴睙療䝁䄰䅁歁䅆䅁杍䅁䝁䅧䅤あ䡁䅁督㙁䍁䄸睌㍂䡁䅣睤畁䡁䅣党獂䝁䅷兢桂䡁䅉睡畁䝁䅍睢瑂䅁䅁砫䅍䵁䕣䅁䵁䅉䅅䅁䕁䅁䅁睁䅁䅁䅁权䅁䅁䅁权乁权䅁权䍁䅁䅁允䅁䅁䅅䅁䭁䅁䬴䅁䵁䅉䅅䅁䝁䅁䅁睁䅁䅁䅁权䅁䅁䅁权䕂睃䅁兂䅁䅁䅁䔸㥌䅑䅯睚䅅䅁䅕䅁䅁䅁䅁䕁䉁䅁䅁允䅁䅁䅕䅁䅁䅁䅁䅁䵁䅉䅅䅁䕁䅁䅁睁䅁䅁䅁权䅁䅁䅁权䕂睃䅁权呄䅆䅁允䅁䅁䅅䅁䑁䭁瑹児䵁䅉䅅䅁䙁䅁䅁睁䅁䅁䅁兂䅁䅁䅁偁硂䅑䅯䅒䅳䅁䅕䅁䅁偁偄〫䭁䝁䉧䅁䉁䅁䅁允䅁䅁䅕䅁䅁䅁䅁䅁䵁䅉䅅䅁䝁䅁䅁睁䅁䅁䅁权䅁䅁䅁权䕂睃䅁权牁䅁䅁权潂允䅁兂䅁䅁䅁䅁允䅑䅅䅁䉁䅁䅁兂䅁䅁䅁䅁䅁䅁杷允䅁䅁䅑䅁䑁䅁䅁䅁䭁䅁䅁䅁䭁乁䥑䅁䭁䅁䅉䅁䉁䅁䅁允䅁䅁䅯儱䅧䅁杷允䅁䅁䅑䅁䑁䅁䅁䅁䭁䅁䅁䅁䭁䝁兣䅁䭁䅁䅉䅁䉁䅁䅁允䅁䅁䅯剡䅁䅁杷允䅁䅁䅕䅁䑁䅁䅁䅁䭁䅁䅁䅁䭁䕁䱑䅁䭁䅁䅕䅁䭁䉁䅁䅁䉁䅁䅁允䅁䅁䅕䡳潊楮婋歧䵅䅉䅅䅁䝁䅁䅁睁䅁䅁䅁权䅁䅁䅁权䕂睃䅁兂䅁䅁䅁䔴㥢䅑䅯䅍䅁䅁䅕䅁䅁䅁䅁䕆䉁䅁䅁允䅁䅁䅕䅁䅁䅁䅁䅁䵁䅉䅅䅁䝁䅁䅁睁䅁䅁䅁权䅁䅁䅁权䕂睃䅁兂䅁䅁䅁䕧㥐䅑䅯兺䅣䅁䅕䅁䅁䅁䅁䅁䉁䅁䅁允䅁䅁䅕瑃橥䭣硤〸䵁䅉䅅䅁䝁䅁䅁睁䅁䅁䅁权䅁䅁䅁权䕂睃䅁权牁䅁䅁权睁䅁䅁兂䅁䅁䅁䅁䅁䅁䅅䅁䉁䅁䅁兂䅁䅁䅁䅁䅁䅁杷允䅁䅁䅑䅁䑁䅁䅁䅁䭁䅁䅁䅁䭁䕁䱑䅁䭁䱁䡣䅁䉁䅁䅁允䅁䅁䅯䅵䅣䅁杷允䅁䅁䅕䅁䑁䅁䅁䅁䙁䅁䅁䅁䅁䠸䅆权䕂睃䅁兂䅁䅁䅁义㝄䅑䅯䅍䅁䅁䅅䅁䉁䅁䅁兂䅁䅁䅁䅁䅁䅁杷允䅁䅁䅙䅁䑁䅁䅁䅁䭁䅁䅁䅁䭁䕁䱑䅁䙁䅁䅁䅁睄癑䄱权乄睂䅁兂䅁䅁䅁䅁啁䅑䅅䅁䉁䅁䅁兂䅁䅁䅁䅁䅁䅁杷允䅁䅁䅙䅁䑁䅁䅁䅁䭁䅁䅁䅁䭁䕁䱑䅁䙁䅁䅁䅁睄癑䄱权灂允䅁兂䅁䅁䅁䅁啁䅑䅅䅁䉁䅁䅁兂䅁䅁䅁䅁䅁䅁杷允䅁䅁䅙䅁䑁䅁䅁䅁䭁䅁䅁䅁䭁䕁䱑䅁䙁䅁䅁䅁权偒䄱权䝁䅁䅁兂䅁䅁䅁䅁䥁䅑䅅䅁䉁䅁䅁兂䅁䅁䅁䅁䅁䅁杷允䅁䅁䅙䅁䑁䅁䅁䅁䭁䅁䅁䅁䭁䕁䱑䅁䙁䅁䅁䅁䅄晒䄱权潂允䅁兂䅁䅁䅁䅁䅁䅁䅅䅁䉁䅁䅁兂⽃戸歖䉥桒兑杷允䅁䅁䅙䅁䑁䅁䅁䅁䭁䅁䅁䅁䭁䕁䱑䅁䙁䅁䅁䅁䅄晒䄱权灂允䅁兂䅁䅁䅁䅁䥁䅑䅅䅁䉁䅁䅁兂浄䌰扌娫畺䅑杷允䅁䅁䅙䅁䑁䅁䅁䅁䭁䅁䅁䅁䭁䕁䱑䅁䙁䅁䅁䅁杄癒䄱权睁䅁䅁兂䅁䅁䅁䅁允䅑䅅䅁䉁䅁䅁兂䅁䅁䅁䅁䅁䅁杷允䅁䅁䅙䅁䑁䅁䅁䅁䭁䅁䅁䅁䭁䕁䱑䅁䙁䅁䅁䅁杄癒䄱权灂允䅁兂䅁䅁䅁䅁啁䅑䅅䅁䉁䅁䅁兂䅁䅁䅁䅁䅁䅁杷允䅁䅁䅑䅁䑁䅁䅁䅁䭁䅁䅁䅁䭁乁䱯䅁䭁䅁䅉䅁䉁䅁䅁允䅁䅁䅯䄳䅳䅁杷允䅁䅁䅙䅁䑁䅁䅁䅁䭁䅁䅁䅁䭁䕁䱑䅁䙁䅁䅁䅁睄癑䄱权睁䅁䅁兂䅁䅁䅁䅁䥁䅑䅅䅁䉁䅁䅁兂䅁䅁䅁䍧卢䅑杷允䅁䅁䅙䅁䑁䅁䅁䅁䭁䅁䅁䅁䭁䕁䱑䅁䙁䅁䅁䅁䅃⽑䄱权乄睂䅁兂䅁䅁䅁䅁睄睐䅅䅁䉁䅁䅁兂㙄浦㡱䕤㠹䅑杷允䅁䅁䅙䅁䑁䅁䅁䅁䭁䅁䅁䅁䭁䕁䱑䅁䙁䅁䅁䅁兂癒䄱权睁䅁䅁兂䅁䅁䅁䅁䅁䅑䅅䅁䉁䅁䅁权䡁䅁䅁䍄䉁䅁䅁䅃䅁䅁䅍䅁䅁䅁䅯䅁䅁䅁䅯䅒䅳䅁䅕䅁䅁䱁㥂唯䭁䵁䠰䅁䭁佁䅷䅁䭁䅁䅑潁䭁䍁䜸䅁䉁䅁䅁允䅁䅁䅕䅁䅁䅁䅁䅁䵁䅉䅅䅁䝁䅁䅁睁䅁䅁䅁权䅁䅁䅁权䕂睃䅁权牁䅁䅁权睁䅁䅁兂䅁䅁䅁䅁啁䅑䅅䅁䉁䅁䅁兂䅁䅁䅁䅁䅁䅁杷允䅁䅁䅧䅁䑁䅁䅁䅁䭁䅁䅁䅁䭁䕁䱑䅁䙁䅁䅁䅁睃晦䄱权睁䅁䅁权楄䅁䅁权䕁䅁䅋权癁杂䅁允䅁䅁䅅䅁䙁䅁䅁䅁䅁䅁䅁䍄䉁䅁䅁睁䅁䅁䅍睁䅁䅁䅕䅁䅁䅁睄啣䙁䅁䅁䅁䥂督䈱允䅁䅁䅅䅁䭁乁䝙䅁䵁䅉䅅䅁䕁䅁䅁睁䅁䅁䅁权䅁䅁䅁权⭁䅃䅁权䍁䅁䅁允䅁䅁䅅䅁䭁䑁䤸䅁䵁䅉䅅䅁䕁䅁䅁睁䅁䅁䅁权䅁䅁䅁权䡃睃䅁权䍁䅁䅁允䅁䅁䅅䅁䭁䥁䱧䅁䵁䅉䅅䅁䙁䅁䅁睁䅁䅁䅁兂䅁䅁䅁偁硂䅑䅯䅒䅳䅁䅕䅁䅁䭁卄〫䭁䵁䠰䅁䉁䅁䅁允䅁䅁䅕䅁䅁䅁䅁䅁䵁䅉䅅䅁䙁䅁䅁睁䅁䅁䅁权䅁䅁䅁权䕂睃䅁权䙁䅁䅁权䝁䅁䅁允䅁䅁䅅䅁䙁䝁汄䌰慙漴䉂䍄䉁䅁䅁䅂䅁䅁䅍䅁䅁䅁䅯䅁䅁䅁䅯睈䅯䅁䅯杁䅁䅁䅅䅁䉁䅁䅁权桁权䅁䍄䉁䅁䅁杂䅁䅁䅍䅁䅁䅁䅯䅁䅁䅁䅯䅒䅳䅁䅕䅁䅁䥁䑂唯䭁䝁䉣䅁䙁䅁䅁䅁䅁偁⽁允䅁䅁䅅䅁䙁䡁㥅瑃橥䩅䅂䍄䉁䅁䅁睁䅁䅁䅍睁䅁䅁䅕䅁䅁䅁睄啣䙁䅁䅁䅁睄瘳䅴允䅁䅁䅅䅁䭁偁䝕䅁䵁䅉䅅䅁䑁䅁䅁睁䑁䅁䅁权䅁䅁䅁兂䅁䅁䅁䕅㥔䅑䅅䅁䉁䅁䅁权剄睂䅁䍄䉁䅁䅁杂䅁䅁䅍䅁䅁䅁䅯䅁䅁䅁䅯䅒䅳䅁䅕䅁䅁䵁䙂唯䭁䅁䅙䅁䭁䍁䅅䅁䉁䅁䅁允䅁䅁䅕浘塏穓浵す䵅䅉䅅䅁䙁䅁䅁睁䅁䅁䅁兂䅁䅁䅁偁硂䅑䅯䅒䅳䅁䅕䅁䅁䉁䡁欯䭁䑁䅁䅁䉁䅁䅁允䅁䅁䅕䬯确楳㍡ぎ䵅䅉䅅䅁䝁䅁䅁睁䅁䅁䅁权䅁䅁䅁权䕂睃䅁兂䅁䅁䅁䕅㥔䅑䅯兺䅣䅁䅕䅁䅁䅁䅁䐸䈸䅁䅁允䅁䅁䅕⽺呤⬴䩗啴䵁䅉䅅䅁䥁䅁䅁睁䅁䅁䅁权䅁䅁䅁权䕂睃䅁兂䅁䅁䅁䡳㤳䅑䅯睚䅅䅁䅯䄵䅁䅁䅯䅂䍁䅧䅯睌䅙䅁䅅䅁䉁䅁䅁权䕁䅁䅁䍄䉁䅁䅁杂䅁䅁䅍䅁䅁䅁䅯䅁䅁䅁䅯䅒䅳䅁䅕䅁䅁䥁䑂唯䭁䵁䠰䅁䙁䅁䅁䅁䅁䅁䅨允䅁䅁䅅䅁䙁䅁䅁䅁䅁䅁䅁䍄䉁䅁䅁杂䅁䅁䅍䅁䅁䅁䅯䅁䅁䅁䅯䅒䅳䅁䅕䅁䅁䭁䕂唯䭁䝁䉫䅁䙁䅁䅁䅁䅁䉁䅂允䅁䅁䅅䅁䙁䅁䅁䅁䅁䅁䅁䍄䉁䅁䅁䅂䅁䅁䅍䅁䅁䅁䅯䅁䅁䅁䅯睵䅧䅁䅯杁䅁䅁䅅䅁䉁䅁䅁权㥃䅃䅁䍄䉁䅁䅁杂䅁䅁䅍䅁䅁䅁䅯䅁䅁䅁䅯䅒䅳䅁䅕䅁䅁䥁䑂唯䭁䝁䉫䅁䙁䅁䅁䅁䅁偁⽁允䅁䅁䅅䅁䙁䅁琸灳瘳漹䄹䍄䉁䅁䅁杂䅁䅁䅍䅁䅁䅁䅯䅁䅁䅁䅯䅒䅳䅁䅕䅁䅁佁䝂唯䭁䝁䉣䅁䙁䅁䅁䅁䅁䅁䅨允䅁䅁䅅䅁䙁䅁䅁䅁䅁䅁䅁䍄䉁䅁䅁杂䅁䅁䅍䅁䅁䅁䅯䅁䅁䅁䅯䅒䅳䅁䅕䅁䅁䭁䕂唯䭁䝁䉣䅁䙁䅁䅁䅁䅁䅁䅁允䅁䅁䅅䅁䙁䭁䝪㡓昫ㅷ䉂䍄䉁䅁䅁杂䅁䅁䅍䅁䅁䅁䅯䅁䅁䅁䅯䅒䅳䅁䅕䅁䅁䙁䝂唯䭁䵁䠰䅁䙁䅁䅁䅁䅁䅁䅁允䅁䅁䅅䅁䙁䅁䅁䅁䅁䅁䅁䍄䉁䅁䅁杂䅁䅁䅍䅁䅁䅁䅯䅁䅁䅁䅯䅒䅳䅁䅕䅁䅁佁䝂唯䭁䝁䉧䅁䙁䅁䅁䅁䅁偁⽁允䅁䅁䅅䅁䙁䅁䅁䅁䅁䅁䅁䍄䉁䅁䅁杂䅁䅁䅍䅁䅁䅁䅯䅁䅁䅁䅯䅒䅳䅁䅕䅁䅁偁䍂唯䭁䅁䅙䅁䙁䅁䅁䅁䅁䅁䅨允䅁䅁䅅䅁䙁䅁䅁䅁䅁䅁䅁䍄䉁䅁䅁杂䅁䅁䅍䅁䅁䅁䅯䅁䅁䅁䅯䅒䅳䅁䅕䅁䅁䵁䙂唯䭁䝁䉣䅁䙁䅁䅁䅁䅁䅁䅨允䅁䅁䅅䅁䙁佁兢瑉㕳㜹䅖䍄䉁䅁䅁䅂䅁䅁䅍䅁䅁䅁䅯䅁䅁䅁䅯睔䅷䅁䅯杁䅁䅁䅅䅁䉁䅁䅁权剂䅄䅁䍄䉁䅁䅁杂䅁䅁䅍䅁䅁䅁䅯䅁䅁䅁䅯䅒䅳䅁䅕䅁䅁偁䍂唯䭁䝁䉣䅁䭁䍁䅅䅁䉁䅁䅁允䅁䅁䅕⽷潕䥈樶ぉ䵅䅉䅅䅁䥁䅁䅁睁䅁䅁䅁权䅁䅁䅁权䕂睃䅁兂䅁䅁䅁䡳㤳䅑䅯兺䅣䅁䅯䄱䅁䅁䅯䅂䍁䅧䅯睌䅙䅁䅅䅁䉁䅁䅁兂䅁䅁䅁䅁䅁䅁杷允䅁䅁䅑䅁䑁䅁䅁䅁䭁䅁䅁䅁䭁䥁䭉䅁䭁䅁䅉䅁䉁䅁䅁允䅁䅁䅯睧䅯䅁杷允䅁䅁䅙䅁䑁䅁䅁䅁䭁䅁䅁䅁䭁䕁䱑䅁䙁䅁䅁䅁睄癑䄱权乄睂䅁兂䅁䅁䅁䅁䅁䅑䅅䅁䉁䅁䅁兂䅁䅁䅁䅁䅁䅁杷允䅁䅁䅙䅁䑁䅁䅁䅁䭁䅁䅁䅁䭁䕁䱑䅁䙁䅁䅁䅁睄癑䄱权乄睂䅁兂䅁䅁䅁䅁䥁䅑䅅䅁䉁䅁䅁兂䅁䅁䅁䅁䅁䅁杷允䅁䅁䅙䅁䑁䅁䅁䅁䭁䅁䅁䅁䭁䕁䱑䅁䙁䅁䅁䅁䅃⽑䄱权乄睂䅁兂䅁䅁䅁䅁允䅑䅅䅁䉁䅁䅁兂䅁䅁䅁䅁䅁䅁杷允䅁䅁䅙䅁䑁䅁䅁䅁䭁䅁䅁䅁䭁䕁䱑䅁䙁䅁䅁䅁兂癒䄱权潂允䅁兂䅁䅁䅁䅁䅁䅑䅅䅁䉁䅁䅁权䡁䅁䅁䍄䉁䅁䅁杂䅁䅁䅍䅁䅁䅁䅯䅁䅁䅁䅯䅒䅳䅁䅕䅁䅁䥁䑂唯䭁䝁䉣䅁䙁䅁䅁䅁䅁䅁䅂允䅁䅁䅅䅁䙁䅁䅁䅁䅁䅁䅁䍄䉁䅁䅁杂䅁䅁䅍䅁䅁䅁䅯䅁䅁䅁䅯䅒䅳䅁䅕䅁䅁䉁䕂唯䭁䅁䅙䅁䙁䅁䅁䅁䅁䅁䅂允䅁䅁䅅䅁䙁䅁䅁䅁䅁䅁䅁䍄䉁䅁䅁杂䅁䅁䅍䅁䅁䅁䅯䅁䅁䅁䅯䅒䅳䅁䅕䅁䅁䭁䕂唯䭁䑁䅁䅁䙁䅁䅁䅁䅁䅁䅨允䅁䅁䅅䅁䙁䅁䅁䅁䅁䅁䅁䍄䉁䅁䅁杂䅁䅁䅍䅁䅁䅁䅯䅁䅁䅁䅯䅒䅳䅁䅕䅁䅁䉁䕂唯䭁䵁䠰䅁䙁䅁䅁䅁䅁䅁䅁允䅁䅁䅅䅁䙁䥁䌯匹歨偩䅎䍄䉁䅁䅁杂䅁䅁䅍䅁䅁䅁䅯䅁䅁䅁䅯䅒䅳䅁䅕䅁䅁䉁䕂唯䭁䵁䠰䅁䙁䅁䅁䅁䅁䉁䅒允䅁䅁䅅䅁䙁䅁䅁䅁䅁䅁䅁䍄䉁䅁䅁兂䅁䅁䅍䅁䅁䅁䅕䅁䅁䅁睄啣䭁䕁䱑䅁䙁䅁䅁䅁潂督䈱权湂允䅁允䅁䅁䅅䅁䭁䝁䉯䅁䵁䅉䅅䅁䝁䅁䅁睁䅁䅁䅁权䅁䅁䅁权䕂睃䅁兂䅁䅁䅁䔴㥢䅑䅯兺䅣䅁䅕䅁䅁䅁䅁䕁䉁䅁䅁允䅁䅁䅕䅁䅁䅁䅁䅁䵁䅉䅅䅁䥁䅁䅁睁䅁䅁䅁权䅁䅁䅁权䕂睃䅁兂䅁䅁䅁䡳㤳䅑䅯兡䅅䅁䅯䅱䅁䅁䅯䅂䍁䅧䅯睌䅙䅁䅅䅁䉁䅁䅁兂䅁䅁䅁䅁䅁䅁杷允䅁䅁䅑䅁䑁䅁䅁䅁䭁䅁䅁䅁䭁䅁䩅䅁䭁䅁䅉䅁䉁䅁䅁允䅁䅁䅯杁䅫䅁杷允䅁䅁䅕䅁䑁䅁䅁䅁䙁䅁䅁䅁䅁䠸䅆权䕂睃䅁兂䅁䅁䅁䡫乍兑䅯兡䅅䅁䅅䅁䉁䅁䅁兂㥃煰䱸癍乣䅑杷允䅁䅁䅕䅁䑁䅁䅁䅁䙁䅁䅁䅁䅁䠸䅆权䕂睃䅁兂䅁䅁䅁乫㜷䅑䅯䅍䅁䅁䅅䅁䉁䅁䅁兂㙄浦啰扎嘱兑杷允䅁䅁䅑䅁䑁䅁䅁䅁䭁䅁䅁䅁䭁䍁䭧䅁䭁䅁䅉䅁䉁䅁䅁允䅁䅁䅯克䅯䅁杷允䅁䅁䅕䅁䑁䅁䅁䅁䭁䅁䅁䅁䭁䕁䱑䅁䭁䅁䅕䅁䭁䉁䅅䅁䉁䅁䅁允䅁䅁䅕䥘䌯䐸㑯䕧䵅䅉䅅䅁䝁䅁䅁睁䅁䅁䅁权䅁䅁䅁权䕂睃䅁兂䅁䅁䅁䕕㥢䅑䅯䅍䅁䅁䅕䅁䅁䅁䅁䕃䉁䅁䅁允䅁䅁䅯睂䅁䅁杷允䅁䅁䅧䅁䑁䅁䅁䅁䭁䅁䅁䅁䭁䕁䱑䅁䙁䅁䅁䅁睃晦䄱权乄睂䅁权楄䅁䅁权䕁䅁䅋权癁杂䅁允䅁䅁䅅䅁䙁䅁䅁䅁䅁䅁䅁䍄䉁䅁䅁兂䅁䅁䅍䅁䅁䅁䅕䅁䅁䅁睄啣䭁䕁䱑䅁䙁䅁䅁䅁睁⽂䄵权睁䅁䅁允䅁䅁䅅䅁䙁䅁牉ㅨ䉢䑑䉸䍄䉁䅁䅁兂䅁䅁䅍䅁䅁䅁䅯䅁䅁䅁䅯䅒䅳䅁䅯兂䅁䅁䅯杅䅁䅁䅅䅁䉁䅁䅁权䡁䅁䅁䍄䉁䅁䅁杂䅁䅁䅍䅁䅁䅁䅯䅁䅁䅁䅯䅒䅳䅁䅕䅁䅁佁䝂唯䭁䑁䅁䅁䙁䅁䅁䅁䅁䅁䅁允䅁䅁䅅䅁䙁䅁䅁䅁䅁䅁䅁䍄䉁䅁䅁䅂䅁䅁䅍䅁䅁䅁䅯䅁䅁䅁䅯眶䅫䅁䅯杁䅁䅁䅅䅁䉁䅁䅁权瑄元䅁䍄䉁䅁䅁䅃䅁䅁䅍䅁䅁䅁䅯䅁䅁䅁䅯䅒䅳䅁䅕䅁䅁䱁㥂唯䭁䑁䅁䅁䭁佁䄴䅁䭁䅁䅑潁䭁䍁䜸䅁䉁䅁䅁允䅁䅁䅕䅁䅁䅁䅁䅁䵁䅉䅅䅁䥁䅁䅁睁䅁䅁䅁权䅁䅁䅁权䕂睃䅁兂䅁䅁䅁䡳㤳䅑䅯兺䅣䅁䅯䅭䅁䅁䅯䅂䍁䅧䅯睌䅙䅁䅅䅁䉁䅁䅁兂䅁䅁䅁䅁䅁䅁杷允䅁䅁䅙䅁䑁䅁䅁䅁䭁䅁䅁䅁䭁䕁䱑䅁䙁䅁䅁䅁䅄晒䄱权灂允䅁权桁䅁䅁允䅁䅁䅅䅁䙁䉁䙲档硥䜯䉎䍄䉁䅁䅁䅃䅁䅁䅍䅁䅁䅁䅯䅁䅁䅁䅯䅒䅳䅁䅕䅁䅁䱁㥂唯䭁䑁䅁䅁䭁䕁䅫䅁䭁䅁䅑潁䭁䍁䜸䅁䉁䅁䅁允䅁䅁䅯䅂䅁䅁杷允䅁䅁䅑䅁䑁䅁䅁䅁䭁䅁䅁䅁䭁䑁䥕䅁䭁䅁䅉䅁䉁䅁䅁允䅁䅁䅯李䅧䅁杷允䅁䅁䅑䅁䑁䅁䅁䅁䭁䅁䅁䅁䭁佁关䅁䭁䅁䅉䅁䉁䅁䅁允䅁䅁䅯䈷䅁䅁杷允䅁䅁䅙䅁䑁䅁䅁䅁䭁䅁䅁䅁䭁䕁䱑䅁䙁䅁䅁䅁睄癑䄱权䝁䅁䅁兂䅁䅁䅁䅁允䅑䅅䅁䉁䅁䅁兂䅁䅁䅁䅁䅁䅁杷允䅁䅁䅕䅁䑁䅁䅁䅁䭁䅁䅁䅁䭁䕁䱑䅁䭁䅁䅕䅁䭁䅁䄸䅁䉁䅁䅁允䅁䅁䅕敢㝦契畗䕧䵅䅉䅅䅁䝁䅁䅁睁䅁䅁䅁权䅁䅁䅁权䕂睃䅁权牁䅁䅁权潂允䅁兂䅁䅁䅁䅁䅁䅁䅅䅁䉁䅁䅁兂䅁䅁䅁䅁䅁䅁杷允䅁䅁䅙䅁䑁䅁䅁䅁䭁䅁䅁䅁䭁䕁䱑䅁䭁䍁䅳䅁䭁䝁䉫䅁䙁䅁䅁䅁䅁偁⽁允䅁䅁䅅䅁䙁䝁剭堷偸摱䅰䍄䉁䅁䅁䅃䅁䅁䅍䅁䅁䅁䅯䅁䅁䅁䅯䅒䅳䅁䅕䅁䅁䱁㥂唯䭁䅁䅙䅁䭁偁䅑䅁䭁䅁䅑潁䭁䍁䜸䅁䉁䅁䅁允䅁䅁䅕䅁䅁䅁䅁䅁䵁䅉䅅䅁䕁䅁䅁睁䅁䅁䅁权䅁䅁䅁权䕂睃䅁权䥁䅁䅁允䅁䅁䅅䅁䭁䕁䱕䅁䵁䅉䅅䅁䝁䅁䅁睁䅁䅁䅁权䅁䅁䅁权䕂睃䅁兂䅁䅁䅁䔸㥌䅑䅯兺䅣䅁䅕䅁䅁䅁䅁䐸䈸䅁䅁允䅁䅁䅕䅁䅁䅁䅁䅁䵁䅉䅅䅁䑁䅁䅁睁䑁䅁䅁权䅁䅁䅁权牁䅁䅁允䅁䅁䅅䅁䭁乁䡙䅁䵁䅉䅅䅁䕁䅁䅁睁䅁䅁䅁权䅁䅁䅁权䕂睃䅁权䍁䅁䅁允䅁䅁䅅䅁䭁䕁䱙䅁䵁䅉䅅䅁䕁䅁䅁睁䅁䅁䅁权䅁䅁䅁权䍁䅃䅁权䍁䅁䅁允䅁䅁䅅䅁䭁䅁䥍䅁䵁䅉䅅䅁䝁䅁䅁睁䅁䅁䅁权䅁䅁䅁权䕂睃䅁兂䅁䅁䅁䕙㥌䅑䅯睚䅅䅁䅕䅁䅁䅁䅁䅁䉁䅁䅁允䅁䅁䅕䡰㥁煋䍂啕䵅䅉䅅䅁䕁䅁䅁睁䅁䅁䅁权䅁䅁䅁权塃䅃䅁权䍁䅁䅁允䅁䅁䅅䅁䭁䩁䥧䅁䵁䅉䅅䅁䝁䅁䅁睁䅁䅁䅁权䅁䅁䅁权䕂睃䅁兂䅁䅁䅁䔸㥌䅑䅯兺䅣䅁䅕䅁䅁䅁䅁䅁䉁䅁䅁允䅁䅁䅕余兘癉ずえ䵅䅉䅅䅁䝁䅁䅁睁䅁䅁䅁权䅁䅁䅁权䕂睃䅁兂䅁䅁䅁䕕㥢䅑䅯䅡䅅䅁䅕䅁䅁䅁䅁䕅䉁䅁䅁允䅁䅁䅯睂䅁䅁杷允䅁䅁䅙䅁䑁䅁䅁䅁䭁䅁䅁䅁䭁䕁䱑䅁䙁䅁䅁䅁权偒䄱权睁䅁䅁兂䅁䅁䅁䅁睄睐䅅䅁䉁䅁䅁兂坃㑑獴⽂敮䅑杷允䅁䅁䅙䅁䑁䅁䅁䅁䭁䅁䅁䅁䭁䕁䱑䅁䙁䅁䅁䅁允偒䄱权灂允䅁兂䅁䅁䅁䅁允䅑䅅䅁䉁䅁䅁兂䅁䅁䅁䅁䅁䅁杷允䅁䅁䅙䅁䑁䅁䅁䅁䭁䅁䅁䅁䭁䕁䱑䅁䙁䅁䅁䅁权偒䄱权乄睂䅁兂䅁䅁䅁䅁䅁䅁䅅䅁䉁䅁䅁兂䍂余兕䨵低兑杷允䅁䅁䅑䅁䑁䅁䅁䅁䭁䅁䅁䅁䭁䭁䥅䅁䭁䅁䅉䅁䉁䅁䅁允䅁䅁䅯睯䅧䅁杷允䅁䅁䅙䅁䑁䅁䅁䅁䭁䅁䅁䅁䭁䕁䱑䅁䙁䅁䅁䅁杂癑䄱权乄睂䅁权慁䅁䅁允䅁䅁䅅䅁䙁䉁䘫⼶䙈䔰䉴䍄䉁䅁䅁杂䅁䅁䅍䅁䅁䅁䅯䅁䅁䅁䅯䅒䅳䅁䅕䅁䅁䉁䕂唯䭁䑁䅁䅁䙁䅁䅁䅁䅁䅁䅁允䅁䅁䅅䅁䙁䅁塲㍯楃允䉚䍄䉁䅁䅁杂䅁䅁䅍䅁䅁䅁䅯䅁䅁䅁䅯䅒䅳䅁䅕䅁䅁偁䍂唯䭁䵁䠰䅁䙁䅁䅁䅁䅁䉁䅂允䅁䅁䅅䅁䙁䅁䅁䅁䅁䅁䅁䍄䉁䅁䅁杂䅁䅁䅍䅁䅁䅁䅯䅁䅁䅁䅯䅒䅳䅁䅕䅁䅁䭁䕂唯䭁䝁䉣䅁䭁䍁䅅䅁䉁䅁䅁允䅁䅁䅕椶硙䵱䴳䕕䵅䅉䅅䅁䑁䅁䅁睁䑁䅁䅁权䅁䅁䅁兂䅁䅁䅁䕧㥐䅑䅅䅁䉁䅁䅁权兄睂䅁䍄䉁䅁䅁杂䅁䅁䅍䅁䅁䅁䅯䅁䅁䅁䅯䅒䅳䅁䅯睋䅁䅁䅯兡䅅䅁䅕䅁䅁䅁䅁䕆䉁䅁䅁允䅁䅁䅕䅁䅁䅁䅁䅁䵁䅉䅅䅁䥁䅁䅁睁䅁䅁䅁权䅁䅁䅁权䕂睃䅁兂䅁䅁䅁䡳㤳䅑䅯䅍䅁䅁䅯朱䅁䅁䅯䅂䍁䅧䅯睌䅙䅁䅅䅁䉁䅁䅁兂䭁㘱睏䑷洰兑杷允䅁䅁䅧䅁䑁䅁䅁䅁䭁䅁䅁䅁䭁䕁䱑䅁䙁䅁䅁䅁睃晦䄱权湂允䅁权啄䅁䅁权䕁䅁䅋权癁杂䅁允䅁䅁䅅䅁䙁䅁䅁䅁䅁䅁䅁䍄䉁䅁䅁䅂䅁䅁䅍䅁䅁䅁䅯䅁䅁䅁䅯杢䅫䅁䅯杁䅁䅁䅅䅁䉁䅁䅁权療元䅁䍄䉁䅁䅁杂䅁䅁䅍䅁䅁䅁䅯䅁䅁䅁䅯䅒䅳䅁䅕䅁䅁偁䍂唯䭁䝁䉣䅁䙁䅁䅁䅁䅁䅁䅨允䅁䅁䅅䅁䙁䅁䅁䅁䅁䅁䅁䍄䉁䅁䅁杂䅁䅁䅍䅁䅁䅁䅯䅁䅁䅁䅯䅒䅳䅁䅕䅁䅁䥁䑂唯䭁䵁䠰䅁䙁䅁䅁䅁䅁䅁䅂允䅁䅁䅅䅁䙁䅁䅁䅁䅁䅁䅁䍄䉁䅁䅁䅂䅁䅁䅍䅁䅁䅁䅯䅁䅁䅁䅯儸䄰䅁䅯杁䅁䅁䅅䅁䉁䅁䅁权穄兄䅁䍄䉁䅁䅁杂䅁䅁䅍䅁䅁䅁䅯䅁䅁䅁䅯䅒䅳䅁䅕䅁䅁佁䝂唯䭁䑁䅁䅁䙁䅁䅁䅁䅁偁⽁允䅁䅁䅅䅁䙁䅁䅁䅁䅁䅁䅁䍄䉁䅁䅁杂䅁䅁䅍䅁䅁䅁䅯䅁䅁䅁䅯䅒䅳䅁䅕䅁䅁佁䝂唯䭁䝁䉧䅁䙁䅁䅁䅁䅁䅁䅨允䅁䅁䅅䅁䙁䅁䅁䅁䅁䅁䅁䍄䉁䅁䅁䅃䅁䅁䅍䅁䅁䅁䅯䅁䅁䅁䅯䅒䅳䅁䅕䅁䅁䱁㥂唯䭁䝁䉣䅁䭁䱁䅉䅁䭁䅁䅑潁䭁䍁䜸䅁䉁䅁䅁允䅁䅁䅕䑗ね䅓㍃お䵅䅉䅅䅁䝁䅁䅁睁䅁䅁䅁权䅁䅁䅁权䕂睃䅁兂䅁䅁䅁䕙㥌䅑䅯睚䅅䅁䅕䅁䅁䅁䅁䕆䉁䅁䅁允䅁䅁䅕䅁䅁䅁䅁䅁䵁䅉䅅䅁䝁䅁䅁睁䅁䅁䅁权䅁䅁䅁权䕂睃䅁兂䅁䅁䅁䕧㥐䅑䅯兺䅣䅁䅕䅁䅁䅁䅁䕆䉁䅁䅁允䅁䅁䅕䅁䅁䅁䅁䅁䵁䅉䅅䅁䝁䅁䅁睁䅁䅁䅁权䅁䅁䅁权䕂睃䅁兂䅁䅁䅁䔴㥢䅑䅯杂䅁䅁䅕䅁䅁䅁䅁䕅䉁䅁䅁允䅁䅁䅕䅁䅁䅁䅁䅁䵁䅉䅅䅁䝁䅁䅁睁䅁䅁䅁权䅁䅁䅁权䕂睃䅁兂䅁䅁䅁䕧㥐䅑䅯杂䅁䅁䅕䅁䅁䅁䅁䕃䉁䅁䅁允䅁䅁䅕䅁䅁䅁䅁䅁䵁䅉䅅䅁䝁䅁䅁睁䅁䅁䅁权䅁䅁䅁权䕂睃䅁兂䅁䅁䅁䕯㥔䅑䅯䅡䅅䅁䅕䅁䅁䅁䅁䕃䉁䅁䅁允䅁䅁䅕䅁䅁䅁䅁䅁䵁䅉䅅䅁䝁䅁䅁睁䅁䅁䅁权䅁䅁䅁权䕂睃䅁兂䅁䅁䅁䕕㥢䅑䅯杂䅁䅁䅕䅁䅁䅁䅁䕃䉁䅁䅁允䅁䅁䅯睂䅁䅁杷允䅁䅁䅑䅁䑁䅁䅁䅁䭁䅁䅁䅁䭁䑁䭑䅁䭁䅁䅉䅁䉁䅁䅁允䅁䅁䅯兎䅯䅁杷允䅁䅁䅍䅁䑁䅁䅍䅁䙁䅁䅁䅁䅁䠸䅆兂䅁䅁䅁䈴⭘䅑䅅䅁䉁䅁䅁权䕁睂䅁䍄䉁䅁䅁䅂䅁䅁䅍䅁䅁䅁䅯䅁䅁䅁䅯睢䅳䅁䅯杁䅁䅁䅅䅁䉁䅁䅁权睂睃䅁䍄䉁䅁䅁杂䅁䅁䅍䅁䅁䅁䅯䅁䅁䅁䅯䅒䅳䅁䅕䅁䅁佁䝂唯䭁䵁䠰䅁䙁䅁䅁䅁䅁䅁䅨允䅁䅁䅅䅁䙁䅁䅁䅁䅁䅁䅁䍄䉁䅁䅁䅃䅁䅁䅍䅁䅁䅁䅯䅁䅁䅁䅯䅒䅳䅁䅕䅁䅁䱁㥂唯䭁䝁䉧䅁䭁䩁䅯䅁䭁䅁䅑潁䭁䍁䜸䅁䉁䅁䅁允䅁䅁䅕䅁䅁䅁䅁䅁䵁䅉䅅䅁䝁䅁䅁睁䅁䅁䅁权䅁䅁䅁权䕂睃䅁兂䅁䅁䅁䕙㥌䅑䅯睚䅅䅁䅕䅁䅁䅁䅁䐸䈸䅁䅁允䅁䅁䅕䅁䅁䅁䅁䅁䵁䅉䅅䅁䥁䅁䅁睁䅁䅁䅁权䅁䅁䅁权䕂睃䅁兂䅁䅁䅁䡳㤳䅑䅯䅡䅅䅁䅯杹䅁䅁䅯䅂䍁䅧䅯睌䅙䅁䅅䅁䉁䅁䅁兂䅁䅁䅁䅁䅁䅁杷允䅁䅁䅙䅁䑁䅁䅁䅁䭁䅁䅁䅁䭁䕁䱑䅁䙁䅁䅁䅁权偒䄱权灂允䅁兂䅁䅁䅁䅁䅁䅁䅅䅁䉁䅁䅁兂䵁䙹刷坷告兑杷允䅁䅁䅙䅁䑁䅁䅁䅁䭁䅁䅁䅁䭁䕁䱑䅁䙁䅁䅁䅁睄癑䄱权䝁䅁䅁兂䅁䅁䅁䅁睄睐䅅䅁䉁䅁䅁兂䅁䅁䅁䅁䅁䅁杷允䅁䅁䅙䅁䑁䅁䅁䅁䭁䅁䅁䅁䭁䕁䱑䅁䙁䅁䅁䅁权偒䄱权睁䅁䅁权桁䅁䅁允䅁䅁䅅䅁䙁䑁㔵䥗穧ぱ䉸䍄䉁䅁䅁杂䅁䅁䅍䅁䅁䅁䅯䅁䅁䅁䅯䅒䅳䅁䅯睋䅁䅁䅯兡䅅䅁䅯光䅁䅁䅅䅁䉁䅁䅁兂灂敫㠱㙔慮䅑杷允䅁䅁䅙䅁䑁䅁䅁䅁䭁䅁䅁䅁䭁䕁䱑䅁䙁䅁䅁䅁䅃⽑䄱权湂允䅁兂䅁䅁䅁䅁允䅑䅅䅁䉁䅁䅁兂䅁䅁䅁䅁䅁䅁杷允䅁䅁䅕䅁䑁䅁䅁䅁䙁䅁䅁䅁䅁䠸䅆权䕂睃䅁兂䅁䅁䅁乳㝌䅑䅯䅡䅅䅁䅅䅁䉁䅁䅁兂晁敨楳乹䈫兑杷允䅁䅁䅙䅁䑁䅁䅁䅁䭁䅁䅁䅁䭁䕁䱑䅁䙁䅁䅁䅁䅃⽑䄱权䝁䅁䅁兂䅁䅁䅁䅁允䅑䅅䅁䉁䅁䅁兂䅁䅁䅁䅁䅁䅁杷允䅁䅁䅙䅁䑁䅁䅁䅁䭁䅁䅁䅁䭁䕁䱑䅁䙁䅁䅁䅁允偒䄱权䝁䅁䅁兂䅁䅁䅁䅁䥁䅑䅅䅁䉁䅁䅁兂䅁䅁䅁䅁䅁䅁杷允䅁䅁䅙䅁䑁䅁䅁䅁䭁䅁䅁䅁䭁䕁䱑䅁䙁䅁䅁䅁允偒䄱权乄睂䅁兂䅁䅁䅁䅁䅁䅑䅅䅁䉁䅁䅁兂䅁䅁䅁䅁䅁䅁杷允䅁䅁䅙䅁䑁䅁䅁䅁䭁䅁䅁䅁䭁䕁䱑䅁䭁䍁䅳䅁䭁䝁䉣䅁䙁䅁䅁䅁䅁䉁䅂允䅁䅁䅅䅁䙁䅁䅁䅁䅁䅁䅁䍄䉁䅁䅁䅂䅁䅁䅍䅁䅁䅁䅯䅁䅁䅁䅯材䅫䅁䅯杁䅁䅁䅅䅁䉁䅁䅁权⽁元䅁䍄䉁䅁䅁杂䅁䅁䅍䅁䅁䅁䅯䅁䅁䅁䅯䅒䅳䅁䅕䅁䅁䝁䍂唯䭁䝁䉣䅁䭁䉁䅯䅁䉁䅁䅁允䅁䅁䅕䡰㥁煋䍂啕䵅䅉䅅䅁䝁䅁䅁睁䅁䅁䅁权䅁䅁䅁权䕂睃䅁兂䅁䅁䅁䕅㥔䅑䅯兺䅣䅁䅕䅁䅁䅁䅁䕃䉁䅁䅁允䅁䅁䅕䅁䅁䅁䅁䅁䵁䅉䅅䅁䝁䅁䅁睁䅁䅁䅁权䅁䅁䅁权䕂睃䅁兂䅁䅁䅁䕯㥔䅑䅯䅍䅁䅁䅕䅁䅁䅁䅁䅁䉁䅁䅁允䅁䅁䅕兪睢橴獨䕔䵅䅉䅅䅁䥁䅁䅁睁䅁䅁䅁权䅁䅁䅁权䕂睃䅁兂䅁䅁䅁䡳㤳䅑䅯杂䅁䅁䅯杺䅁䅁䅯䅂䍁䅧䅯睌䅙䅁䅅䅁䉁䅁䅁兂䅁䅁䅁䅁䅁䅁杷允䅁䅁䅕䅁䑁䅁䅁䅁䙁䅁䅁䅁䅁䠸䅆权䕂睃䅁兂䅁䅁䅁䡍乍兑䅯睚䅅䅁䅅䅁䉁䅁䅁兂浂浚浚楚啚䅑杷允䅁䅁䅧䅁䑁䅁䅁䅁䭁䅁䅁䅁䭁䕁䱑䅁䙁䅁䅁䅁睃晦䄱权䝁䅁䅁权㙃䅁䅁权䕁䅁䅋权癁杂䅁允䅁䅁䅅䅁䙁䅁䅁䅁䅁䅁䅁䍄䉁䅁䅁䅂䅁䅁䅍䅁䅁䅁䅯䅁䅁䅁䅯䅰䅳䅁䅯杁䅁䅁䅅䅁䉁䅁䅁权浃睃䅁䍄䉁䅁䅁杂䅁䅁䅍䅁䅁䅁䅯䅁䅁䅁䅯䅒䅳䅁䅕䅁䅁䙁䝂唯䭁䅁䅙䅁䙁䅁䅁䅁䅁䅁䅂允䅁䅁䅅䅁䭁䅁䅣䅁䵁䅉䅅䅁䥁䅁䅁睁䅁䅁䅁权䅁䅁䅁权䕂睃䅁兂䅁䅁䅁䡳㤳䅑䅯䅡䅅䅁䅯䅳䅁䅁䅯䅂䍁䅧䅯睌䅙䅁䅅䅁䉁䅁䅁兂䅁䅁䅁䅁䅁䅁杷允䅁䅁䅙䅁䑁䅁䅁䅁䭁䅁䅁䅁䭁䕁䱑䅁䙁䅁䅁䅁杂癑䄱权灂允䅁兂䅁䅁䅁䅁䅁䅁䅅䅁䉁䅁䅁兂坄坸䔲ㅯ噖兑杷允䅁䅁䅧䅁䑁䅁䅁䅁䭁䅁䅁䅁䭁䕁䱑䅁䙁䅁䅁䅁睃晦䄱权湂允䅁权兄䅁䅁权䕁䅁䅋权癁杂䅁允䅁䅁䅅䅁䙁䅁䅁䅁䅁䅁䅁䍄䉁䅁䅁睁䅁䅁䅍睁䅁䅁䅕䅁䅁䅁睄啣䙁䅁䅁䅁兂倰䅴允䅁䅁䅅䅁䭁䑁䠴䅁䵁䅉䅅䅁䝁䅁䅁睁䅁䅁䅁权䅁䅁䅁权䕂睃䅁兂䅁䅁䅁䔸㥌䅑䅯䅍䅁䅁䅯光䅁䅁䅅䅁䉁䅁䅁兂㍂灶愸朱朴兑杷允䅁䅁䅧䅁䑁䅁䅁䅁䭁䅁䅁䅁䭁䕁䱑䅁䙁䅁䅁䅁睃晦䄱权灂允䅁权䝄䅁䅁权䕁䅁䅋权癁杂䅁允䅁䅁䅅䅁䙁䅁䅁䅁䅁䅁䅁䍄䉁䅁䅁杂䅁䅁䅍䅁䅁䅁䅯䅁䅁䅁䅯䅒䅳䅁䅕䅁䅁偁䍂唯䭁䝁䉣䅁䙁䅁䅁䅁䅁偁⽁允䅁䅁䅅䅁䙁䅁䅁䅁䅁䅁䅁䍄䉁䅁䅁杂䅁䅁䅍䅁䅁䅁䅯䅁䅁䅁䅯䅒䅳䅁䅕䅁䅁䥁䑂唯䭁䝁䉫䅁䙁䅁䅁䅁䅁䉁䅒允䅁䅁䅅䅁䙁䅁䅁䅁䅁䅁䅁䍄䉁䅁䅁杂䅁䅁䅍䅁䅁䅁䅯䅁䅁䅁䅯䅒䅳䅁䅕䅁䅁䙁䝂唯䭁䝁䉫䅁䙁䅁䅁䅁䅁䅁䅂允䅁䅁䅅䅁䭁䅁䅣䅁䵁䅉䅅䅁䝁䅁䅁睁䅁䅁䅁权䅁䅁䅁权䕂睃䅁权䕁䅁䅁权睁䅁䅁权䕁䅁䅁允䅁䅁䅅䅁䭁䅁䅑䅁䵁䅉䅅䅁䝁䅁䅁睁䅁䅁䅁权䅁䅁䅁权䕂睃䅁兂䅁䅁䅁䔸㥌䅑䅯睚䅅䅁䅕䅁䅁䅁䅁䕆䉁䅁䅁允䅁䅁䅕䅁䅁䅁䅁䅁䵁䅉䅅䅁䝁䅁䅁睁䅁䅁䅁权䅁䅁䅁权䕂睃䅁兂䅁䅁䅁䕅㥔䅑䅯兡䅅䅁䅕䅁䅁䅁䅁䐸䈸䅁䅁允䅁䅁䅕䅁䅁䅁䅁䅁䵁䅉䅅䅁䝁䅁䅁睁䅁䅁䅁权䅁䅁䅁权䕂睃䅁兂䅁䅁䅁䕅㥔䅑䅯兺䅣䅁䅕䅁䅁䅁䅁䕅䉁䅁䅁允䅁䅁䅕䅁䅁䅁䅁䅁䵁䅉䅅䅁䝁䅁䅁睁䅁䅁䅁权䅁䅁䅁权䕂睃䅁权牁䅁䅁权湂允䅁兂䅁䅁䅁䅁䅁䅁䅅䅁䉁䅁䅁兂䅁䅁䅁佁䰷䅑杷允䅁䅁䅙䅁䑁䅁䅁䅁䭁䅁䅁䅁䭁䕁䱑䅁䙁䅁䅁䅁权偒䄱权乄睂䅁兂䅁䅁䅁䅁睄睐䅅䅁䉁䅁䅁兂千堷⽷敆ㅡ䅑杷允䅁䅁䅕䅁䑁䅁䅁䅁䙁䅁䅁䅁䅁䠸䅆权䕂睃䅁兂䅁䅁䅁䡇乍兑䅯䅍䅁䅁䅅䅁䉁䅁䅁兂㙁硎义㔹䵸䅑杷允䅁䅁䅙䅁䑁䅁䅁䅁䭁䅁䅁䅁䭁䕁䱑䅁䙁䅁䅁䅁䅄晒䄱权睁䅁䅁兂䅁䅁䅁䅁啁䅑䅅䅁䉁䅁䅁兂㑃潈牘摕㉧䅑杷允䅁䅁䅙䅁䑁䅁䅁䅁䭁䅁䅁䅁䭁䕁䱑䅁䙁䅁䅁䅁杄癒䄱权乄睂䅁兂䅁䅁䅁䅁允䅑䅅䅁䉁䅁䅁兂䅁䅁䅁䅁䅁䅁杷允䅁䅁䅙䅁䑁䅁䅁䅁䭁䅁䅁䅁䭁䕁䱑䅁䭁䅁䅑䅁䭁䝁䉣䅁䭁䅁䅑䅁䉁䅁䅁允䅁䅁䅯䅂䅁䅁杷允䅁䅁䅑䅁䑁䅁䅁䅁䭁䅁䅁䅁䭁䝁䭧䅁䭁䅁䅉䅁䉁䅁䅁允䅁䅁䅯兡䅯䅁杷允䅁䅁䅙䅁䑁䅁䅁䅁䭁䅁䅁䅁䭁䕁䱑䅁䙁䅁䅁䅁杂癑䄱权湂允䅁兂䅁䅁䅁䅁䥁䅑䅅䅁䉁䅁䅁兂䅁䅁䅁䅁䅁䅁杷允䅁䅁䅙䅁䑁䅁䅁䅁䭁䅁䅁䅁䭁䕁䱑䅁䙁䅁䅁䅁杂癑䄱权灂允䅁兂䅁䅁䅁䅁啁䅑䅅䅁䉁䅁䅁兂䅁䅁䅁䅁䅁䅁杷允䅁䅁䅑䅁䑁䅁䅁䅁䭁䅁䅁䅁䭁䵁偅䅁䭁䅁䅉䅁䉁䅁䅁允䅁䅁䅯杷䄸䅁杷允䅁䅁䅕䅁䑁䅁䅁䅁䙁䅁䅁䅁䅁䠸䅆权䕂睃䅁兂䅁䅁䅁䡑乍兑䅯兺䅣䅁䅅䅁䉁䅁䅁兂睃港潓こ㉶睐杷允䅁䅁䅙䅁䑁䅁䅁䅁䭁䅁䅁䅁䭁䕁䱑䅁䙁䅁䅁䅁权偒䄱权乄睂䅁兂䅁䅁䅁䅁䅁䅑䅅䅁䉁䅁䅁兂牂䡶呓䝇㡸䅑杷允䅁䅁䅧䅁䑁䅁䅁䅁䭁䅁䅁䅁䭁䕁䱑䅁䙁䅁䅁䅁睃晦䄱权湂允䅁权卄䅁䅁权䕁䅁䅋权癁杂䅁允䅁䅁䅅䅁䙁䅁䅁䅁䅁䅁䅁䍄䉁䅁䅁杂䅁䅁䅍䅁䅁䅁䅯䅁䅁䅁䅯䅒䅳䅁䅕䅁䅁䭁䕂唯䭁䵁䠰䅁䙁䅁䅁䅁䅁䅁䅨允䅁䅁䅅䅁䙁䅁䅁䅁䅁䅁䅁䍄䉁䅁䅁杂䅁䅁䅍䅁䅁䅁䅯䅁䅁䅁䅯䅒䅳䅁䅯睋䅁䅁䅯杂䅁䅁䅯光䅁䅁䅅䅁䉁䅁䅁兂硁䭃捷汃㑢䅑杷允䅁䅁䅙䅁䑁䅁䅁䅁䭁䅁䅁䅁䭁䕁䱑䅁䙁䅁䅁䅁权偒䄱权乄睂䅁兂䅁䅁䅁䅁允䅑䅅䅁䉁䅁䅁兂䅁䅁䅁䅁䅁䅁杷允䅁䅁䅍䅁䑁䅁䅍䅁䙁䅁䅁䅁䅁䠸䅆兂䅁䅁䅁䠫义兑䅅䅁䉁䅁䅁权灂兆䅁䍄䉁䅁䅁杂䅁䅁䅍䅁䅁䅁䅯䅁䅁䅁䅯䅒䅳䅁䅕䅁䅁䵁䙂唯䭁䑁䅁䅁䙁䅁䅁䅁䅁䉁䅂允䅁䅁䅅䅁䙁䥁䉬余じ畁䅖䍄䉁䅁䅁䅂䅁䅁䅍䅁䅁䅁䅯䅁䅁䅁䅯儸䅯䅁䅯杁䅁䅁䅅䅁䉁䅁䅁权穄权䅁䍄䉁䅁䅁兂䅁䅁䅍䅁䅁䅁䅕䅁䅁䅁睄啣䭁䕁䱑䅁䙁䅁䅁䅁䅁倰䅴权湂允䅁允䅁䅁䅅䅁䙁䅁牉㕨扚祆䉖䍄䉁䅁䅁杂䅁䅁䅍䅁䅁䅁䅯䅁䅁䅁䅯䅒䅳䅁䅕䅁䅁䥁䑂唯䭁䝁䉫䅁䙁䅁䅁䅁䅁䉁䅂允䅁䅁䅅䅁䙁䅁䅁䅁䅁䅁䅁䍄䉁䅁䅁杂䅁䅁䅍䅁䅁䅁䅯䅁䅁䅁䅯䅒䅳䅁䅕䅁䅁䭁䕂唯䭁䵁䠰䅁䙁䅁䅁䅁䅁䉁䅒允䅁䅁䅅䅁䙁䅁䅁䅁䅁䅁䅁䍄䉁䅁䅁杂䅁䅁䅍䅁䅁䅁䅯䅁䅁䅁䅯䅒䅳䅁䅯睋䅁䅁䅯䅡䅅䅁䅕䅁䅁䅁䅁䕆䉁䅁䅁允䅁䅁䅕䅁䅁䅁䅁䅁䵁䅉䅅䅁䥁䅁䅁睁䅁䅁䅁权䅁䅁䅁权䕂睃䅁兂䅁䅁䅁䡳㤳䅑䅯䅍䅁䅁䅯朹䅁䅁䅯䅂䍁䅧䅯睌䅙䅁䅅䅁䉁䅁䅁兂䅁䅁䅁䅁䅁䅁杷允䅁䅁䅑䅁䑁䅁䅁䅁䭁䅁䅁䅁䭁䕁䩷䅁䭁䅁䅉䅁䉁䅁䅁允䅁䅁䅯杔䅫䅁杷允䅁䅁䅙䅁䑁䅁䅁䅁䭁䅁䅁䅁䭁䕁䱑䅁䭁䍁䅳䅁䭁䅁䅙䅁䙁䅁䅁䅁䅁偁⽁允䅁䅁䅅䅁䙁䩁婱婭婭㥯䅰䍄䉁䅁䅁杂䅁䅁䅍䅁䅁䅁䅯䅁䅁䅁䅯䅒䅳䅁䅕䅁䅁䝁䍂唯䭁䵁䠰䅁䙁䅁䅁䅁䅁䅁䅁允䅁䅁䅅䅁䙁䉁䘫⼶䙈䔰䉴䍄䉁䅁䅁兂䅁䅁䅍䅁䅁䅁䅕䅁䅁䅁睄啣䭁䕁䱑䅁䙁䅁䅁䅁杄⽺䅴权乄睂䅁允䅁䅁䅅䅁䙁䍁睇瑣䄴䠹䉒䍄䉁䅁䅁杂䅁䅁䅍䅁䅁䅁䅯䅁䅁䅁䅯䅒䅳䅁䅕䅁䅁䉁䕂唯䭁䝁䉫䅁䭁䍁䅅䅁䉁䅁䅁允䅁䅁䅕椹捨㙪祙䔸䵁䅉䅅䅁䝁䅁䅁睁䅁䅁䅁权䅁䅁䅁权䕂睃䅁兂䅁䅁䅁䕯㥔䅑䅯睚䅅䅁䅕䅁䅁䅁䅁䕅䉁䅁䅁允䅁䅁䅕䅁䅁䅁䅁䅁䵁䅉䅅䅁䝁䅁䅁睁䅁䅁䅁权䅁䅁䅁权䕂睃䅁权牁䅁䅁权潂允䅁权桁䅁䅁允䅁䅁䅅䅁䙁䵁杕䡳杊㥰䅰䍄䉁䅁䅁杂䅁䅁䅍䅁䅁䅁䅯䅁䅁䅁䅯䅒䅳䅁䅕䅁䅁䝁䍂唯䭁䵁䠰䅁䙁䅁䅁䅁䅁偁⽁允䅁䅁䅅䅁䙁䅁䅁䅁䅁䅁䅁䍄䉁䅁䅁杂䅁䅁䅍䅁䅁䅁䅯䅁䅁䅁䅯䅒䅳䅁䅕䅁䅁䥁䑂唯䭁䑁䅁䅁䭁䍁䅅䅁䉁䅁䅁允䅁䅁䅕瑃橥䙣⽖ぅ䵅䅉䅅䅁䕁䅁䅁睁䅁䅁䅁权䅁䅁䅁权䩂权䅁权䍁䅁䅁允䅁䅁䅅䅁䭁䕁䭳䅁䵁䅉䅅䅁䝁䅁䅁睁䅁䅁䅁权䅁䅁䅁权䕂睃䅁兂䅁䅁䅁䕙㥌䅑䅯杂䅁䅁䅕䅁䅁䅁䅁䕅䉁䅁䅁允䅁䅁䅕䅁䅁䅁䅁䅁䵁䅉䅅䅁䑁䅁䅁睁䑁䅁䅁兂䅁䅁䅁偁硂䅑䅕䅁䅁䡁䍁欯䉁䅁䅁允䅁䅁䅯朶䅙䅁杷允䅁䅁䅙䅁䑁䅁䅁䅁䭁䅁䅁䅁䭁䕁䱑䅁䙁䅁䅁䅁杂癑䄱权乄睂䅁兂䅁䅁䅁䅁䅁䅑䅅䅁䉁䅁䅁兂䅁䅁䅁䅁䅁䅁杷允䅁䅁䅙䅁䑁䅁䅁䅁䭁䅁䅁䅁䭁䕁䱑䅁䙁䅁䅁䅁杂癑䄱权乄睂䅁兂䅁䅁䅁䅁䥁䅑䅅䅁䉁䅁䅁兂䅁䅁䅁䅁䅁䅁杷允䅁䅁䅙䅁䑁䅁䅁䅁䭁䅁䅁䅁䭁䕁䱑䅁䙁䅁䅁䅁䅃⽑䄱权䝁䅁䅁兂䅁䅁䅁䅁睄睐䅅䅁䉁䅁䅁兂䅁䅁䅁䅁䅁䅁杷允䅁䅁䅙䅁䑁䅁䅁䅁䭁䅁䅁䅁䭁䕁䱑䅁䙁䅁䅁䅁杄癒䄱权灂允䅁兂䅁䅁䅁䅁䅁䅁䅅䅁䉁䅁䅁兂䅁䅁䅁䅁䅁䅁杷允䅁䅁䅙䅁䑁䅁䅁䅁䭁䅁䅁䅁䭁䕁䱑䅁䙁䅁䅁䅁䅃⽑䄱权灂允䅁兂䅁䅁䅁䅁䥁䅑䅅䅁䉁䅁䅁兂䅁䅁䅁䅁䅁䅁杷允䅁䅁䅙䅁䑁䅁䅁䅁䭁䅁䅁䅁䭁䕁䱑䅁䙁䅁䅁䅁允偒䄱权睁䅁䅁兂䅁䅁䅁䅁啁䅑䅅䅁䉁䅁䅁兂䅁䅁䅁䅁䅁䅁杷允䅁䅁䅑䅁䑁䅁䅁䅁䭁䅁䅁䅁䭁乁丰䅁䭁䅁䅉䅁䉁䅁䅁允䅁䅁䅯朳䄰䅁杷允䅁䅁䅙䅁䑁䅁䅁䅁䭁䅁䅁䅁䭁䕁䱑䅁䙁䅁䅁䅁杂癑䄱权湂允䅁兂䅁䅁䅁䅁䅁䅑䅅䅁䉁䅁䅁兂䅁䅁䅁䅁䅁䅁杷允䅁䅁䅙䅁䑁䅁䅁䅁䭁䅁䅁䅁䭁䕁䱑䅁䭁䅁䅑䅁䭁䝁䉧䅁䭁䅁䅑䅁䉁䅁䅁允䅁䅁䅯䅂䅁䅁杷允䅁䅁䅍䅁䑁䅁䅍䅁䙁䅁䅁䅁䅁䠸䅆兂䅁䅁䅁䡷义兑䅅䅁䉁䅁䅁权浂兆䅁䍄䉁䅁䅁䅂䅁䅁䅍䅁䅁䅁䅯䅁䅁䅁䅯砸䅉䅁䅯杁䅁䅁䅅䅁䉁䅁䅁权い杅䅁䍄䉁䅁䅁兂䅁䅁䅍䅁䅁䅁䅕䅁䅁䅁睄啣䭁䕁䱑䅁䙁䅁䅁䅁㑃杣䈱权睁䅁䅁允䅁䅁䅅䅁䙁䱁婭䝷畍睄䅊䍄䉁䅁䅁兂䅁䅁䅍䅁䅁䅁䅕䅁䅁䅁睄啣䭁䕁䱑䅁䙁䅁䅁䅁元督䈱权湂允䅁允䅁䅁䅅䅁䙁䑁⬹啊䙡樴䅌䍄䉁䅁䅁杂䅁䅁䅍䅁䅁䅁䅯䅁䅁䅁䅯䅒䅳䅁䅕䅁䅁䵁䙂唯䭁䝁䉫䅁䙁䅁䅁䅁䅁偁⽁允䅁䅁䅅䅁䙁䥁牘払䱨穕䈱䍄䉁䅁䅁杂䅁䅁䅍䅁䅁䅁䅯䅁䅁䅁䅯䅒䅳䅁䅕䅁䅁䝁䍂唯䭁䵁䠰䅁䙁䅁䅁䅁䅁䉁䅂允䅁䅁䅅䅁䙁䅁䅁䅁䅁䅁䅁䍄䉁䅁䅁兂䅁䅁䅍䅁䅁䅁䅕䅁䅁䅁睄啣䭁䕁䱑䅁䙁䅁䅁䅁䅁⼳䅴权灂允䅁允䅁䅁䅅䅁䙁佁㙆䭆䠴扫䅒䍄䉁䅁䅁杂䅁䅁䅍䅁䅁䅁䅯䅁䅁䅁䅯䅒䅳䅁䅕䅁䅁䥁䑂唯䭁䝁䉧䅁䙁䅁䅁䅁䅁䉁䅂允䅁䅁䅅䅁䙁䅁䅁䅁䅁䅁䅁䍄䉁䅁䅁䅃䅁䅁䅍䅁䅁䅁䅯䅁䅁䅁䅯䅒䅳䅁䅕䅁䅁䱁㥂唯䭁䝁䉧䅁䭁䱁䅑䅁䭁䅁䅑潁䭁䍁䜸䅁䉁䅁䅁允䅁䅁䅕䅁䅁䅁䅁䅁䵁䅉䅅䅁䝁䅁䅁睁䅁䅁䅁权䅁䅁䅁权䕂睃䅁兂䅁䅁䅁䕙㥌䅑䅯睚䅅䅁䅕䅁䅁䅁䅁䕅䉁䅁䅁允䅁䅁䅕䅁䅁䅁䅁䅁䵁䅉䅅䅁䙁䅁䅁睁䅁䅁䅁兂䅁䅁䅁偁硂䅑䅯䅒䅳䅁䅕䅁䅁䑁穂啄䭅䝁䉫䅁䉁䅁䅁允䅁䅁䅕浚浚浚浚啖䵁䅉䅅䅁䝁䅁䅁睁䅁䅁䅁权䅁䅁䅁权䕂睃䅁兂䅁䅁䅁䕅㥔䅑䅯䅡䅅䅁䅕䅁䅁䅁䅁䕃䉁䅁䅁允䅁䅁䅕䅁䅁䅁䅁䅁䵁䅉䅅䅁䝁䅁䅁睁䅁䅁䅁权䅁䅁䅁权䕂睃䅁兂䅁䅁䅁䕕㥢䅑䅯兺䅣䅁䅕䅁䅁䅁䅁䕆䉁䅁䅁允䅁䅁䅕䅁䅁䅁䅁䅁䵁䅉䅅䅁䝁䅁䅁睁䅁䅁䅁权䅁䅁䅁权䕂睃䅁兂䅁䅁䅁䕅㥔䅑䅯兡䅅䅁䅕䅁䅁䅁䅁䅁䉁䅁䅁允䅁䅁䅕椹捨㙪祙䔸䵁䅉䅅䅁䥁䅁䅁睁䅁䅁䅁权䅁䅁䅁权䕂睃䅁兂䅁䅁䅁䡳㤳䅑䅯兡䅅䅁䅯䅭䅁䅁䅯䅂䍁䅧䅯睌䅙䅁䅅䅁䉁䅁䅁兂䅁䅁䅁䅁䅁䅁杷允䅁䅁䅙䅁䑁䅁䅁䅁䭁䅁䅁䅁䭁䕁䱑䅁䙁䅁䅁䅁䅃⽑䄱权睁䅁䅁兂䅁䅁䅁䅁䅁䅑䅅䅁䉁䅁䅁兂⭁瑃橥䑣㔱䅑杷允䅁䅁䅙䅁䑁䅁䅁䅁䭁䅁䅁䅁䭁䕁䱑䅁䙁䅁䅁䅁允偒䄱权灂允䅁兂䅁䅁䅁䅁䥁䅑䅅䅁䉁䅁䅁兂䅁䅁䅁䅁䅁䅁杷允䅁䅁䅧䅁䑁䅁䅁䅁䭁䅁䅁䅁䭁䕁䱑䅁䙁䅁䅁䅁睃晦䄱权潂允䅁权楄䅁䅁权䕁䅁䅋权癁杂䅁允䅁䅁䅅䅁䙁䅁䅁䅁䅁䅁䅁䍄䉁䅁䅁䅂䅁䅁䅍䅁䅁䅁䅯䅁䅁䅁䅯眲䅯䅁䅯杁䅁䅁䅅䅁䉁䅁䅁权捄权䅁䍄䉁䅁䅁杂䅁䅁䅍䅁䅁䅁䅯䅁䅁䅁䅯䅒䅳䅁䅕䅁䅁䵁䙂唯䭁䝁䉣䅁䙁䅁䅁䅁䅁䉁䅂允䅁䅁䅅䅁䙁䙁㑋潈䱘㜲䄵䍄䉁䅁䅁䅃䅁䅁䅍䅁䅁䅁䅯䅁䅁䅁䅯䅒䅳䅁䅕䅁䅁䱁㥂唯䭁䅁䅙䅁䭁佁䅯䅁䭁䅁䅑潁䭁䍁䜸䅁䉁䅁䅁允䅁䅁䅕䅁䅁䅁䅁䅁䵁䅉䅅䅁䕁䅁䅁睁䅁䅁䅁权䅁䅁䅁权婁睃䅁权䍁䅁䅁允䅁䅁䅅䅁䭁䉁䱯䅁䵁䅉䅅䅁䝁䅁䅁睁䅁䅁䅁权䅁䅁䅁权䕂睃䅁兂䅁䅁䅁䕙㥌䅑䅯兺䅣䅁䅕䅁䅁䅁䅁䕆䉁䅁䅁允䅁䅁䅕䅁䅁䅁䅁䅁䵁䅉䅅䅁䕁䅁䅁睁䅁䅁䅁权䅁䅁䅁权硃䅃䅁权䍁䅁䅁允䅁䅁䅅䅁䭁䱁䥉䅁䵁䅉䅅䅁䕁䅁䅁睁䅁䅁䅁权䅁䅁䅁权坁兄䅁权䍁䅁䅁允䅁䅁䅅䅁䭁䉁乣䅁䵁䅉䅅䅁䝁䅁䅁睁䅁䅁䅁权䅁䅁䅁权䕂睃䅁兂䅁䅁䅁䕯㥔䅑䅯䅡䅅䅁䅕䅁䅁䅁䅁䕆䉁䅁䅁允䅁䅁䅕䅁䅁䅁䅁䅁䵁䅉䅅䅁䥁䅁䅁睁䅁䅁䅁权䅁䅁䅁权䕂睃䅁兂䅁䅁䅁䡳㤳䅑䅯䅡䅅䅁䅯杳䅁䅁䅯䅂䍁䅧䅯睌䅙䅁䅅䅁䉁䅁䅁兂乃㉬礴潇睯兑杷允䅁䅁䅙䅁䑁䅁䅁䅁䭁䅁䅁䅁䭁䕁䱑䅁䙁䅁䅁䅁䅃⽑䄱权䝁䅁䅁权桁䅁䅁允䅁䅁䅅䅁䙁䅁䅁䥁扂刹䉬䍄䉁䅁䅁兂䅁䅁䅍䅁䅁䅁䅕䅁䅁䅁睄啣䭁䕁䱑䅁䙁䅁䅁䅁元瘳䅴权䝁䅁䅁允䅁䅁䅅䅁䙁䩁瑌偦畦汦䉎䍄䉁䅁䅁杂䅁䅁䅍䅁䅁䅁䅯䅁䅁䅁䅯䅒䅳䅁䅕䅁䅁佁䝂唯䭁䝁䉫䅁䭁䍁䅅䅁䉁䅁䅁允䅁䅁䅕䅁䅁䅁䅁䅁䵁䅉䅅䅁䙁䅁䅁睁䅁䅁䅁兂䅁䅁䅁偁硂䅑䅯䅒䅳䅁䅕䅁䅁䝁穨啄䭅䝁䉫䅁䉁䅁䅁允䅁䅁䅯条䅅䅁杷允䅁䅁䅙䅁䑁䅁䅁䅁䭁䅁䅁䅁䭁䕁䱑䅁䙁䅁䅁䅁睄癑䄱权灂允䅁兂䅁䅁䅁䅁睄睐䅅䅁䉁䅁䅁兂䅁䅁䅁䅁䅁䅁杷允䅁䅁䅙䅁䑁䅁䅁䅁䭁䅁䅁䅁䭁䕁䱑䅁䙁䅁䅁䅁兂癒䄱权䝁䅁䅁兂䅁䅁䅁䅁啁䅑䅅䅁䉁䅁䅁权䡁䅁䅁䍄䉁䅁䅁睁䅁䅁䅍睁䅁䅁䅕䅁䅁䅁睄啣䙁䅁䅁䅁䅁癆䄵允䅁䅁䅅䅁䭁䅁䡙䅁䵁䅉䅅䅁䙁䅁䅁睁䅁䅁䅁兂䅁䅁䅁偁硂䅑䅯䅒䅳䅁䅕䅁䅁䵁祂啄䭅䝁䉣䅁䉁䅁䅁允䅁䅁䅕灌䕱敷䝴䕪䵁䅉䅅䅁䥁䅁䅁睁䅁䅁䅁权䅁䅁䅁权䕂睃䅁兂䅁䅁䅁䡳㤳䅑䅯睚䅅䅁䅯䅴䅁䅁䅯䅂䍁䅧䅯睌䅙䅁䅅䅁䉁䅁䅁兂䅁䅁䅁䅁䅁䅁杷允䅁䅁䅙䅁䑁䅁䅁䅁䭁䅁䅁䅁䭁䕁䱑䅁䙁䅁䅁䅁睄癑䄱权湂允䅁兂䅁䅁䅁䅁䅁䅁䅅䅁䉁䅁䅁兂䑄匹捧煪橍兑杷允䅁䅁䅧䅁䑁䅁䅁䅁䭁䅁䅁䅁䭁䕁䱑䅁䙁䅁䅁䅁睃晦䄱权湂允䅁权䥄䅁䅁权䕁䅁䅋权癁杂䅁允䅁䅁䅅䅁䙁佁兢汉扶剳䈵䍄䉁䅁䅁杂䅁䅁䅍䅁䅁䅁䅯䅁䅁䅁䅯䅒䅳䅁䅕䅁䅁䥁䑂唯䭁䝁䉣䅁䙁䅁䅁䅁䅁䅁䅨允䅁䅁䅅䅁䙁䅁䅁䅁䅁䅁䅁䍄䉁䅁䅁杂䅁䅁䅍䅁䅁䅁䅯䅁䅁䅁䅯䅒䅳䅁䅕䅁䅁䉁䕂唯䭁䑁䅁䅁䙁䅁䅁䅁䅁䅁䅂允䅁䅁䅅䅁䙁䅁䅁䅁䅁䅁䅁䍄䉁䅁䅁䅂䅁䅁䅍䅁䅁䅁䅕䅁䅁䅁睄啣䭁䕁䱑䅁䙁䅁䅁䅁睄偰䄱允䅁䅁䅅䅁䭁䕁䱫䅁䵁䅉䅅䅁䝁䅁䅁睁䅁䅁䅁权䅁䅁䅁权䕂睃䅁兂䅁䅁䅁䕅㥔䅑䅯䅡䅅䅁䅯光䅁䅁䅅䅁䉁䅁䅁兂䕁杖琴䩴㠷䅑杷允䅁䅁䅙䅁䑁䅁䅁䅁䭁䅁䅁䅁䭁䕁䱑䅁䙁䅁䅁䅁杄癒䄱权䝁䅁䅁兂䅁䅁䅁䅁䥁䅑䅅䅁䉁䅁䅁兂䅁䅁䅁䅁䅁䅁杷允䅁䅁䅕䅁䑁䅁䅁䅁䙁䅁䅁䅁䅁䠸䅆权䕂睃䅁兂䅁䅁䅁乁㝄䅑䅯䅡䅅䅁䅅䅁䉁䅁䅁兂䅂噎愵圷睫兑杷允䅁䅁䅙䅁䑁䅁䅁䅁䭁䅁䅁䅁䭁䕁䱑䅁䙁䅁䅁䅁杂癑䄱权灂允䅁兂䅁䅁䅁䅁䥁䅑䅅䅁䉁䅁䅁兂䅁䅁䅁䅁䅁䅁杷允䅁䅁䅙䅁䑁䅁䅁䅁䭁䅁䅁䅁䭁䕁䱑䅁䙁䅁䅁䅁䅄晒䄱权潂允䅁兂䅁䅁䅁䅁啁䅑䅅䅁䉁䅁䅁兂䑄匹捨ㅢづ䅑杷允䅁䅁䅍䅁䑁䅁䅍䅁䙁䅁䅁䅁䅁䠸䅆兂䅁䅁䅁䄸⭢䅑䅅䅁䉁䅁䅁权䡁睂䅁䍄䉁䅁䅁杂䅁䅁䅍䅁䅁䅁䅯䅁䅁䅁䅯䅒䅳䅁䅯睋䅁䅁䅯䅡䅅䅁䅕䅁䅁䅁䅁䕃䉁䅁䅁允䅁䅁䅕䅁䅁䅁䅁䅁䵁䅉䅅䅁䝁䅁䅁睁䅁䅁䅁权䅁䅁䅁权䕂睃䅁权牁䅁䅁权灂允䅁兂䅁䅁䅁䅁䅁䅁䅅䅁䉁䅁䅁兂䅁䅁䅁䅁䅁䅁杷允䅁䅁䅙䅁䑁䅁䅁䅁䭁䅁䅁䅁䭁䕁䱑䅁䙁䅁䅁䅁睄癑䄱权湂允䅁兂䅁䅁䅁䅁允䅑䅅䅁䉁䅁䅁兂䅁䅁䅁䅁䅁䅁杷允䅁䅁䅙䅁䑁䅁䅁䅁䭁䅁䅁䅁䭁䕁䱑䅁䭁䍁䅳䅁䭁䵁䠰䅁䙁䅁䅁䅁䅁䅁䅁允䅁䅁䅅䅁䙁䍁䝕婧橖㥭䄹䍄䉁䅁䅁䅂䅁䅁䅍䅁䅁䅁䅯䅁䅁䅁䅯䅡䅧䅁䅯杁䅁䅁䅅䅁䉁䅁䅁权灂䅃䅁䍄䉁䅁䅁杂䅁䅁䅍䅁䅁䅁䅯䅁䅁䅁䅯䅒䅳䅁䅕䅁䅁偁䍂唯䭁䵁䠰䅁䭁䍁䅅䅁䉁䅁䅁允䅁䅁䅕余兘癉ずえ䵅䅉䅅䅁䕁䅁䅁睁䅁䅁䅁权䅁䅁䅁权奄元䅁权䍁䅁䅁允䅁䅁䅅䅁䭁乁䩯䅁䵁䅉䅅䅁䙁䅁䅁睁䅁䅁䅁兂䅁䅁䅁偁硂䅑䅯䅒䅳䅁䅕䅁䅁乁敄〫䭁䑁䅁䅁䉁䅁䅁允䅁䅁䅕乐倹啔兑け䵅䅉䅅䅁䝁䅁䅁睁䅁䅁䅁权䅁䅁䅁权䕂睃䅁兂䅁䅁䅁䕕㥢䅑䅯兺䅣䅁䅕䅁䅁䅁䅁䕅䉁䅁䅁允䅁䅁䅕䅁䅁䅁䅁䅁䵁䅉䅅䅁䕁䅁䅁睁䅁䅁䅁权䅁䅁䅁权㍄䅃䅁权䍁䅁䅁允䅁䅁䅅䅁䭁偁䥫䅁䵁䅉䅅䅁䝁䅁䅁睁䅁䅁䅁权䅁䅁䅁权䕂睃䅁兂䅁䅁䅁䕧㥐䅑䅯睚䅅䅁䅕䅁䅁䅁䅁䅁䉁䅁䅁允䅁䅁䅕楁䡵湆前欯䵁䅉䅅䅁䝁䅁䅁睁䅁䅁䅁权䅁䅁䅁权䕂睃䅁兂䅁䅁䅁䕧㥐䅑䅯睚䅅䅁䅕䅁䅁䅁䅁䕆䉁䅁䅁允䅁䅁䅕䅁䅁䅁䅁䅁䵁䅉䅅䅁䥁䅁䅁睁䅁䅁䅁权䅁䅁䅁权䕂睃䅁兂䅁䅁䅁䡳㤳䅑䅯睚䅅䅁䅯朲䅁䅁䅯䅂䍁䅧䅯睌䅙䅁䅅䅁䉁䅁䅁权䕁䅁䅁䍄䉁䅁䅁䅂䅁䅁䅍䅁䅁䅁䅯䅁䅁䅁䅯硸䅁䅁䅯杁䅁䅁䅅䅁䉁䅁䅁权䥄䅅䅁䍄䉁䅁䅁杂䅁䅁䅍䅁䅁䅁䅯䅁䅁䅁䅯䅒䅳䅁䅯䅂䅁䅁䅯杂䅁䅁䅯䅂䅁䅁䅅䅁䉁䅁䅁权䕁䅁䅁䍄䉁䅁䅁杂䅁䅁䅍䅁䅁䅁䅯䅁䅁䅁䅯䅒䅳䅁䅕䅁䅁䙁䝂唯䭁䝁䉫䅁䭁䍁䅅䅁䉁䅁䅁允䅁䅁䅯睂䅁䅁杷允䅁䅁䅙䅁䑁䅁䅁䅁䭁䅁䅁䅁䭁䕁䱑䅁䙁䅁䅁䅁䅃⽑䄱权乄睂䅁权桁䅁䅁允䅁䅁䅅䅁䙁䥁䉬余㉘晪䅎䍄䉁䅁䅁杂䅁䅁䅍䅁䅁䅁䅯䅁䅁䅁䅯䅒䅳䅁䅕䅁䅁䙁䝂唯䭁䅁䅙䅁䙁䅁䅁䅁䅁䅁䅁允䅁䅁䅅䅁䭁䅁䅣䅁䵁䅉䅅䅁䝁䅁䅁睁䅁䅁䅁权䅁䅁䅁权䕂睃䅁兂䅁䅁䅁䔴㥢䅑䅯兡䅅䅁䅕䅁䅁䅁䅁䕁䉁䅁䅁允䅁䅁䅕䅁䅁䅁䅁䅁䵁䅉䅅䅁䝁䅁䅁睁䅁䅁䅁权䅁䅁䅁权䕂睃䅁兂䅁䅁䅁䕧㥐䅑䅯睚䅅䅁䅯光䅁䅁䅅䅁䉁䅁䅁兂㑄⭕汏噴⭈䅑杷允䅁䅁䅙䅁䑁䅁䅁䅁䭁䅁䅁䅁䭁䕁䱑䅁䙁䅁䅁䅁兂癒䄱权乄睂䅁权桁䅁䅁允䅁䅁䅅䅁䙁䅁䅁䅁䅁䅁䅁䍄䉁䅁䅁杂䅁䅁䅍䅁䅁䅁䅯䅁䅁䅁䅯䅒䅳䅁䅯睋䅁䅁䅯兡䅅䅁䅕䅁䅁䅁䅁䕁䉁䅁䅁允䅁䅁䅕䅁䅁䅁䅁䅁䵁䅉䅅䅁䕁䅁䅁睁䅁䅁䅁权䅁䅁䅁权晄䅃䅁权䍁䅁䅁允䅁䅁䅅䅁䭁佁䥅䅁䵁䅉䅅䅁䙁䅁䅁睁䅁䅁䅁兂䅁䅁䅁偁硂䅑䅯䅒䅳䅁䅕䅁䅁䝁穂啄䭅䑁䅁䅁䉁䅁䅁允䅁䅁䅯条䅅䅁杷允䅁䅁䅙䅁䑁䅁䅁䅁䭁䅁䅁䅁䭁䕁䱑䅁䙁䅁䅁䅁杂癑䄱权潂允䅁兂䅁䅁䅁䅁睄睐䅅䅁䉁䅁䅁兂䅁䅁䅁䅁䅁䅁杷允䅁䅁䅙䅁䑁䅁䅁䅁䭁䅁䅁䅁䭁䕁䱑䅁䙁䅁䅁䅁允偒䄱权湂允䅁兂䅁䅁䅁䅁䅁䅁䅅䅁䉁䅁䅁兂䝂癴㥐牺ご䅑杷允䅁䅁䅑䅁䑁䅁䅁䅁䙁䅁䅁䅁䅁䠸䅆权䕂睃䅁兂䅁䅁䅁䭧㥔䅑䅅䅁䉁䅁䅁权䕁䅁䅁䍄䉁䅁䅁杂䅁䅁䅍䅁䅁䅁䅯䅁䅁䅁䅯䅒䅳䅁䅕䅁䅁䝁䍂唯䭁䝁䉧䅁䙁䅁䅁䅁䅁䅁䅨允䅁䅁䅅䅁䙁䅁䅁䅁䅁䅁䅁䍄䉁䅁䅁杂䅁䅁䅍䅁䅁䅁䅯䅁䅁䅁䅯䅒䅳䅁䅕䅁䅁䉁䕂唯䭁䝁䉣䅁䙁䅁䅁䅁䅁偁⽁允䅁䅁䅅䅁䙁䩁䑚㉩䡹㡹䅰䍄䉁䅁䅁杂䅁䅁䅍䅁䅁䅁䅯䅁䅁䅁䅯䅒䅳䅁䅕䅁䅁䝁䍂唯䭁䑁䅁䅁䭁䉁䅯䅁䉁䅁䅁允䅁䅁䅕塶呓䕑浸歕䵅䅉䅅䅁䥁䅁䅁睁䅁䅁䅁权䅁䅁䅁权䕂睃䅁兂䅁䅁䅁䡳㤳䅑䅯䅡䅅䅁䅯䅶䅁䅁䅯䅂䍁䅧䅯睌䅙䅁䅅䅁䉁䅁䅁兂䅁䅁䅁䅁䅁䅁杷允䅁䅁䅙䅁䑁䅁䅁䅁䭁䅁䅁䅁䭁䕁䱑䅁䙁䅁䅁䅁允偒䄱权湂允䅁兂䅁䅁䅁䅁䅁䅑䅅䅁䉁䅁䅁兂䅁䅁䅁䅁䅁䅁杷允䅁䅁䅙䅁䑁䅁䅁䅁䭁䅁䅁䅁䭁䕁䱑䅁䙁䅁䅁䅁允偒䄱权湂允䅁兂䅁䅁䅁䅁䥁䅑䅅䅁䉁䅁䅁兂䅁䅁䅁䅁䅁䅁杷允䅁䅁䅙䅁䑁䅁䅁䅁䭁䅁䅁䅁䭁䕁䱑䅁䙁䅁䅁䅁杂癑䄱权灂允䅁兂䅁䅁䅁䅁睄睐䅅䅁䉁䅁䅁兂䅁䅁䅁䅁䅁䅁杷允䅁䅁䅙䅁䑁䅁䅁䅁䭁䅁䅁䅁䭁䕁䱑䅁䙁䅁䅁䅁允偒䄱权湂允䅁兂䅁䅁䅁䅁允䅑䅅䅁䉁䅁䅁兂䅁䅁䅁䅁䅁䅁杷允䅁䅁䅧䅁䑁䅁䅁䅁䭁䅁䅁䅁䭁䕁䱑䅁䙁䅁䅁䅁睃晦䄱权潂允䅁权㑄䅁䅁权䕁䅁䅋权癁杂䅁允䅁䅁䅅䅁䙁䙁㘶奓䑸穒䉎䍄䉁䅁䅁杂䅁䅁䅍䅁䅁䅁䅯䅁䅁䅁䅯䅒䅳䅁䅕䅁䅁䉁䕂唯䭁䝁䉣䅁䙁䅁䅁䅁䅁䉁䅒允䅁䅁䅅䅁䙁䅁䅁䅁䅁䅁䅁䍄䉁䅁䅁䅂䅁䅁䅍䅁䅁䅁䅯䅁䅁䅁䅯睫䅧䅁䅯杁䅁䅁䅅䅁䉁䅁䅁权噃䅃䅁䍄䉁䅁䅁杂䅁䅁䅍䅁䅁䅁䅯䅁䅁䅁䅯䅒䅳䅁䅕䅁䅁䝁䍂唯䭁䝁䉫䅁䭁䉁䅯䅁䉁䅁䅁允䅁䅁䅕猱瑖䭨噎啖䵅䅉䅅䅁䝁䅁䅁睁䅁䅁䅁权䅁䅁䅁权䕂睃䅁兂䅁䅁䅁䕕㥢䅑䅯杂䅁䅁䅕䅁䅁䅁䅁䐸䈸䅁䅁允䅁䅁䅯睂䅁䅁杷允䅁䅁䅙䅁䑁䅁䅁䅁䭁䅁䅁䅁䭁䕁䱑䅁䙁䅁䅁䅁兂癒䄱权睁䅁䅁兂䅁䅁䅁䅁睄睐䅅䅁䉁䅁䅁权䡁䅁䅁䍄䉁䅁䅁杂䅁䅁䅍䅁䅁䅁䅯䅁䅁䅁䅯䅒䅳䅁䅕䅁䅁偁䍂唯䭁䝁䉧䅁䙁䅁䅁䅁䅁䅁䅂允䅁䅁䅅䅁䙁䅁䅁䅁䅁䅁䅁䍄䉁䅁䅁杂䅁䅁䅍䅁䅁䅁䅯䅁䅁䅁䅯䅒䅳䅁䅕䅁䅁䉁䕂唯䭁䵁䠰䅁䭁䍁䅅䅁䉁䅁䅁允䅁䅁䅕䅄牉睨桌䔹䵁䅉䅅䅁䙁䅁䅁睁䅁䅁䅁兂䅁䅁䅁偁硂䅑䅯䅒䅳䅁䅕䅁䅁䅁穨啄䭅䝁䉧䅁䉁䅁䅁允䅁䅁䅕䅁䅁䅁䅁䅁䵁䅉䅅䅁䝁䅁䅁睁䅁䅁䅁权䅁䅁䅁权䕂睃䅁兂䅁䅁䅁䕅㥔䅑䅯睚䅅䅁䅯光䅁䅁䅅䅁䉁䅁䅁兂㑃潈牘睐㐷䅑杷允䅁䅁䅧䅁䑁䅁䅁䅁䭁䅁䅁䅁䭁䕁䱑䅁䙁䅁䅁䅁睃晦䄱权睁䅁䅁权婂䅁䅁权䕁䅁䅋权癁杂䅁允䅁䅁䅅䅁䙁䅁䅁䅁䅁䅁䅁䍄䉁䅁䅁䅃䅁䅁䅍䅁䅁䅁䅯䅁䅁䅁䅯䅒䅳䅁䅕䅁䅁䱁㥂唯䭁䝁䉫䅁䭁佁䅑䅁䭁䅁䅑潁䭁䍁䜸䅁䉁䅁䅁允䅁䅁䅯䅂䅁䅁杷允䅁䅁䅙䅁䑁䅁䅁䅁䭁䅁䅁䅁䭁䕁䱑䅁䙁䅁䅁䅁杂癑䄱权睁䅁䅁兂䅁䅁䅁䅁睄睐䅅䅁䉁䅁䅁兂䅁䅁䅁䅁䅁䅁杷允䅁䅁䅙䅁䑁䅁䅁䅁䭁䅁䅁䅁䭁䕁䱑䅁䙁䅁䅁䅁䅃⽑䄱权潂允䅁兂䅁䅁䅁䅁啁䅑䅅䅁䉁䅁䅁兂䅁䅁䅁䅁䅁䅁杷允䅁䅁䅙䅁䑁䅁䅁䅁䭁䅁䅁䅁䭁䕁䱑䅁䙁䅁䅁䅁允偒䄱权潂允䅁兂䅁䅁䅁䅁啁䅑䅅䅁䉁䅁䅁兂䅁䅁䅁䅁䅁䅁杷允䅁䅁䅙䅁䑁䅁䅁䅁䭁䅁䅁䅁䭁䕁䱑䅁䙁䅁䅁䅁杄癒䄱权乄睂䅁兂䅁䅁䅁䅁啁䅑䅅䅁䉁䅁䅁兂䅁䅁䅁䅁䅁䅁杷允䅁䅁䅙䅁䑁䅁䅁䅁䭁䅁䅁䅁䭁䕁䱑䅁䙁䅁䅁䅁睄癑䄱权潂允䅁兂䅁䅁䅁䅁䅁䅁䅅䅁䉁䅁䅁兂䱄啯㉘偰汯兑杷允䅁䅁䅙䅁䑁䅁䅁䅁䭁䅁䅁䅁䭁䕁䱑䅁䙁䅁䅁䅁权偒䄱权湂允䅁兂䅁䅁䅁䅁睄睐䅅䅁䉁䅁䅁兂摁浗㝑⭮䉢䅑杷允䅁䅁䅧䅁䑁䅁䅁䅁䭁䅁䅁䅁䭁䕁䱑䅁䙁䅁䅁䅁睃晦䄱权䝁䅁䅁权䭄䅁䅁权䕁䅁䅋权癁杂䅁允䅁䅁䅅䅁䙁䅁䅁䅁䅁䅁䅁䍄䉁䅁䅁䅃䅁䅁䅍䅁䅁䅁䅯䅁䅁䅁䅯䅒䅳䅁䅕䅁䅁䱁㥂唯䭁䑁䅁䅁䭁䵁䄴䅁䭁䅁䅑潁䭁䍁䜸䅁䉁䅁䅁允䅁䅁䅕䅁䅁䅁䅁䅁䵁䅉䅅䅁䝁䅁䅁睁䅁䅁䅁权䅁䅁䅁权䕂睃䅁兂䅁䅁䅁䕯㥔䅑䅯睚䅅䅁䅕䅁䅁䅁䅁䕁䉁䅁䅁允䅁䅁䅕呣䬰㘱䕎啢䵁䅉䅅䅁䙁䅁䅁睁䅁䅁䅁兂䅁䅁䅁偁硂䅑䅯䅒䅳䅁䅕䅁䅁乁敄〫䭁䝁䉫䅁䉁䅁䅁允䅁䅁䅕牏䥔瑂唯啔䵅䅉䅅䅁䕁䅁䅁睁䅁䅁䅁权䅁䅁䅁权䥃兄䅁权䍁䅁䅁允䅁䅁䅅䅁䭁䥁乯䅁䵁䅉䅅䅁䙁䅁䅁睁䅁䅁䅁兂䅁䅁䅁偁硂䅑䅯䅒䅳䅁䅕䅁䅁䙁穨啄䭅䝁䉧䅁䉁䅁䅁允䅁䅁䅕兪佋煔㥤䕓䵁䅉䅅䅁䝁䅁䅁睁䅁䅁䅁权䅁䅁䅁权䕂睃䅁兂䅁䅁䅁䕧㥐䅑䅯䅡䅅䅁䅯光䅁䅁䅅䅁䉁䅁䅁兂⽃确癯儱㠳䅑杷允䅁䅁䅙䅁䑁䅁䅁䅁䭁䅁䅁䅁䭁䕁䱑䅁䙁䅁䅁䅁权偒䄱权湂允䅁兂䅁䅁䅁䅁䥁䅑䅅䅁䉁䅁䅁兂䅁䅁䅁䅁䅁䅁杷允䅁䅁䅧䅁䑁䅁䅁䅁䭁䅁䅁䅁䭁䕁䱑䅁䙁䅁䅁䅁睃晦䄱权䝁䅁䅁权㑄䅁䅁权䕁䅁䅋权癁杂䅁允䅁䅁䅅䅁䙁䱁䥔橤朶䑲䉆䍄䉁䅁䅁兂䅁䅁䅍䅁䅁䅁䅕䅁䅁䅁睄啣䭁䕁䱑䅁䙁䅁䅁䅁兄瘳䅴权乄睂䅁允䅁䅁䅅䅁䙁䥁坣嘲㤷啵䉚䍄䉁䅁䅁杂䅁䅁䅍䅁䅁䅁䅯䅁䅁䅁䅯䅒䅳䅁䅕䅁䅁䉁䕂唯䭁䝁䉧䅁䙁䅁䅁䅁䅁䅁䅁允䅁䅁䅅䅁䙁䅁坒楄〲癮䅸䍄䉁䅁䅁杂䅁䅁䅍䅁䅁䅁䅯䅁䅁䅁䅯䅒䅳䅁䅕䅁䅁䭁䕂唯䭁䝁䉣䅁䙁䅁䅁䅁䅁䉁䅒允䅁䅁䅅䅁䙁䅁䅁䅁䅁䅁䅁䍄䉁䅁䅁兂䅁䅁䅍䅁䅁䅁䅕䅁䅁䅁睄啣䭁䕁䱑䅁䙁䅁䅁䅁杄杣䈱权湂允䅁允䅁䅁䅅䅁䙁䙁佮䥬卸䌶䅬䍄䉁䅁䅁杂䅁䅁䅍䅁䅁䅁䅯䅁䅁䅁䅯䅒䅳䅁䅕䅁䅁佁䝂唯䭁䅁䅙䅁䙁䅁䅁䅁䅁䅁䅁允䅁䅁䅅䅁䙁䅁䅁䅁䅁䅁䅁䍄䉁䅁䅁杂䅁䅁䅍䅁䅁䅁䅯䅁䅁䅁䅯䅒䅳䅁䅕䅁䅁䭁䕂唯䭁䵁䠰䅁䭁䍁䅅䅁䉁䅁䅁允䅁䅁䅕牘䩰䱦晱歔䵅䅉䅅䅁䝁䅁䅁睁䅁䅁䅁权䅁䅁䅁权䕂睃䅁兂䅁䅁䅁䕷㥘䅑䅯兺䅣䅁䅯光䅁䅁䅅䅁䉁䅁䅁兂塄㍯瑁灏煚兑杷允䅁䅁䅙䅁䑁䅁䅁䅁䭁䅁䅁䅁䭁䕁䱑䅁䙁䅁䅁䅁兂癒䄱权灂允䅁兂䅁䅁䅁䅁啁䅑䅅䅁䉁䅁䅁权䡁䅁䅁䍄䉁䅁䅁杂䅁䅁䅍䅁䅁䅁䅯䅁䅁䅁䅯䅒䅳䅁䅕䅁䅁䙁䝂唯䭁䝁䉧䅁䙁䅁䅁䅁䅁䅁䅁允䅁䅁䅅䅁䭁䅁䅣䅁䵁䅉䅅䅁䝁䅁䅁睁䅁䅁䅁权䅁䅁䅁权䕂睃䅁兂䅁䅁䅁䔴㥢䅑䅯䅍䅁䅁䅯光䅁䅁䅅䅁䉁䅁䅁兂䅁䅁䅁䅁䅁䅁杷允䅁䅁䅙䅁䑁䅁䅁䅁䭁䅁䅁䅁䭁䕁䱑䅁䙁䅁䅁䅁杂癑䄱权灂允䅁兂䅁䅁䅁䅁允䅑䅅䅁䉁䅁䅁兂䅁䅁䅁䅁䅁䅁杷允䅁䅁䅧䅁䑁䅁䅁䅁䭁䅁䅁䅁䭁䕁䱑䅁䙁䅁䅁䅁睃晦䄱权灂允䅁权い䅁䅁权䕁䅁䅋权癁杂䅁允䅁䅁䅅䅁䙁䅁䅁䅁䅁䅁䅁䍄䉁䅁䅁杂䅁䅁䅍䅁䅁䅁䅯䅁䅁䅁䅯䅒䅳䅁䅕䅁䅁䝁䍂唯䭁䝁䉫䅁䙁䅁䅁䅁䅁䅁䅂允䅁䅁䅅䅁䙁䅁䅁䅁䅁䅁䅁䍄䉁䅁䅁䅂䅁䅁䅍䅁䅁䅁䅯䅁䅁䅁䅯睸䅧䅁䅯杁䅁䅁䅅䅁䉁䅁䅁权䩄䅃䅁䍄䉁䅁䅁䅂䅁䅁䅍䅁䅁䅁䅯䅁䅁䅁䅯䉋䅑䅁䅯杁䅁䅁䅅䅁䉁䅁䅁权灁䅆䅁䍄䉁䅁䅁杂䅁䅁䅍䅁䅁䅁䅯䅁䅁䅁䅯䅒䅳䅁䅕䅁䅁䙁䝂唯䭁䝁䉣䅁䙁䅁䅁䅁䅁偁⽁允䅁䅁䅅䅁䭁䅁䅣䅁䵁䅉䅅䅁䥁䅁䅁睁䅁䅁䅁权䅁䅁䅁权䕂睃䅁兂䅁䅁䅁䡳㤳䅑䅯兡䅅䅁䅯䅸䅁䅁䅯䅂䍁䅧䅯睌䅙䅁䅅䅁䉁䅁䅁兂敃㘷浤匱稰兑杷允䅁䅁䅙䅁䑁䅁䅁䅁䭁䅁䅁䅁䭁䕁䱑䅁䙁䅁䅁䅁睄癑䄱权䝁䅁䅁兂䅁䅁䅁䅁䅁䅑䅅䅁䉁䅁䅁兂䅁䅁䅁䅁䅁䅁杷允䅁䅁䅑䅁䑁䅁䅁䅁䭁䅁䅁䅁䭁䡁䥑䅁䭁䅁䅉䅁䉁䅁䅁允䅁䅁䅯杤䅧䅁杷允䅁䅁䅙䅁䑁䅁䅁䅁䭁䅁䅁䅁䭁䕁䱑䅁䙁䅁䅁䅁䅄晒䄱权䝁䅁䅁兂䅁䅁䅁䅁允䅑䅅䅁䉁䅁䅁兂療潅䅐洫丯䅑杷允䅁䅁䅙䅁䑁䅁䅁䅁䭁䅁䅁䅁䭁䕁䱑䅁䭁䅁䅑䅁䭁䝁䉫䅁䭁䅁䅑䅁䉁䅁䅁允䅁䅁䅯䅂䅁䅁杷允䅁䅁䅙䅁䑁䅁䅁䅁䭁䅁䅁䅁䭁䕁䱑䅁䙁䅁䅁䅁睄癑䄱权灂允䅁兂䅁䅁䅁䅁䅁䅁䅅䅁䉁䅁䅁兂汄䌰扉䅘汯兑杷允䅁䅁䅑䅁䑁䅁䅁䅁䭁䅁䅁䅁䭁䵁䩉䅁䭁䅁䅉䅁䉁䅁䅁允䅁䅁䅯䅸䅫䅁杷允䅁䅁䅙䅁䑁䅁䅁䅁䭁䅁䅁䅁䭁䕁䱑䅁䙁䅁䅁䅁允偒䄱权潂允䅁兂䅁䅁䅁䅁䅁䅑䅅䅁䉁䅁䅁兂䅁䅁䅁䅁䅁䅁杷允䅁䅁䅕䅁䑁䅁䅁䅁䙁䅁䅁䅁䅁䠸䅆权䕂睃䅁兂䅁䅁䅁乫㜷䅑䅯䅡䅅䅁䅅䅁䉁䅁䅁兂剄瑉灶奁塖兑杷允䅁䅁䅙䅁䑁䅁䅁䅁䭁䅁䅁䅁䭁䕁䱑䅁䙁䅁䅁䅁睄癑䄱权灂允䅁兂䅁䅁䅁䅁䅁䅑䅅䅁䉁䅁䅁兂䅁䅁䅁䅁䅁䅁杷允䅁䅁䅙䅁䑁䅁䅁䅁䭁䅁䅁䅁䭁䕁䱑䅁䙁䅁䅁䅁睄癑䄱权灂允䅁兂䅁䅁䅁䅁䥁䅑䅅䅁䉁䅁䅁兂䅁䅁䅁䅁䅁䅁杷允䅁䅁䅑䅁䑁䅁䅁䅁䭁䅁䅁䅁䭁䕁䰸䅁䭁䅁䅉䅁䉁䅁䅁允䅁䅁䅯䅕䅳䅁杷允䅁䅁䅕䅁䑁䅁䅁䅁䙁䅁䅁䅁䅁䠸䅆权䕂睃䅁兂䅁䅁䅁䅍⭦䅑䅯兺䅣䅁䅅䅁䉁䅁䅁兂㥂穐敘䥑㥧兑杷允䅁䅁䅙䅁䑁䅁䅁䅁䭁䅁䅁䅁䭁䕁䱑䅁䙁䅁䅁䅁睄癑䄱权灂允䅁兂䅁䅁䅁䅁允䅑䅅䅁䉁䅁䅁兂䅁䅁䅁䅁䅁䅁杷允䅁䅁䅙䅁䑁䅁䅁䅁䭁䅁䅁䅁䭁䕁䱑䅁䙁䅁䅁䅁杂癑䄱权睁䅁䅁兂䅁䅁䅁䅁䅁䅑䅅䅁䉁䅁䅁兂䅁䅁䅁䅁䅁䅁杷允䅁䅁䅙䅁䑁䅁䅁䅁䭁䅁䅁䅁䭁䕁䱑䅁䙁䅁䅁䅁睄癑䄱权潂允䅁兂䅁䅁䅁䅁䥁䅑䅅䅁䉁䅁䅁兂䅁䅁䅁䅁䅁䅁杷允䅁䅁䅙䅁䑁䅁䅁䅁䭁䅁䅁䅁䭁䕁䱑䅁䙁䅁䅁䅁睄癑䄱权灂允䅁权桁䅁䅁允䅁䅁䅅䅁䙁佁兘桉捴楃䉖䍄䉁䅁䅁兂䅁䅁䅍䅁䅁䅁䅕䅁䅁䅁睄啣䭁䕁䱑䅁䙁䅁䅁䅁䅂督䈱权灂允䅁允䅁䅁䅅䅁䙁偁ㄵ䝵湥䈲䄵䍄䉁䅁䅁杂䅁䅁䅍䅁䅁䅁䅯䅁䅁䅁䅯䅒䅳䅁䅕䅁䅁䥁䑂唯䭁䝁䉫䅁䙁䅁䅁䅁䅁䅁䅁允䅁䅁䅅䅁䙁䱁祂䩡婇癦䅸䍄䉁䅁䅁杂䅁䅁䅍䅁䅁䅁䅯䅁䅁䅁䅯䅒䅳䅁䅕䅁䅁䉁䕂唯䭁䑁䅁䅁䙁䅁䅁䅁䅁䉁䅂允䅁䅁䅅䅁䙁䅁䅁䅁䅁䅁䅁䍄䉁䅁䅁䅃䅁䅁䅍䅁䅁䅁䅯䅁䅁䅁䅯䅒䅳䅁䅕䅁䅁䱁㥂唯䭁䵁䠰䅁䭁䵁䅷䅁䭁䅁䅑潁䭁䍁䜸䅁䉁䅁䅁允䅁䅁䅯䅂䅁䅁杷允䅁䅁䅙䅁䑁䅁䅁䅁䭁䅁䅁䅁䭁䕁䱑䅁䙁䅁䅁䅁䅄晒䄱权灂允䅁兂䅁䅁䅁䅁允䅑䅅䅁䉁䅁䅁兂剄瑉㕶桦䱲䅑杷允䅁䅁䅙䅁䑁䅁䅁䅁䭁䅁䅁䅁䭁䕁䱑䅁䙁䅁䅁䅁䅄晒䄱权湂允䅁权桁䅁䅁允䅁䅁䅅䅁䙁䙁偹歷奖㉭䉤䍄䉁䅁䅁杂䅁䅁䅍䅁䅁䅁䅯䅁䅁䅁䅯䅒䅳䅁䅕䅁䅁䙁䝂唯䭁䝁䉣䅁䙁䅁䅁䅁䅁䅁䅨允䅁䅁䅅䅁䭁䅁䅣䅁䵁䅉䅅䅁䕁䅁䅁睁䅁䅁䅁权䅁䅁䅁权䉁权䅁权䍁䅁䅁允䅁䅁䅅䅁䭁䅁䭉䅁䵁䅉䅅䅁䝁䅁䅁睁䅁䅁䅁权䅁䅁䅁权䕂睃䅁兂䅁䅁䅁䔸㥌䅑䅯䅍䅁䅁䅕䅁䅁䅁䅁䅁䉁䅁䅁允䅁䅁䅕渷⽷啎㝔歈䵅䅉䅅䅁䝁䅁䅁睁䅁䅁䅁权䅁䅁䅁权䕂睃䅁兂䅁䅁䅁䔸㥌䅑䅯䅍䅁䅁䅕䅁䅁䅁䅁䕆䉁䅁䅁允䅁䅁䅕䅁䅁䅁䅁䅁䵁䅉䅅䅁䝁䅁䅁睁䅁䅁䅁权䅁䅁䅁权䕂睃䅁兂䅁䅁䅁䕧㥐䅑䅯兡䅅䅁䅕䅁䅁䅁䅁䕁䉁䅁䅁允䅁䅁䅕䅁䅁䅁䅁䅁䵁䅉䅅䅁䕁䅁䅁睁䅁䅁䅁权䅁䅁䅁权歃䅃䅁权䍁䅁䅁允䅁䅁䅅䅁䭁䭁䥕䅁䵁䅉䅅䅁䥁䅁䅁睁䅁䅁䅁权䅁䅁䅁权䕂睃䅁兂䅁䅁䅁䡳㤳䅑䅯兡䅅䅁䅯䅶䅁䅁䅯䅂䍁䅧䅯睌䅙䅁䅅䅁䉁䅁䅁兂䅁䅁䅁䅁䅁䅁杷允䅁䅁䅙䅁䑁䅁䅁䅁䭁䅁䅁䅁䭁䕁䱑䅁䙁䅁䅁䅁杄癒䄱权乄睂䅁兂䅁䅁䅁䅁䅁䅁䅅䅁䉁䅁䅁兂䅁䅁䅁䅁䅁䅁杷允䅁䅁䅙䅁䑁䅁䅁䅁䭁䅁䅁䅁䭁䕁䱑䅁䙁䅁䅁䅁䅃⽑䄱权灂允䅁权桁䅁䅁允䅁䅁䅅䅁䙁䅁塲㍯䡃癶䅸䍄䉁䅁䅁䅂䅁䅁䅍䅁䅁䅁䅯䅁䅁䅁䅯前䅑䅁䅯杁䅁䅁䅅䅁䉁䅁䅁权穁䅆䅁䍄䉁䅁䅁䅂䅁䅁䅍䅁䅁䅁䅯䅁䅁䅁䅯元䅳䅁䅯杁䅁䅁䅅䅁䉁䅁䅁权䱁睃䅁䍄䉁䅁䅁兂䅁䅁䅍䅁䅁䅁䅕䅁䅁䅁睄啣䭁䕁䱑䅁䙁䅁䅁䅁睁晰䄱权䕁䅁䅁允䅁䅁䅅䅁䭁䕁䱣䅁䵁䅉䅅䅁䥁䅁䅁睁䅁䅁䅁权䅁䅁䅁权䕂睃䅁兂䅁䅁䅁䡳㤳䅑䅯䅍䅁䅁䅯睚䅁䅁䅯䅂䍁䅧䅯睌䅙䅁䅅䅁䉁䅁䅁兂䅁䅁䅁䅁䅁䅁杷允䅁䅁䅕䅁䑁䅁䅁䅁䙁䅁䅁䅁䅁䠸䅆权䕂睃䅁兂䅁䅁䅁䅍⭢䅑䅯䅍䅁䅁䅅䅁䉁䅁䅁兂䅁䅁权硇獖兑杷允䅁䅁䅙䅁䑁䅁䅁䅁䭁䅁䅁䅁䭁䕁䱑䅁䙁䅁䅁䅁杄癒䄱权䝁䅁䅁兂䅁䅁䅁䅁睄睐䅅䅁䉁䅁䅁兂䅁䅁䅁䅁䅁䅁杷允䅁䅁䅧䅁䑁䅁䅁䅁䭁䅁䅁䅁䭁䕁䱑䅁䙁䅁䅁䅁睃晦䄱权灂允䅁权楄䅁䅁权䕁䅁䅋权癁杂䅁允䅁䅁䅅䅁䙁䅁䅁䅁䅁䅁䅁䍄䉁䅁䅁杂䅁䅁䅍䅁䅁䅁䅯䅁䅁䅁䅯䅒䅳䅁䅕䅁䅁䉁䕂唯䭁䝁䉫䅁䙁䅁䅁䅁䅁䅁䅂允䅁䅁䅅䅁䙁䅁䅁䅁䅁䅁䅁䍄䉁䅁䅁䅂䅁䅁䅍䅁䅁䅁䅯䅁䅁䅁䅯䄲䅣䅁䅯杁䅁䅁䅅䅁䉁䅁䅁权婄睂䅁䍄䉁䅁䅁兂䅁䅁䅍䅁䅁䅁䅕䅁䅁䅁睄啣䭁䕁䱑䅁䙁䅁䅁䅁元瘳䅴权乄睂䅁允䅁䅁䅅䅁䙁䵁ㅐ䝋穒ㅺ䉚䍄䉁䅁䅁睁䅁䅁䅍睁䅁䅁䅕䅁䅁䅁睄啣䙁䅁䅁䅁䥁督䈱允䅁䅁䅅䅁䭁䡁噅䅁䵁䅉䅅䅁䝁䅁䅁睁䅁䅁䅁权䅁䅁䅁权䕂睃䅁兂䅁䅁䅁䕕㥢䅑䅯䅍䅁䅁䅕䅁䅁䅁䅁䕆䉁䅁䅁允䅁䅁䅯睂䅁䅁杷允䅁䅁䅙䅁䑁䅁䅁䅁䭁䅁䅁䅁䭁䕁䱑䅁䙁䅁䅁䅁䅄晒䄱权䝁䅁䅁兂䅁䅁䅁䅁䅁䅑䅅䅁䉁䅁䅁兂煃搸乊挹卷兑杷允䅁䅁䅙䅁䑁䅁䅁䅁䭁䅁䅁䅁䭁䕁䱑䅁䙁䅁䅁䅁䅄晒䄱权睁䅁䅁兂䅁䅁䅁䅁睄睐䅅䅁䉁䅁䅁兂瑁灳倳氰䉂兑杷允䅁䅁䅙䅁䑁䅁䅁䅁䭁䅁䅁䅁䭁䕁䱑䅁䭁䍁䅳䅁䭁䵁䠰䅁䙁䅁䅁䅁䅁䅁䅂允䅁䅁䅅䅁䙁䅁䅁䅁䅁䅁䅁䍄䉁䅁䅁杂䅁䅁䅍䅁䅁䅁䅯䅁䅁䅁䅯䅒䅳䅁䅕䅁䅁䥁䑂唯䭁䑁䅁䅁䙁䅁䅁䅁䅁䉁䅂允䅁䅁䅅䅁䙁䅁䅁䅁䅁䅁䅁䍄䉁䅁䅁䅃䅁䅁䅍䅁䅁䅁䅯䅁䅁䅁䅯䅒䅳䅁䅕䅁䅁䱁㥂唯䭁䝁䉫䅁䭁佁䅙䅁䭁䅁䅑潁䭁䍁䜸䅁䉁䅁䅁允䅁䅁䅕䅁䅁䅁䅁䅁䵁䅉䅅䅁䝁䅁䅁睁䅁䅁䅁权䅁䅁䅁权䕂睃䅁兂䅁䅁䅁䕅㥔䅑䅯兡䅅䅁䅕䅁䅁䅁䅁䕆䉁䅁䅁允䅁䅁䅕䅁䅁䅁䅁䅁䵁䅉䅅䅁䝁䅁䅁睁䅁䅁䅁权䅁䅁䅁权䕂睃䅁兂䅁䅁䅁䔴㥢䅑䅯兡䅅䅁䅕䅁䅁䅁䅁䕃䉁䅁䅁允䅁䅁䅕䅁䅁䅁䅁䅁䵁䅉䅅䅁䝁䅁䅁睁䅁䅁䅁权䅁䅁䅁权䕂睃䅁兂䅁䅁䅁䕯㥔䅑䅯兡䅅䅁䅕䅁䅁䅁䅁䐸䈸䅁䅁允䅁䅁䅕扉祂䥡捈䔰䵁䅉䅅䅁䝁䅁䅁睁䅁䅁䅁权䅁䅁䅁权䕂睃䅁兂䅁䅁䅁䕕㥢䅑䅯睚䅅䅁䅕䅁䅁䅁䅁䅁䉁䅁䅁允䅁䅁䅯睂䅁䅁杷允䅁䅁䅙䅁䑁䅁䅁䅁䭁䅁䅁䅁䭁䕁䱑䅁䙁䅁䅁䅁䅄晒䄱权潂允䅁兂䅁䅁䅁䅁允䅑䅅䅁䉁䅁䅁兂㉄䙋偹汫䥘䅑杷允䅁䅁䅙䅁䑁䅁䅁䅁䭁䅁䅁䅁䭁䕁䱑䅁䙁䅁䅁䅁兂癒䄱权潂允䅁兂䅁䅁䅁䅁䥁䅑䅅䅁䉁䅁䅁权䡁䅁䅁䍄䉁䅁䅁杂䅁䅁䅍䅁䅁䅁䅯䅁䅁䅁䅯䅒䅳䅁䅯睋䅁䅁䅯䅡䅅䅁䅕䅁䅁䅁䅁䕁䉁䅁䅁允䅁䅁䅕䅁䅁䅁䅁䅁䵁䅉䅅䅁䝁䅁䅁睁䅁䅁䅁权䅁䅁䅁权䕂睃䅁兂䅁䅁䅁䕯㥔䅑䅯兡䅅䅁䅕䅁䅁䅁䅁䕁䉁䅁䅁允䅁䅁䅕䅁䅁䅁䅁䅁䵁䅉䅅䅁䝁䅁䅁睁䅁䅁䅁权䅁䅁䅁权䕂睃䅁兂䅁䅁䅁䕯㥔䅑䅯兡䅅䅁䅕䅁䅁䅁䅁䕃䉁䅁䅁允䅁䅁䅕䅁䅁䅁䅁䅁䵁䅉䅅䅁䝁䅁䅁睁䅁䅁䅁权䅁䅁䅁权䕂睃䅁兂䅁䅁䅁䔴㥢䅑䅯杂䅁䅁䅕䅁䅁䅁䅁䕁䉁䅁䅁允䅁䅁䅕䅁䅁䅁䅁䅁䵁䅉䅅䅁䝁䅁䅁睁䅁䅁䅁权䅁䅁䅁权䕂睃䅁权牁䅁䅁权灂允䅁兂䅁䅁䅁䅁䥁䅑䅅䅁䉁䅁䅁兂䅁䅁䅁䅁䅁䅁杷允䅁䅁䅙䅁䑁䅁䅁䅁䭁䅁䅁䅁䭁䕁䱑䅁䙁䅁䅁䅁权偒䄱权灂允䅁兂䅁䅁䅁䅁啁䅑䅅䅁䉁䅁䅁兂䅁䅁䅁䅁䅁䅁杷允䅁䅁䅙䅁䑁䅁䅁䅁䭁䅁䅁䅁䭁䕁䱑䅁䙁䅁䅁䅁䅄晒䄱权睁䅁䅁兂䅁䅁䅁䅁䅁䅑䅅䅁䉁䅁䅁兂畃⭒㙆汳究䅑杷允䅁䅁䅙䅁䑁䅁䅁䅁䭁䅁䅁䅁䭁䕁䱑䅁䙁䅁䅁䅁杂癑䄱权潂允䅁兂䅁䅁䅁䅁䅁䅁䅅䅁䉁䅁䅁兂穂砱㉉噃坆兑杷允䅁䅁䅍䅁䑁䅁䅍䅁䭁䅁䅁䅁䙁䅁䅁䅁杄癒䄱允䅁䅁䅅䅁䭁乁䡑䅁䵁䅉䅅䅁䝁䅁䅁睁䅁䅁䅁权䅁䅁䅁权䕂睃䅁兂䅁䅁䅁䕙㥌䅑䅯䅡䅅䅁䅕䅁䅁䅁䅁䕁䉁䅁䅁允䅁䅁䅕䅁䅁䅁䅁䅁䵁䅉䅅䅁䝁䅁䅁睁䅁䅁䅁权䅁䅁䅁权䕂睃䅁兂䅁䅁䅁䕧㥐䅑䅯䅡䅅䅁䅕䅁䅁䅁䅁䕁䉁䅁䅁允䅁䅁䅕䅁䅁䅁䅁䅁䵁䅉䅅䅁䥁䅁䅁睁䅁䅁䅁权䅁䅁䅁权䕂睃䅁兂䅁䅁䅁䡳㤳䅑䅯䅍䅁䅁䅯杳䅁䅁䅯䅂䍁䅧䅯睌䅙䅁䅅䅁䉁䅁䅁兂䵂㑎䉮㉭礰兑杷允䅁䅁䅙䅁䑁䅁䅁䅁䭁䅁䅁䅁䭁䕁䱑䅁䙁䅁䅁䅁杂癑䄱权䝁䅁䅁兂䅁䅁䅁䅁啁䅑䅅䅁䉁䅁䅁兂䅁䅁䅁䅁䅁䅁杷允䅁䅁䅙䅁䑁䅁䅁䅁䭁䅁䅁䅁䭁䕁䱑䅁䙁䅁䅁䅁兂癒䄱权乄睂䅁兂䅁䅁䅁䅁䅁䅑䅅䅁䉁䅁䅁兂䅁䅁䅁䅁䅁䅁杷允䅁䅁䅙䅁䑁䅁䅁䅁䭁䅁䅁䅁䭁䕁䱑䅁䙁䅁䅁䅁杂癑䄱权潂允䅁兂䅁䅁䅁䅁允䅑䅅䅁䉁䅁䅁兂䅁䅁䅁䅁䅁䅁杷允䅁䅁䅙䅁䑁䅁䅁䅁䭁䅁䅁䅁䭁䕁䱑䅁䙁䅁䅁䅁权偒䄱权潂允䅁权桁䅁䅁允䅁䅁䅅䅁䙁䙁㡄䝇睮䙌䉊䍄䉁䅁䅁杂䅁䅁䅍䅁䅁䅁䅯䅁䅁䅁䅯䅒䅳䅁䅕䅁䅁䝁䍂唯䭁䝁䉧䅁䙁䅁䅁䅁䅁䉁䅒允䅁䅁䅅䅁䙁䅁䅁䅁䅁䅁䅁䍄䉁䅁䅁杂䅁䅁䅍䅁䅁䅁䅯䅁䅁䅁䅯䅒䅳䅁䅕䅁䅁佁䝂唯䭁䝁䉣䅁䙁䅁䅁䅁䅁偁⽁允䅁䅁䅅䅁䙁䅁䅁䅁䅁䅁䅁䍄䉁䅁䅁䅃䅁䅁䅍䅁䅁䅁䅯䅁䅁䅁䅯䅒䅳䅁䅕䅁䅁䱁㥂唯䭁䅁䅙䅁䭁䵁䅑䅁䭁䅁䅑潁䭁䍁䜸䅁䉁䅁䅁允䅁䅁䅕積積砰㝷啎䵅䅉䅅䅁䝁䅁䅁睁䅁䅁䅁权䅁䅁䅁权䕂睃䅁兂䅁䅁䅁䕙㥌䅑䅯䅡䅅䅁䅯杇䅁䅁䅅䅁䉁䅁䅁兂穂砱㉉噃坆兑杷允䅁䅁䅧䅁䑁䅁䅁䅁䭁䅁䅁䅁䭁䕁䱑䅁䙁䅁䅁䅁睃晦䄱权睁䅁䅁权㙃䅁䅁权䕁䅁䅋权癁杂䅁允䅁䅁䅅䅁䙁䭁䙊癴桏⭪䄵䍄䉁䅁䅁杂䅁䅁䅍䅁䅁䅁䅯䅁䅁䅁䅯䅒䅳䅁䅕䅁䅁䝁䍂唯䭁䅁䅙䅁䭁䉁䅯䅁䉁䅁䅁允䅁䅁䅕穑漷呮匯歔䵅䅉䅅䅁䝁䅁䅁睁䅁䅁䅁权䅁䅁䅁权䕂睃䅁兂䅁䅁䅁䔸㥌䅑䅯䅡䅅䅁䅕䅁䅁䅁䅁䐸䈸䅁䅁允䅁䅁䅕䅁䅁䅁䅁䅁䵁䅉䅅䅁䙁䅁䅁睁䅁䅁䅁兂䅁䅁䅁偁硂䅑䅯䅒䅳䅁䅕䅁䅁䅁穂啄䭅䝁䉫䅁䉁䅁䅁允䅁䅁䅕䅁䅁䅁䅁䐴䴸䅉䅅䅁䙁䅁䅁睁䅁䅁䅁兂䅁䅁䅁偁硂䅑䅯䅒䅳䅁䅕䅁䅁佁祂啄䭅䵁䠰䅁䉁䅁䅁允䅁䅁䅕䜵圯穏獤歋䵁䅉䅅䅁䝁䅁䅁睁䅁䅁䅁权䅁䅁䅁权䕂睃䅁兂䅁䅁䅁䔸㥌䅑䅯䅡䅅䅁䅕䅁䅁䅁䅁䕅䉁䅁䅁允䅁䅁䅕䅁䅁䅁䅁䅁䵁䅉䅅䅁䝁䅁䅁睁䅁䅁䅁权䅁䅁䅁权䕂睃䅁兂䅁䅁䅁䔸㥌䅑䅯䅡䅅䅁䅕䅁䅁䅁䅁䕆䉁䅁䅁允䅁䅁䅕䅁䅁䅁䅁䅁䵁䅉䅅䅁䝁䅁䅁睁䅁䅁䅁权䅁䅁䅁权䕂睃䅁兂䅁䅁䅁䔸㥌䅑䅯䅡䅅䅁䅯光䅁䅁䅅䅁䉁䅁䅁兂䱄啯㉘偰汯兑杷允䅁䅁䅧䅁䑁䅁䅁䅁䭁䅁䅁䅁䭁䕁䱑䅁䙁䅁䅁䅁睃晦䄱权䝁䅁䅁权卄䅁䅁权䕁䅁䅋权癁杂䅁允䅁䅁䅅䅁䙁䅁䅁䅁䅁䅁䅁䍄䉁䅁䅁杂䅁䅁䅍䅁䅁䅁䅯䅁䅁䅁䅯䅒䅳䅁䅕䅁䅁䥁䑂唯䭁䝁䉧䅁䙁䅁䅁䅁䅁䅁䅁允䅁䅁䅅䅁䙁䭁捷浗㥑発䅴䍄䉁䅁䅁杂䅁䅁䅍䅁䅁䅁䅯䅁䅁䅁䅯䅒䅳䅁䅕䅁䅁䥁䑂唯䭁䝁䉧䅁䙁䅁䅁䅁䅁偁⽁允䅁䅁䅅䅁䙁䑁䩥坑汄㑹䄹䍄䉁䅁䅁兂䅁䅁䅍䅁䅁䅁䅕䅁䅁䅁睄啣䭁䕁䱑䅁䙁䅁䅁䅁睁倰䅴权灂允䅁允䅁䅁䅅䅁䙁䅁䅁䅁䅁䅁䅁䍄䉁䅁䅁杂䅁䅁䅍䅁䅁䅁䅯䅁䅁䅁䅯䅒䅳䅁䅕䅁䅁䭁䕂唯䭁䝁䉧䅁䙁䅁䅁䅁䅁䅁䅂允䅁䅁䅅䅁䙁䅁䅁䅁䅁䅁䅁䍄䉁䅁䅁杂䅁䅁䅍䅁䅁䅁䅯䅁䅁䅁䅯䅒䅳䅁䅕䅁䅁䵁䙂唯䭁䝁䉣䅁䙁䅁䅁䅁䅁偁⽁允䅁䅁䅅䅁䙁䵁桵晒歡穷䉨䍄䉁䅁䅁䅃䅁䅁䅍䅁䅁䅁䅯䅁䅁䅁䅯䅒䅳䅁䅕䅁䅁䱁㥂唯䭁䝁䉧䅁䭁乁䅙䅁䭁䅁䅑潁䭁䍁䜸䅁䉁䅁䅁允䅁䅁䅕⽷潕䅘㑐が䵅䅉䅅䅁䙁䅁䅁睁䅁䅁䅁兂䅁䅁䅁偁硂䅑䅯䅒䅳䅁䅕䅁䅁䡁兄〫䭁䅁䅙䅁䉁䅁䅁允䅁䅁䅕䅁䅁䅁䅁䅁䵁䅉䅅䅁䝁䅁䅁睁䅁䅁䅁权䅁䅁䅁权䕂睃䅁兂䅁䅁䅁䕷㥘䅑䅯兡䅅䅁䅕䅁䅁䅁䅁䕆䉁䅁䅁允䅁䅁䅕琵楁㜲捭ひ䵁䅉䅅䅁䝁䅁䅁睁䅁䅁䅁权䅁䅁䅁权䕂睃䅁兂䅁䅁䅁䕧㥐䅑䅯䅡䅅䅁䅕䅁䅁䅁䅁䕃䉁䅁䅁允䅁䅁䅕䅁䅁䅁䅁䅁䵁䅉䅅䅁䝁䅁䅁睁䅁䅁䅁权䅁䅁䅁权䕂睃䅁兂䅁䅁䅁䕅㥔䅑䅯杂䅁䅁䅯光䅁䅁䅅䅁䉁䅁䅁兂婄発呤啃噑兑杷允䅁䅁䅙䅁䑁䅁䅁䅁䭁䅁䅁䅁䭁䕁䱑䅁䙁䅁䅁䅁兂癒䄱权潂允䅁权桁䅁䅁允䅁䅁䅅䅁䭁䅁䅣䅁䵁䅉䅅䅁䝁䅁䅁睁䅁䅁䅁权䅁䅁䅁权䕂睃䅁权牁䅁䅁权乄睂䅁兂䅁䅁䅁䅁啁䅑䅅䅁䉁䅁䅁兂䅁䅁䅁䅁䅁䅁杷允䅁䅁䅙䅁䑁䅁䅁䅁䭁䅁䅁䅁䭁䕁䱑䅁䙁䅁䅁䅁兂癒䄱权乄睂䅁兂䅁䅁䅁䅁䥁䅑䅅䅁䉁䅁䅁兂䅁䅁䅁䅁䅁䅁杷允䅁䅁䅙䅁䑁䅁䅁䅁䭁䅁䅁䅁䭁䕁䱑䅁䙁䅁䅁䅁允偒䄱权潂允䅁兂䅁䅁䅁䅁睄睐䅅䅁䉁䅁䅁兂䅁䅁䅁䅁䅁䅁杷允䅁䅁䅙䅁䑁䅁䅁䅁䭁䅁䅁䅁䭁䕁䱑䅁䙁䅁䅁䅁允偒䄱权潂允䅁兂䅁䅁䅁䅁允䅑䅅䅁䉁䅁䅁兂䅁䅁䅁䅁䅁䅁杷允䅁䅁䅍䅁䑁䅁䅍䅁䙁䅁䅁䅁䅁䠸䅆兂䅁䅁䅁䠴义兑䅅䅁䉁䅁䅁权瑂兆䅁䍄䉁䅁䅁杂䅁䅁䅍䅁䅁䅁䅯䅁䅁䅁䅯䅒䅳䅁䅕䅁䅁偁䍂唯䭁䑁䅁䅁䙁䅁䅁䅁䅁䅁䅂允䅁䅁䅅䅁䙁䅁䅁䅁䅁䅁䅁䍄䉁䅁䅁䅃䅁䅁䅍䅁䅁䅁䅯䅁䅁䅁䅯䅒䅳䅁䅕䅁䅁䱁㥂唯䭁䵁䠰䅁䭁䕁䅫䅁䭁䅁䅑潁䭁䍁䜸䅁䉁䅁䅁允䅁䅁䅕䅁䅁䅁䅁䅁䵁䅉䅅䅁䝁䅁䅁睁䅁䅁䅁权䅁䅁䅁权䕂睃䅁兂䅁䅁䅁䕅㥔䅑䅯杂䅁䅁䅕䅁䅁䅁䅁䐸䈸䅁䅁允䅁䅁䅕䅁䅁䅁䅁䅁䵁䅉䅅䅁䝁䅁䅁睁䅁䅁䅁权䅁䅁䅁权䕂睃䅁兂䅁䅁䅁䔸㥌䅑䅯杂䅁䅁䅯光䅁䅁䅅䅁䉁䅁䅁兂桄桥畓牙捯兑杷允䅁䅁䅙䅁䑁䅁䅁䅁䭁䅁䅁䅁䭁䕁䱑䅁䙁䅁䅁䅁权偒䄱权潂允䅁兂䅁䅁䅁䅁䅁䅁䅅䅁䉁䅁䅁兂噄㈵㕯晉刵兑杷允䅁䅁䅙䅁䑁䅁䅁䅁䭁䅁䅁䅁䭁䕁䱑䅁䙁䅁䅁䅁权偒䄱权睁䅁䅁兂䅁䅁䅁䅁䅁䅑䅅䅁䉁䅁䅁兂䅁䅁䅁䅁䅁䅁杷允䅁䅁䅙䅁䑁䅁䅁䅁䭁䅁䅁䅁䭁䕁䱑䅁䭁䍁䅳䅁䭁䝁䉣䅁䙁䅁䅁䅁䅁偁⽁允䅁䅁䅅䅁䙁䵁㌯⭕乐攫䅒䍄䉁䅁䅁杂䅁䅁䅍䅁䅁䅁䅯䅁䅁䅁䅯䅒䅳䅁䅕䅁䅁䭁䕂唯䭁䝁䉧䅁䙁䅁䅁䅁䅁偁⽁允䅁䅁䅅䅁䙁䡁㥅瑃塥⭚䅤䍄䉁䅁䅁䅃䅁䅁䅍䅁䅁䅁䅯䅁䅁䅁䅯䅒䅳䅁䅕䅁䅁䱁㥂唯䭁䝁䉣䅁䭁䕁䅳䅁䭁䅁䅑潁䭁䍁䜸䅁䉁䅁䅁允䅁䅁䅕䅁䅁䅁䅁䅁䵁䅉䅅䅁䝁䅁䅁睁䅁䅁䅁权䅁䅁䅁权䕂睃䅁兂䅁䅁䅁䕷㥘䅑䅯兡䅅䅁䅕䅁䅁䅁䅁䅁䉁䅁䅁允䅁䅁䅕刷噌㡥䝅䕙䵅䅉䅅䅁䝁䅁䅁睁䅁䅁䅁权䅁䅁䅁权䕂睃䅁兂䅁䅁䅁䕷㥘䅑䅯兡䅅䅁䅕䅁䅁䅁䅁䕁䉁䅁䅁允䅁䅁䅕場啯汲唸欸䵁䅉䅅䅁䝁䅁䅁睁䅁䅁䅁权䅁䅁䅁权䕂睃䅁权牁䅁䅁权䝁䅁䅁兂䅁䅁䅁䅁䥁䅑䅅䅁䉁䅁䅁兂䅁䅁䅁䅁䅁䅁杷允䅁䅁䅙䅁䑁䅁䅁䅁䭁䅁䅁䅁䭁䕁䱑䅁䙁䅁䅁䅁权偒䄱权潂允䅁兂䅁䅁䅁䅁允䅑䅅䅁䉁䅁䅁兂䅁䅁䅁䅁䅁䅁杷允䅁䅁䅑䅁䑁䅁䅁䅁䭁䅁䅁䅁䭁䵁乙䅁䭁䅁䅉䅁䉁䅁䅁允䅁䅁䅯睸䄰䅁杷允䅁䅁䅕䅁䑁䅁䅁䅁䙁䅁䅁䅁䅁䠸䅆权䕂睃䅁兂䅁䅁䅁乣㝄䅑䅯䅡䅅䅁䅅䅁䉁䅁䅁兂䅁䅁䅁䅁䅁䅁杷允䅁䅁䅙䅁䑁䅁䅁䅁䭁䅁䅁䅁䭁䕁䱑䅁䙁䅁䅁䅁杂癑䄱权睁䅁䅁兂䅁䅁䅁䅁䅁䅁䅅䅁䉁䅁䅁兂㥃䩤䅎䝔博兑杷允䅁䅁䅙䅁䑁䅁䅁䅁䭁䅁䅁䅁䭁䕁䱑䅁䙁䅁䅁䅁兂癒䄱权灂允䅁兂䅁䅁䅁䅁允䅑䅅䅁䉁䅁䅁权䡁䅁䅁䍄䉁䅁䅁杂䅁䅁䅍䅁䅁䅁䅯䅁䅁䅁䅯䅒䅳䅁䅕䅁䅁䝁䍂唯䭁䑁䅁䅁䙁䅁䅁䅁䅁䅁䅨允䅁䅁䅅䅁䙁䅁䅁䅁䅁䅁䅁䍄䉁䅁䅁兂䅁䅁䅍䅁䅁䅁䅕䅁䅁䅁睄啣䭁䕁䱑䅁䙁䅁䅁䅁䅁晶䄱权奂杂䅁允䅁䅁䅅䅁䭁䕁䰰䅁䵁䅉䅅䅁䝁䅁䅁睁䅁䅁䅁权䅁䅁䅁权䕂睃䅁兂䅁䅁䅁䕙㥌䅑䅯䅍䅁䅁䅕䅁䅁䅁䅁䕅䉁䅁䅁允䅁䅁䅕䅁䅁䅁䅁䅁䵁䅉䅅䅁䝁䅁䅁睁䅁䅁䅁权䅁䅁䅁权䕂睃䅁兂䅁䅁䅁䕷㥘䅑䅯睚䅅䅁䅕䅁䅁䅁䅁䅁䉁䅁䅁允䅁䅁䅕㝤昶汗䭚䕚䵅䅉䅅䅁䝁䅁䅁睁䅁䅁䅁权䅁䅁䅁权䕂睃䅁兂䅁䅁䅁䔴㥢䅑䅯杂䅁䅁䅯光䅁䅁䅅䅁䉁䅁䅁兂䅁䅁䅁䅁䅁䅁杷允䅁䅁䅙䅁䑁䅁䅁䅁䭁䅁䅁䅁䭁䕁䱑䅁䙁䅁䅁䅁杂癑䄱权睁䅁䅁兂䅁䅁䅁䅁啁䅑䅅䅁䉁䅁䅁兂䅁䅁䅁䅁䅁䅁杷允䅁䅁䅕䅁䑁䅁䅁䅁䙁䅁䅁䅁䅁䠸䅆权䕂睃䅁兂䅁䅁䅁乫㝄䅑䅯兺䅣䅁䅅䅁䉁䅁䅁兂汁潂噇㡓桕兑杷允䅁䅁䅙䅁䑁䅁䅁䅁䭁䅁䅁䅁䭁䕁䱑䅁䭁䍁䅳䅁䭁䑁䅁䅁䙁䅁䅁䅁䅁䅁䅂允䅁䅁䅅䅁䙁䅁䅁䅁䅁䅁䅁䍄䉁䅁䅁䅃䅁䅁䅍䅁䅁䅁䅯䅁䅁䅁䅯䅒䅳䅁䅕䅁䅁䱁㥂唯䭁䝁䉣䅁䭁䵁䄴䅁䭁䅁䅑潁䭁䍁䜸䅁䉁䅁䅁允䅁䅁䅯䅂䅁䅁杷允䅁䅁䅙䅁䑁䅁䅁䅁䭁䅁䅁䅁䭁䕁䱑䅁䙁䅁䅁䅁睄癑䄱权睁䅁䅁兂䅁䅁䅁䅁睄睐䅅䅁䉁䅁䅁兂䅁䅁䅁䅁䅁䅁杷允䅁䅁䅙䅁䑁䅁䅁䅁䭁䅁䅁䅁䭁䕁䱑䅁䭁䍁䅳䅁䭁䅁䅙䅁䙁䅁䅁䅁䅁䅁䅂允䅁䅁䅅䅁䙁䡁焹䡶呔䰳䄱䍄䉁䅁䅁杂䅁䅁䅍䅁䅁䅁䅯䅁䅁䅁䅯䅒䅳䅁䅕䅁䅁佁䝂唯䭁䝁䉣䅁䙁䅁䅁䅁䅁䅁䅂允䅁䅁䅅䅁䙁䅁䅁䅁䅁䅁䅁䍄䉁䅁䅁䅂䅁䅁䅍䅁䅁䅁䅯䅁䅁䅁䅯睖䅫䅁䅯杁䅁䅁䅅䅁䉁䅁䅁权奂元䅁䍄䉁䅁䅁杂䅁䅁䅍䅁䅁䅁䅯䅁䅁䅁䅯䅒䅳䅁䅕䅁䅁偁䍂唯䭁䑁䅁䅁䙁䅁䅁䅁䅁䉁䅂允䅁䅁䅅䅁䙁䅁䅁䅁䅁䅁䅁䍄䉁䅁䅁䅂䅁䅁䅍䅁䅁䅁䅕䅁䅁䅁睄啣䭁䕁䱑䅁䙁䅁䅁䅁睄晡䅸允䅁䅁䅅䅁䭁䕁䱕䅁䵁䅉䅅䅁䝁䅁䅁睁䅁䅁䅁权䅁䅁䅁权䕂睃䅁兂䅁䅁䅁䕯㥔䅑䅯杂䅁䅁䅕䅁䅁䅁䅁䕅䉁䅁䅁允䅁䅁䅕䅁䅁䅁䅁䅁䵁䅉䅅䅁䝁䅁䅁睁䅁䅁䅁权䅁䅁䅁权䕂睃䅁兂䅁䅁䅁䕧㥐䅑䅯䅍䅁䅁䅕䅁䅁䅁䅁䅁䉁䅁䅁允䅁䅁䅕体㙆䅆㕚ぅ䵅䅉䅅䅁䕁䅁䅁睁䅁䅁䅁权䅁䅁䅁权䝄睃䅁权䍁䅁䅁允䅁䅁䅅䅁䭁䵁䱧䅁䵁䅉䅅䅁䙁䅁䅁睁䅁䅁䅁兂䅁䅁䅁偁硂䅑䅯䅒䅳䅁䅕䅁䅁䵁噁欯䭁䝁䉧䅁䉁䅁䅁允䅁䅁䅕氵均瑸䍒稯䴸䅉䅅䅁䝁䅁䅁睁䅁䅁䅁权䅁䅁䅁权䕂睃䅁兂䅁䅁䅁䔴㥢䅑䅯睚䅅䅁䅕䅁䅁䅁䅁䕆䉁䅁䅁允䅁䅁䅕䅁䅁䅁䅁䅁䵁䅉䅅䅁䕁䅁䅁睁䅁䅁䅁权䅁䅁䅁权橂元䅁权䍁䅁䅁允䅁䅁䅅䅁䭁䝁䩑䅁䵁䅉䅅䅁䥁䅁䅁睁䅁䅁䅁权䅁䅁䅁权䕂睃䅁兂䅁䅁䅁䡳㤳䅑䅯兺䅣䅁䅯䄶䅁䅁䅯䅂䍁䅧䅯睌䅙䅁䅅䅁䉁䅁䅁兂䅁䅁䅁䅁䅁䅁杷允䅁䅁䅙䅁䑁䅁䅁䅁䭁䅁䅁䅁䭁䕁䱑䅁䙁䅁䅁䅁䅃⽑䄱权睁䅁䅁兂䅁䅁䅁䅁睄睐䅅䅁䉁䅁䅁兂䅁䅁䅁䅁䅁䅁杷允䅁䅁䅧䅁䑁䅁䅁䅁䭁䅁䅁䅁䭁䕁䱑䅁䙁䅁䅁䅁睃晦䄱权潂允䅁权煄䅁䅁权䕁䅁䅋权癁杂䅁允䅁䅁䅅䅁䙁䅁䅁䅁䅁䅁䅁䍄䉁䅁䅁杂䅁䅁䅍䅁䅁䅁䅯䅁䅁䅁䅯䅒䅳䅁䅕䅁䅁䥁䑂唯䭁䑁䅁䅁䙁䅁䅁䅁䅁䅁䅨允䅁䅁䅅䅁䙁䅁䅁䅁䅁䅁䅁䍄䉁䅁䅁杂䅁䅁䅍䅁䅁䅁䅯䅁䅁䅁䅯䅒䅳䅁䅕䅁䅁䙁䝂唯䭁䝁䉧䅁䙁䅁䅁䅁䅁䉁䅒允䅁䅁䅅䅁䭁䅁䅣䅁䵁䅉䅅䅁䝁䅁䅁睁䅁䅁䅁权䅁䅁䅁权䕂睃䅁兂䅁䅁䅁䕧㥐䅑䅯䅍䅁䅁䅕䅁䅁䅁䅁䕆䉁䅁䅁允䅁䅁䅕䅁䅁䅁䅁䅁䵁䅉䅅䅁䙁䅁䅁睁䑁䅁䅁兂䅁䅁䅁偁硂䅑䅕䅁䅁䅁㥃唯䭁䕁䜸䅁䭁䡁䉯䅁䉁䅁䅁允䅁䅁䅯䅕䅙䅁杷允䅁䅁䅙䅁䑁䅁䅁䅁䭁䅁䅁䅁䭁䕁䱑䅁䙁䅁䅁䅁允偒䄱权睁䅁䅁兂䅁䅁䅁䅁睄睐䅅䅁䉁䅁䅁兂䅁䅁䅁䅁䅁䅁杷允䅁䅁䅙䅁䑁䅁䅁䅁䭁䅁䅁䅁䭁䕁䱑䅁䙁䅁䅁䅁允偒䄱权睁䅁䅁兂䅁䅁䅁䅁䥁䅑䅅䅁䉁䅁䅁兂䅁䅁䅁䅁䅁䅁杷允䅁䅁䅑䅁䑁䅁䅁䅁䭁䅁䅁䅁䭁䉁䩣䅁䭁䅁䅉䅁䉁䅁䅁允䅁䅁䅯䅇䅫䅁杷允䅁䅁䅕䅁䑁䅁䅁䅁䙁䅁䅁䅁䅁䠸䅆权䕂睃䅁兂䅁䅁䅁䡑乍兑䅯䅍䅁䅁䅅䅁䉁䅁䅁兂㕃捭橂杌䌸䅑杷允䅁䅁䅧䅁䑁䅁䅁䅁䭁䅁䅁䅁䭁䕁䱑䅁䙁䅁䅁䅁睃晦䄱权潂允䅁权祄䅁䅁权䕁䅁䅋权癁杂䅁允䅁䅁䅅䅁䙁䅁䅁䅁䅁䅁䅁䍄䉁䅁䅁杂䅁䅁䅍䅁䅁䅁䅯䅁䅁䅁䅯䅒䅳䅁䅕䅁䅁䉁䕂唯䭁䑁䅁䅁䭁䍁䅅䅁䉁䅁䅁允䅁䅁䅕瑃橥䭣䉉歂䵅䅉䅅䅁䕁䅁䅁睁䅁䅁䅁权䅁䅁䅁权㝂元䅁权䍁䅁䅁允䅁䅁䅅䅁䭁䡁䨰䅁䵁䅉䅅䅁䝁䅁䅁睁䅁䅁䅁权䅁䅁䅁权䕂睃䅁兂䅁䅁䅁䕷㥘䅑䅯兺䅣䅁䅕䅁䅁䅁䅁䕆䉁䅁䅁允䅁䅁䅕䘫橐扰㍳ぷ䵁䅉䅅䅁䝁䅁䅁睁䅁䅁䅁权䅁䅁䅁权䕂睃䅁兂䅁䅁䅁䕕㥢䅑䅯兡䅅䅁䅕䅁䅁䅁䅁䐸䈸䅁䅁允䅁䅁䅯睂䅁䅁杷允䅁䅁䅙䅁䑁䅁䅁䅁䭁䅁䅁䅁䭁䕁䱑䅁䙁䅁䅁䅁权偒䄱权睁䅁䅁兂䅁䅁䅁䅁允䅑䅅䅁䉁䅁䅁兂捂㡪ㅌ䥋䅹䅑杷允䅁䅁䅧䅁䑁䅁䅁䅁䭁䅁䅁䅁䭁䕁䱑䅁䙁䅁䅁䅁睃晦䄱权䝁䅁䅁权桂䅁䅁权䕁䅁䅋权癁杂䅁允䅁䅁䅅䅁䙁䅁䅁䅁䅁䅁䅁䍄䉁䅁䅁杂䅁䅁䅍䅁䅁䅁䅯䅁䅁䅁䅯䅒䅳䅁䅕䅁䅁䭁䕂唯䭁䑁䅁䅁䙁䅁䅁䅁䅁䉁䅒允䅁䅁䅅䅁䙁䅁䅁䅁䅁䅁䅁䍄䉁䅁䅁杂䅁䅁䅍䅁䅁䅁䅯䅁䅁䅁䅯䅒䅳䅁䅕䅁䅁䝁䍂唯䭁䅁䅙䅁䙁䅁䅁䅁䅁䅁䅁允䅁䅁䅅䅁䙁䕁⭍䨶⼰欰䈵䍄䉁䅁䅁䅃䅁䅁䅍䅁䅁䅁䅯䅁䅁䅁䅯䅒䅳䅁䅕䅁䅁䱁㥂唯䭁䅁䅙䅁䭁䭁䅧䅁䭁䅁䅑潁䭁䍁䜸䅁䉁䅁䅁允䅁䅁䅕䅁䅁䅁䅁䅁䵁䅉䅅䅁䝁䅁䅁睁䅁䅁䅁权䅁䅁䅁权䕂睃䅁兂䅁䅁䅁䕯㥔䅑䅯杂䅁䅁䅕䅁䅁䅁䅁䐸䈸䅁䅁允䅁䅁䅕積積積祶䔷䵁䅉䅅䅁䝁䅁䅁睁䅁䅁䅁权䅁䅁䅁权䕂睃䅁兂䅁䅁䅁䔴㥢䅑䅯兺䅣䅁䅯光䅁䅁䅅䅁䉁䅁䅁兂䅁䅁䅁䅁䅁䅁杷允䅁䅁䅙䅁䑁䅁䅁䅁䭁䅁䅁䅁䭁䕁䱑䅁䙁䅁䅁䅁杂癑䄱权䝁䅁䅁兂䅁䅁䅁䅁睄睐䅅䅁䉁䅁䅁兂䅁䅁䅁䅁䅁䅁杷允䅁䅁䅕䅁䑁䅁䅁䅁䙁䅁䅁䅁䅁䠸䅆权䕂睃䅁兂䅁䅁䅁丰㜷䅑䅯杂䅁䅁䅅䅁䉁䅁䅁兂浃㡭睒呩䭸兑杷允䅁䅁䅧䅁䑁䅁䅁䅁䭁䅁䅁䅁䭁䕁䱑䅁䙁䅁䅁䅁睃晦䄱权䝁䅁䅁权楄䅁䅁权䕁䅁䅋权癁杂䅁允䅁䅁䅅䅁䙁䅁䅁䅁䅁䅁䅁䍄䉁䅁䅁兂䅁䅁䅍䅁䅁䅁䅕䅁䅁䅁睄啣䭁䕁䱑䅁䙁䅁䅁䅁睂癁䄵权睁䅁䅁允䅁䅁䅅䅁䙁䡁⭥㡮䜵㉏䉴䍄䉁䅁䅁兂䅁䅁䅍䅁䅁䅁䅕䅁䅁䅁睄啣䭁䕁䱑䅁䙁䅁䅁䅁睁⽂䄵权湂允䅁允䅁䅁䅅䅁䙁䙁㘶慓㑷呤䉰䍄䉁䅁䅁杂䅁䅁䅍䅁䅁䅁䅯䅁䅁䅁䅯䅒䅳䅁䅕䅁䅁䝁䍂唯䭁䅁䅙䅁䙁䅁䅁䅁䅁䅁䅂允䅁䅁䅅䅁䙁䅁䅁䅁䅁䅁䅁䍄䉁䅁䅁杂䅁䅁䅍䅁䅁䅁䅯䅁䅁䅁䅯䅒䅳䅁䅕䅁䅁䭁䕂唯䭁䅁䅙䅁䙁䅁䅁䅁䅁䉁䅒允䅁䅁䅅䅁䙁䥁䌯匹捨㑧䅊䍄䉁䅁䅁杂䅁䅁䅍䅁䅁䅁䅯䅁䅁䅁䅯䅒䅳䅁䅕䅁䅁䝁䍂唯䭁䅁䅙䅁䙁䅁䅁䅁䅁䅁䅨允䅁䅁䅅䅁䙁䅁䅁䅁䅁䅁䅁䍄䉁䅁䅁杂䅁䅁䅍䅁䅁䅁䅯䅁䅁䅁䅯䅒䅳䅁䅕䅁䅁䵁䙂唯䭁䑁䅁䅁䙁䅁䅁䅁䅁䅁䅁允䅁䅁䅅䅁䙁䝁䈫佂敪浤䉊䍄䉁䅁䅁䅂䅁䅁䅍䅁䅁䅁䅯䅁䅁䅁䅯睄䅧䅁䅯杁䅁䅁䅅䅁䉁䅁䅁权剁䅃䅁䍄䉁䅁䅁杂䅁䅁䅍䅁䅁䅁䅯䅁䅁䅁䅯䅒䅳䅁䅕䅁䅁偁䍂唯䭁䅁䅙䅁䙁䅁䅁䅁䅁䅁䅁允䅁䅁䅅䅁䙁佁㙆䭆椵桵䉸䍄䉁䅁䅁杂䅁䅁䅍䅁䅁䅁䅯䅁䅁䅁䅯䅒䅳䅁䅕䅁䅁䵁䙂唯䭁䝁䉧䅁䙁䅁䅁䅁䅁䅁䅂允䅁䅁䅅䅁䙁䅁坒楄焳佭䄱䍄䉁䅁䅁杂䅁䅁䅍䅁䅁䅁䅯䅁䅁䅁䅯䅒䅳䅁䅕䅁䅁偁䍂唯䭁䅁䅙䅁䙁䅁䅁䅁䅁䉁䅒允䅁䅁䅅䅁䙁䅁䅁䅁䅁䅁䅁䍄䉁䅁䅁杂䅁䅁䅍䅁䅁䅁䅯䅁䅁䅁䅯䅒䅳䅁䅕䅁䅁䥁䑂唯䭁䅁䅙䅁䙁䅁䅁䅁䅁䅁䅁允䅁䅁䅅䅁䙁䩁䍄匹穨䈸䉬䍄䉁䅁䅁䅂䅁䅁䅍䅁䅁䅁䅯䅁䅁䅁䅯䅊䅫䅁䅯杁䅁䅁䅅䅁䉁䅁䅁权流元䅁䍄䉁䅁䅁杂䅁䅁䅍䅁䅁䅁䅯䅁䅁䅁䅯䅒䅳䅁䅕䅁䅁䵁䙂唯䭁䵁䠰䅁䙁䅁䅁䅁䅁䉁䅂允䅁䅁䅅䅁䙁偁灹搸婉⽵䅰䍄䉁䅁䅁兂䅁䅁䅍䅁䅁䅁䅕䅁䅁䅁睄啣䭁䕁䱑䅁䙁䅁䅁䅁䥂督䈱权乄睂䅁允䅁䅁䅅䅁䙁䅁䅁䅁䅁䉁䅒䍄䉁䅁䅁杂䅁䅁䅍䅁䅁䅁䅯䅁䅁䅁䅯䅒䅳䅁䅕䅁䅁䥁䑂唯䭁䅁䅙䅁䙁䅁䅁䅁䅁䅁䅂允䅁䅁䅅䅁䙁䅁䅁䅁䅁䅁䅁䍄䉁䅁䅁杂䅁䅁䅍䅁䅁䅁䅯䅁䅁䅁䅯䅒䅳䅁䅕䅁䅁䙁䝂唯䭁䝁䉣䅁䙁䅁䅁䅁䅁䉁䅂允䅁䅁䅅䅁䭁䅁䅣䅁䵁䅉䅅䅁䝁䅁䅁睁䅁䅁䅁权䅁䅁䅁权䕂睃䅁兂䅁䅁䅁䕧㥐䅑䅯杂䅁䅁䅕䅁䅁䅁䅁䕆䉁䅁䅁允䅁䅁䅕㡪ㅌ䙋桹っ䵁䅉䅅䅁䝁䅁䅁睁䅁䅁䅁权䅁䅁䅁权䕂睃䅁权牁䅁䅁权湂允䅁权桁䅁䅁允䅁䅁䅅䅁䙁䵁㌯⭕乎改䅴䍄䉁䅁䅁杂䅁䅁䅍䅁䅁䅁䅯䅁䅁䅁䅯䅒䅳䅁䅕䅁䅁䉁䕂唯䭁䅁䅙䅁䙁䅁䅁䅁䅁䅁䅁允䅁䅁䅅䅁䙁乁佮ㄹ䩍䉒䉖䍄䉁䅁䅁䅃䅁䅁䅍䅁䅁䅁䅯䅁䅁䅁䅯䅒䅳䅁䅕䅁䅁䱁㥂唯䭁䅁䅙䅁䭁䵁䅁䅁䭁䅁䅑潁䭁䍁䜸䅁䉁䅁䅁允䅁䅁䅕䅁䅁䅁䅁䅁䵁䅉䅅䅁䝁䅁䅁睁䅁䅁䅁权䅁䅁䅁权䕂睃䅁兂䅁䅁䅁䕕㥢䅑䅯睚䅅䅁䅕䅁䅁䅁䅁䕆䉁䅁䅁允䅁䅁䅯睂䅁䅁杷允䅁䅁䅕䅁䑁䅁䅁䅁䙁䅁䅁䅁䅁䠸䅆权䕂睃䅁兂䅁䅁䅁䡳义兑䅯睚䅅䅁䅅䅁䉁䅁䅁兂浂䥉桗䥸䜰䅑杷允䅁䅁䅍䅁䑁䅁䅍䅁䙁䅁䅁䅁䅁䠸䅆兂䅁䅁䅁䴸㜯䅑䅅䅁䉁䅁䅁权㍁睂䅁䍄䉁䅁䅁杂䅁䅁䅍䅁䅁䅁䅯䅁䅁䅁䅯䅒䅳䅁䅕䅁䅁䵁䙂唯䭁䝁䉧䅁䙁䅁䅁䅁䅁偁⽁允䅁䅁䅅䅁䙁偁⭰瑡⽺樸䉰䍄䉁䅁䅁睁䅁䅁䅍睁䅁䅁䅕䅁䅁䅁睄啣䙁䅁䅁䅁允倰䅴允䅁䅁䅅䅁䭁䑁䡕䅁䵁䅉䅅䅁䝁䅁䅁睁䅁䅁䅁权䅁䅁䅁权䕂睃䅁兂䅁䅁䅁䕅㥔䅑䅯杂䅁䅁䅕䅁䅁䅁䅁䕅䉁䅁䅁允䅁䅁䅕䅁䅁䅁䅁䅁䵁䅉䅅䅁䝁䅁䅁睁䅁䅁䅁权䅁䅁䅁权䕂睃䅁兂䅁䅁䅁䕅㥔䅑䅯杂䅁䅁䅕䅁䅁䅁䅁䕆䉁䅁䅁允䅁䅁䅕䅁䅁䅁䅁䅁䵁䅉䅅䅁䝁䅁䅁睁䅁䅁䅁权䅁䅁䅁权䕂睃䅁兂䅁䅁䅁䕕㥢䅑䅯兡䅅䅁䅕䅁䅁䅁䅁䅁䉁䅁䅁允䅁䅁䅯睂䅁䅁杷允䅁䅁䅧䅁䑁䅁䅁䅁䭁䅁䅁䅁䭁䕁䱑䅁䙁䅁䅁䅁睃晦䄱权湂允䅁权䩂䅁䅁权䕁䅁䅋权癁杂䅁允䅁䅁䅅䅁䙁䅁䅁䅁䅁䅁䅁䍄䉁䅁䅁杂䅁䅁䅍䅁䅁䅁䅯䅁䅁䅁䅯䅒䅳䅁䅕䅁䅁䭁䕂唯䭁䅁䅙䅁䙁䅁䅁䅁䅁䅁䅁允䅁䅁䅅䅁䙁䉁㙲㕊佺䕦䈹䍄䉁䅁䅁睁䅁䅁䅍睁䅁䅁䅕䅁䅁䅁睄啣䙁䅁䅁䅁允⽂䄵允䅁䅁䅅䅁䭁䑁䡙䅁䵁䅉䅅䅁䝁䅁䅁睁䅁䅁䅁权䅁䅁䅁权䕂睃䅁权牁䅁䅁权湂允䅁兂䅁䅁䅁䅁啁䅑䅅䅁䉁䅁䅁兂䅁䅁䅁䅁䅁䅁杷允䅁䅁䅑䅁䑁䅁䅁䅁䭁䅁䅁䅁䭁䕁䥯䅁䭁䅁䅉䅁䉁䅁䅁允䅁䅁䅯睓䅧䅁杷允䅁䅁䅕䅁䑁䅁䅁䅁䙁䅁䅁䅁䅁䠸䅆权䕂睃䅁兂䅁䅁䅁䈴⭘䅑䅯䅡䅅䅁䅅䅁䉁䅁䅁兂摁塤捒坪塑䅑杷允䅁䅁䅙䅁䑁䅁䅁䅁䭁䅁䅁䅁䭁䕁䱑䅁䙁䅁䅁䅁权偒䄱权䝁䅁䅁兂䅁䅁䅁䅁䅁䅑䅅䅁䉁䅁䅁兂䅁䅁䅁䅁䅁䅁杷允䅁䅁䅙䅁䑁䅁䅁䅁䭁䅁䅁䅁䭁䕁䱑䅁䙁䅁䅁䅁䅄晒䄱权乄睂䅁兂䅁䅁䅁䅁䅁䅁䅅䅁䉁䅁䅁兂硁䭃㑷䩴浨兑杷允䅁䅁䅙䅁䑁䅁䅁䅁䭁䅁䅁䅁䭁䕁䱑䅁䙁䅁䅁䅁䅄晒䄱权乄睂䅁兂䅁䅁䅁䅁睄睐䅅䅁䉁䅁䅁兂䝂癴㥎浳㝙兑杷允䅁䅁䅍䅁䑁䅁䅍䅁䙁䅁䅁䅁䅁䠸䅆兂䅁䅁䅁䈰⭘䅑䅅䅁䉁䅁䅁权㙄杂䅁䍄䉁䅁䅁䅂䅁䅁䅍䅁䅁䅁䅕䅁䅁䅁睄啣䭁䕁䱑䅁䙁䅁䅁䅁元偰䄱允䅁䅁䅅䅁䭁䕁䱧䅁䵁䅉䅅䅁䝁䅁䅁睁䅁䅁䅁权䅁䅁䅁权䕂睃䅁兂䅁䅁䅁䕷㥘䅑䅯兺䅣䅁䅕䅁䅁䅁䅁䕁䉁䅁䅁允䅁䅁䅕䵫ㅌ䝋婢〯䵁䅉䅅䅁䥁䅁䅁睁䅁䅁䅁权䅁䅁䅁权䕂睃䅁兂䅁䅁䅁䡳㤳䅑䅯兺䅣䅁䅯朵䅁䅁䅯䅂䍁䅧䅯睌䅙䅁䅅䅁䉁䅁䅁兂䅁䅁䅁䅁䅁䅁杷允䅁䅁䅙䅁䑁䅁䅁䅁䭁䅁䅁䅁䭁䕁䱑䅁䙁䅁䅁䅁䅄晒䄱权湂允䅁兂䅁䅁䅁䅁䅁䅑䅅䅁䉁䅁䅁兂牂䡶呓畹㉐䅑杷允䅁䅁䅙䅁䑁䅁䅁䅁䭁䅁䅁䅁䭁䕁䱑䅁䙁䅁䅁䅁䅄晒䄱权乄睂䅁兂䅁䅁䅁䅁䥁䅑䅅䅁䉁䅁䅁兂䕁杖琴牴浪䅑杷允䅁䅁䅑䅁䑁䅁䅁䅁䭁䅁䅁䅁䭁䥁䭷䅁䭁䅁䅉䅁䉁䅁䅁允䅁䅁䅯兪䅯䅁杷允䅁䅁䅙䅁䑁䅁䅁䅁䭁䅁䅁䅁䭁䕁䱑䅁䙁䅁䅁䅁䅄晒䄱权湂允䅁兂䅁䅁䅁䅁啁䅑䅅䅁䉁䅁䅁兂硁䭃捷煗䄳䅑杷允䅁䅁䅕䅁䑁䅁䅁䅁䙁䅁䅁䅁䅁䠸䅆权䕂睃䅁兂䅁䅁䅁义㝄䅑䅯䅡䅅䅁䅅䅁䉁䅁䅁兂䅁䅁䅁䅁䅁䅁杷允䅁䅁䅙䅁䑁䅁䅁䅁䭁䅁䅁䅁䭁䕁䱑䅁䙁䅁䅁䅁杄癒䄱权灂允䅁兂䅁䅁䅁䅁睄睐䅅䅁䉁䅁䅁兂䅁䅁䅁䅁䅁䅁杷允䅁䅁䅧䅁䑁䅁䅁䅁䭁䅁䅁䅁䭁䕁䱑䅁䙁䅁䅁䅁睃晦䄱权睁䅁䅁权睃䅁䅁权䕁䅁䅋权癁杂䅁允䅁䅁䅅䅁䙁䅁䅁䅁䅁䅁䅁䍄䉁䅁䅁䅃䅁䅁䅍䅁䅁䅁䅯䅁䅁䅁䅯䅒䅳䅁䅕䅁䅁䱁㥂唯䭁䝁䉧䅁䭁乁䄴䅁䭁䅁䅑潁䭁䍁䜸䅁䉁䅁䅁允䅁䅁䅕䅁䅁䅁䅁䅁䵁䅉䅅䅁䝁䅁䅁睁䅁䅁䅁权䅁䅁䅁权䕂睃䅁兂䅁䅁䅁䕯㥔䅑䅯兡䅅䅁䅯光䅁䅁䅅䅁䉁䅁䅁兂㥃獏卤湮呎兑杷允䅁䅁䅙䅁䑁䅁䅁䅁䭁䅁䅁䅁䭁䕁䱑䅁䙁䅁䅁䅁杄癒䄱权湂允䅁兂䅁䅁䅁䅁䅁䅁䅅䅁䉁䅁䅁兂䅁䅁䅁䅁䅁䅁杷允䅁䅁䅑䅁䑁䅁䅁䅁䭁䅁䅁䅁䭁䍁䰸䅁䭁䅁䅉䅁䉁䅁䅁允䅁䅁䅯免䅳䅁杷允䅁䅁䅑䅁䑁䅁䅁䅁䭁䅁䅁䅁䭁䥁吴䅁䭁䅁䅉䅁䉁䅁䅁允䅁䅁䅯硪䅍䅁杷允䅁䅁䅙䅁䑁䅁䅁䅁䭁䅁䅁䅁䭁䕁䱑䅁䭁䍁䅳䅁䭁䑁䅁䅁䙁䅁䅁䅁䅁䉁䅂允䅁䅁䅅䅁䙁䅁䅁䅁䅁䅁䅁䍄䉁䅁䅁杂䅁䅁䅍䅁䅁䅁䅯䅁䅁䅁䅯䅒䅳䅁䅕䅁䅁佁䝂唯䭁䵁䠰䅁䙁䅁䅁䅁䅁偁⽁允䅁䅁䅅䅁䙁䅁䅁䅁䅁䅁䅁䍄䉁䅁䅁兂䅁䅁䅍䅁䅁䅁䅕䅁䅁䅁睄啣䭁䕁䱑䅁䙁䅁䅁䅁潁督䈱权睁䅁䅁允䅁䅁䅅䅁䙁䍁桬慁卦桇䅚䍄䉁䅁䅁杂䅁䅁䅍䅁䅁䅁䅯䅁䅁䅁䅯䅒䅳䅁䅕䅁䅁䵁䙂唯䭁䝁䉧䅁䙁䅁䅁䅁䅁䅁䅨允䅁䅁䅅䅁䙁偁㥔䠱灨捯䄵䍄䉁䅁䅁杂䅁䅁䅍䅁䅁䅁䅯䅁䅁䅁䅯䅒䅳䅁䅕䅁䅁䵁䙂唯䭁䑁䅁䅁䙁䅁䅁䅁䅁䅁䅨允䅁䅁䅅䅁䙁䵁㉬灶愹慵䄱䍄䉁䅁䅁杂䅁䅁䅍䅁䅁䅁䅯䅁䅁䅁䅯䅒䅳䅁䅕䅁䅁䭁䕂唯䭁䅁䅙䅁䭁䍁䅅䅁䉁䅁䅁允䅁䅁䅕ㅑ㍡牶砯ご䵅䅉䅅䅁䝁䅁䅁睁䅁䅁䅁权䅁䅁䅁权䕂睃䅁兂䅁䅁䅁䕷㥘䅑䅯杂䅁䅁䅕䅁䅁䅁䅁䅁䉁䅁䅁允䅁䅁䅕畭び䅕㑬し䵅䅉䅅䅁䝁䅁䅁睁䅁䅁䅁权䅁䅁䅁权䕂睃䅁兂䅁䅁䅁䕕㥢䅑䅯兡䅅䅁䅕䅁䅁䅁䅁䕃䉁䅁䅁允䅁䅁䅯睂䅁䅁杷允䅁䅁䅙䅁䑁䅁䅁䅁䭁䅁䅁䅁䭁䕁䱑䅁䙁䅁䅁䅁䅄晒䄱权䝁䅁䅁兂䅁䅁䅁䅁睄睐䅅䅁䉁䅁䅁兂晄㑔渳湮䈵兑杷允䅁䅁䅑䅁䑁䅁䅁䅁䭁䅁䅁䅁䭁䭁䨰䅁䭁䅁䅉䅁䉁䅁䅁允䅁䅁䅯睲䅫䅁杷允䅁䅁䅙䅁䑁䅁䅁䅁䭁䅁䅁䅁䭁䕁䱑䅁䙁䅁䅁䅁䅄晒䄱权潂允䅁权桁䅁䅁允䅁䅁䅅䅁䙁䙁桺晘㕥䝯䉒䍄䉁䅁䅁杂䅁䅁䅍䅁䅁䅁䅯䅁䅁䅁䅯䅒䅳䅁䅕䅁䅁䵁䙂唯䭁䅁䅙䅁䙁䅁䅁䅁䅁䅁䅨</t>
  </si>
  <si>
    <t>允䅁䅁䅅䅁䙁佁㠵穐摕䈰䉸䍄䉁䅁䅁杂䅁䅁䅍䅁䅁䅁䅯䅁䅁䅁䅯䅒䅳䅁䅕䅁䅁䵁䙂唯䭁䅁䅙䅁䙁䅁䅁䅁䅁䉁䅒允䅁䅁䅅䅁䙁䅁䉡啬扎捋䅬䍄䉁䅁䅁䅂䅁䅁䅍䅁䅁䅁䅯䅁䅁䅁䅯克䅧䅁䅯杁䅁䅁䅅䅁䉁䅁䅁权煁䅃䅁䍄䉁䅁䅁杂䅁䅁䅍䅁䅁䅁䅯䅁䅁䅁䅯䅒䅳䅁䅕䅁䅁䵁䙂唯䭁䑁䅁䅁䭁䍁䅅䅁䉁䅁䅁允䅁䅁䅕ぉ㝰煚䥷ず䵅䅉䅅䅁䙁䅁䅁睁䅁䅁䅁兂䅁䅁䅁偁硂䅑䅯䅒䅳䅁䅕䅁䅁䉁䡁欯䭁䝁䉫䅁䉁䅁䅁允䅁䅁䅕敥浫慁呬け䵅䅉䅅䅁䝁䅁䅁睁䅁䅁䅁权䅁䅁䅁权䕂睃䅁权牁䅁䅁权乄睂䅁兂䅁䅁䅁䅁睄睐䅅䅁䉁䅁䅁兂䕁杖琴汉奌䅑杷允䅁䅁䅕䅁䑁䅁䅁䅁䙁䅁䅁䅁䅁䠸䅆权䕂睃䅁兂䅁䅁䅁䡗乍兑䅯杂䅁䅁䅅䅁䉁䅁䅁兂穃渶ㅏ兆䕊䅑杷允䅁䅁䅙䅁䑁䅁䅁䅁䭁䅁䅁䅁䭁䕁䱑䅁䙁䅁䅁䅁兂癒䄱权䝁䅁䅁兂䅁䅁䅁䅁允䅑䅅䅁䉁䅁䅁权䡁䅁䅁䍄䉁䅁䅁杂䅁䅁䅍䅁䅁䅁䅯䅁䅁䅁䅯䅒䅳䅁䅕䅁䅁佁䝂唯䭁䝁䉣䅁䙁䅁䅁䅁䅁䉁䅂允䅁䅁䅅䅁䙁䅁䅁䅁䅁䅁䅁䍄䉁䅁䅁杂䅁䅁䅍䅁䅁䅁䅯䅁䅁䅁䅯䅒䅳䅁䅯睋䅁䅁䅯兺䅣䅁䅕䅁䅁䅁䅁䕃䉁䅁䅁允䅁䅁䅕䅁䅁䅁䅁䅁䵁䅉䅅䅁䝁䅁䅁睁䅁䅁䅁权䅁䅁䅁权䕂睃䅁权牁䅁䅁权乄睂䅁兂䅁䅁䅁䅁允䅑䅅䅁䉁䅁䅁兂䅁䅁䅁䅁䅁䅁杷允䅁䅁䅙䅁䑁䅁䅁䅁䭁䅁䅁䅁䭁䕁䱑䅁䭁䍁䅳䅁䭁䵁䠰䅁䭁䍁䅅䅁䉁䅁䅁允䅁䅁䅕慆䠵挴㉌〶䵁䅉䅅䅁䙁䅁䅁睁䅁䅁䅁兂䅁䅁䅁偁硂䅑䅯䅒䅳䅁䅕䅁䅁䝁穂啄䭅䝁䉧䅁䉁䅁䅁允䅁䅁䅯条䅅䅁杷允䅁䅁䅙䅁䑁䅁䅁䅁䭁䅁䅁䅁䭁䕁䱑䅁䙁䅁䅁䅁兂癒䄱权乄睂䅁兂䅁䅁䅁䅁睄睐䅅䅁䉁䅁䅁兂䅁䅁䅁䅁䅁䅁杷允䅁䅁䅙䅁䑁䅁䅁䅁䭁䅁䅁䅁䭁䕁䱑䅁䙁䅁䅁䅁兂癒䄱权睁䅁䅁兂䅁䅁䅁䅁允䅑䅅䅁䉁䅁䅁权䡁䅁䅁䍄䉁䅁䅁杂䅁䅁䅍䅁䅁䅁䅯䅁䅁䅁䅯䅒䅳䅁䅕䅁䅁䙁䝂唯䭁䝁䉣䅁䙁䅁䅁䅁䅁䅁䅂允䅁䅁䅅䅁䭁䅁䅣䅁䵁䅉䅅䅁䝁䅁䅁睁䅁䅁䅁权䅁䅁䅁权䕂睃䅁兂䅁䅁䅁䕕㥢䅑䅯睚䅅䅁䅯光䅁䅁䅅䅁䉁䅁䅁权䡁䅁䅁䍄䉁䅁䅁杂䅁䅁䅍䅁䅁䅁䅯䅁䅁䅁䅯䅒䅳䅁䅯睋䅁䅁䅯睚䅅䅁䅕䅁䅁䅁䅁䕁䉁䅁䅁允䅁䅁䅕䅁䅁䅁䅁䅁䵁䅉䅅䅁䝁䅁䅁睁䅁䅁䅁权䅁䅁䅁权䕂睃䅁权牁䅁䅁权湂允䅁兂䅁䅁䅁䅁䥁䅑䅅䅁䉁䅁䅁兂䅁䅁䅁䅁䅁䅁杷允䅁䅁䅑䅁䑁䅁䅁䅁䭁䅁䅁䅁䭁䩁副䅁䭁䅁䅉䅁䉁䅁䅁允䅁䅁䅯䉮䅅䅁杷允䅁䅁䅙䅁䑁䅁䅁䅁䭁䅁䅁䅁䭁䕁䱑䅁䭁䍁䅳䅁䭁䝁䉫䅁䙁䅁䅁䅁䅁䉁䅂允䅁䅁䅅䅁䙁䅁䅁䅁䅁䅁䅁䍄䉁䅁䅁䅃䅁䅁䅍䅁䅁䅁䅯䅁䅁䅁䅯䅒䅳䅁䅕䅁䅁䱁㥂唯䭁䅁䅙䅁䭁佁䅷䅁䭁䅁䅑潁䭁䍁䜸䅁䉁䅁䅁允䅁䅁䅕䅁䅁䅁䅁䅁䵁䅉䅅䅁䝁䅁䅁睁䅁䅁䅁权䅁䅁䅁权䕂睃䅁兂䅁䅁䅁䕕㥢䅑䅯䅡䅅䅁䅕䅁䅁䅁䅁䐸䈸䅁䅁允䅁䅁䅯睂䅁䅁杷允䅁䅁䅑䅁䑁䅁䅁䅁䭁䅁䅁䅁䭁佁乙䅁䭁䅁䅉䅁䉁䅁䅁允䅁䅁䅯眵䄰䅁杷允䅁䅁䅙䅁䑁䅁䅁䅁䭁䅁䅁䅁䭁䕁䱑䅁䭁䍁䅳䅁䭁䝁䉧䅁䙁䅁䅁䅁䅁偁⽁允䅁䅁䅅䅁䙁䵁杕䡳杊㥰䅰䍄䉁䅁䅁杂䅁䅁䅍䅁䅁䅁䅯䅁䅁䅁䅯䅒䅳䅁䅕䅁䅁䙁䝂唯䭁䑁䅁䅁䙁䅁䅁䅁䅁䅁䅁允䅁䅁䅅䅁䭁䅁䅣䅁䵁䅉䅅䅁䝁䅁䅁睁䅁䅁䅁权䅁䅁䅁权䕂睃䅁兂䅁䅁䅁䕕㥢䅑䅯䅍䅁䅁䅯光䅁䅁䅅䅁䉁䅁䅁权䡁䅁䅁䍄䉁䅁䅁杂䅁䅁䅍䅁䅁䅁䅯䅁䅁䅁䅯䅒䅳䅁䅯睋䅁䅁䅯䅍䅁䅁䅕䅁䅁䅁䅁䐸䈸䅁䅁允䅁䅁䅕浑汄䘰汋欲䵁䅉䅅䅁䝁䅁䅁睁䅁䅁䅁权䅁䅁䅁权䕂睃䅁权牁䅁䅁权睁䅁䅁兂䅁䅁䅁䅁䥁䅑䅅䅁䉁䅁䅁兂䅁䅁䅁䅁䅁䅁杷允䅁䅁䅙䅁䑁䅁䅁䅁䭁䅁䅁䅁䭁䕁䱑䅁䭁䍁䅳䅁䭁䑁䅁䅁䭁䍁䅅䅁䉁䅁䅁允䅁䅁䅕浑汄䘰汋欲䵁䅉䅅䅁䝁䅁䅁睁䅁䅁䅁权䅁䅁䅁权䕂睃䅁兂䅁䅁䅁䕕㥢䅑䅯杂䅁䅁䅯光䅁䅁䅅䅁䉁䅁䅁权䡁䅁䅁䍄䉁䅁䅁杂䅁䅁䅍䅁䅁䅁䅯䅁䅁䅁䅯䅒䅳䅁䅯睋䅁䅁䅯杂䅁䅁䅕䅁䅁䅁䅁䅁䉁䅁䅁允䅁䅁䅕牒穢愯敹〷䵁䅉䅅䅁䙁䅁䅁睁䅁䅁䅁兂䅁䅁䅁偁硂䅑䅯䅒䅳䅁䅕䅁䅁䩁敄〫䭁䝁䉣䅁䉁䅁䅁允䅁䅁䅕倹唳䡭琹さ䵅䅉䅅䅁䝁䅁䅁睁䅁䅁䅁权䅁䅁䅁权䕂睃䅁权牁䅁䅁权䝁䅁䅁兂䅁䅁䅁䅁允䅑䅅䅁䉁䅁䅁兂䅁䅁䅁䅁䅁䅁杷允䅁䅁䅙䅁䑁䅁䅁䅁䭁䅁䅁䅁䭁䕁䱑䅁䭁䍁䅳䅁䭁䅁䅙䅁䙁䅁䅁䅁䅁䉁䅒允䅁䅁䅅䅁䙁䅁䅁䅁䅁䅁䅁䍄䉁䅁䅁兂䅁䅁䅍䅁䅁䅁䅕䅁䅁䅁睄啣䭁䕁䱑䅁䙁䅁䅁䅁潂督䈱权乄睂䅁允䅁䅁䅅䅁䭁䝁䉯䅁䵁䅉䅅䅁䥁䅁䅁睁䅁䅁䅁权䅁䅁䅁权䕂睃䅁兂䅁䅁䅁䡳㤳䅑䅯䅡䅅䅁䅯䅵䅁䅁䅯䅂䍁䅧䅯睌䅙䅁䅅䅁䉁䅁䅁兂䅁䅁䅁䅁䅁䅁杷允䅁䅁䅑䅁䑁䅁䅁䅁䭁䅁䅁䅁䭁偁䡑䅁䭁䅁䅉䅁䉁䅁䅁允䅁䅁䅯朹䅣䅁杷允䅁䅁䅙䅁䑁䅁䅁䅁䭁䅁䅁䅁䭁䕁䱑䅁䙁䅁䅁䅁杄癒䄱权灂允䅁兂䅁䅁䅁䅁允䅑䅅䅁䉁䅁䅁兂䅁䅁䅁䅁䅁䅁杷允䅁䅁䅕䅁䑁䅁䅁䅁䙁䅁䅁䅁䅁䠸䅆权䕂睃䅁兂䅁䅁䅁乳㝌䅑䅯睚䅅䅁䅅䅁䉁䅁䅁兂桄桥㕑䩆䈲兑杷允䅁䅁䅙䅁䑁䅁䅁䅁䭁䅁䅁䅁䭁䕁䱑䅁䙁䅁䅁䅁杄癒䄱权潂允䅁兂䅁䅁䅁䅁䅁䅁䅅䅁䉁䅁䅁兂䅁䅁䅁䅁䅁䅁杷允䅁䅁䅍䅁䑁䅁䅍䅁䙁䅁䅁䅁䅁䠸䅆兂䅁䅁䅁䡵义兑䅅䅁䉁䅁䅁权煂兆䅁䍄䉁䅁䅁䅂䅁䅁䅍䅁䅁䅁䅯䅁䅁䅁䅯杣䅷䅁䅯杁䅁䅁䅅䅁䉁䅁䅁权穂䅄䅁䍄䉁䅁䅁杂䅁䅁䅍䅁䅁䅁䅯䅁䅁䅁䅯䅒䅳䅁䅕䅁䅁佁䝂唯䭁䝁䉧䅁䙁䅁䅁䅁䅁䅁䅂允䅁䅁䅅䅁䙁䅁䅁䅁䅁䅁䅁䍄䉁䅁䅁杂䅁䅁䅍䅁䅁䅁䅯䅁䅁䅁䅯䅒䅳䅁䅕䅁䅁佁䝂唯䭁䝁䉧䅁䙁䅁䅁䅁䅁䉁䅂允䅁䅁䅅䅁䙁䅁䅁䅁䅁䅁䅁䍄䉁䅁䅁兂䅁䅁䅍䅁䅁䅁䅕䅁䅁䅁睄啣䭁䕁䱑䅁䙁䅁䅁䅁䥄杣䈱权灂允䅁允䅁䅁䅅䅁䭁䝁䉯䅁䵁䅉䅅䅁䝁䅁䅁睁䅁䅁䅁权䅁䅁䅁权䕂睃䅁兂䅁䅁䅁䔴㥢䅑䅯杂䅁䅁䅕䅁䅁䅁䅁䕆䉁䅁䅁允䅁䅁䅕䅁䅁䅁䅁䅁䵁䅉䅅䅁䝁䅁䅁睁䅁䅁䅁权䅁䅁䅁权䕂睃䅁兂䅁䅁䅁䔴㥢䅑䅯䅡䅅䅁䅕䅁䅁䅁䅁䕆䉁䅁䅁允䅁䅁䅕䅁䅁䅁䅁䅁䵁䅉䅅䅁䕁䅁䅁睁䅁䅁䅁权䅁䅁䅁权䝄权䅁权䍁䅁䅁允䅁䅁䅅䅁䭁䵁䭣䅁䵁䅉䅅䅁䕁䅁䅁睁䅁䅁䅁权䅁䅁䅁权慂䅃䅁权䍁䅁䅁允䅁䅁䅅䅁䭁䙁䥳䅁䵁䅉䅅䅁䙁䅁䅁睁䅁䅁䅁兂䅁䅁䅁偁硂䅑䅯䅒䅳䅁䅕䅁䅁乁祂啄䭅䝁䉧䅁䉁䅁䅁允䅁䅁䅕畅塥㑤坴䕁䵁䅉䅅䅁䕁䅁䅁睁䅁䅁䅁权䅁䅁䅁权㍂睄䅁权䍁䅁䅁允䅁䅁䅅䅁䭁䡁偧䅁䵁䅉䅅䅁䝁䅁䅁睁䅁䅁䅁权䅁䅁䅁权䕂睃䅁兂䅁䅁䅁䔴㥢䅑䅯䅍䅁䅁䅕䅁䅁䅁䅁䕁䉁䅁䅁允䅁䅁䅕䅁䅁䅁䅁䅁䵁䅉䅅䅁䕁䅁䅁睁䅁䅁䅁权䅁䅁䅁权婂充䅁权䍁䅁䅁允䅁䅁䅅䅁䭁䙁副䅁䵁䅉䅅䅁䙁䅁䅁睁䅁䅁䅁兂䅁䅁䅁偁硂䅑䅯䅒䅳䅁䅕䅁䅁䙁穂啄䭅䑁䅁䅁䉁䅁䅁允䅁䅁䅕㙳ㅳ协硅歗䵁䅉䅅䅁䝁䅁䅁睁䅁䅁䅁权䅁䅁䅁权䕂睃䅁兂䅁䅁䅁䔴㥢䅑䅯䅍䅁䅁䅕䅁䅁䅁䅁䕃䉁䅁䅁允䅁䅁䅕䅁䅁䅁䅁䅁䵁䅉䅅䅁䙁䅁䅁睁䅁䅁䅁兂䅁䅁䅁偁硂䅑䅯䅒䅳䅁䅕䅁䅁偁票啄䭅䝁䉧䅁䉁䅁䅁允䅁䅁䅯睂䅁䅁杷允䅁䅁䅧䅁䑁䅁䅁䅁䭁䅁䅁䅁䭁䕁䱑䅁䙁䅁䅁䅁睃晦䄱权灂允䅁权偂䅁䅁权䕁䅁䅋权癁杂䅁允䅁䅁䅅䅁䙁䅁䅁䅁䅁䅁䅁䍄䉁䅁䅁杂䅁䅁䅍䅁䅁䅁䅯䅁䅁䅁䅯䅒䅳䅁䅕䅁䅁佁䝂唯䭁䝁䉣䅁䭁䍁䅅䅁䉁䅁䅁允䅁䅁䅕䅁䅁䅁䅁䅁䵁䅉䅅䅁䥁䅁䅁睁䅁䅁䅁权䅁䅁䅁权䕂睃䅁兂䅁䅁䅁䡳㤳䅑䅯䅍䅁䅁䅯䅯䅁䅁䅯䅂䍁䅧䅯睌䅙䅁䅅䅁䉁䅁䅁兂䅁䅁䅁䅁䅁䅁杷允䅁䅁䅙䅁䑁䅁䅁䅁䭁䅁䅁䅁䭁䕁䱑䅁䙁䅁䅁䅁杄癒䄱权潂允䅁权桁䅁䅁允䅁䅁䅅䅁䙁䅁䅁䅁䅁䅁䅁䍄䉁䅁䅁䅂䅁䅁䅍䅁䅁䅁䅯䅁䅁䅁䅯內䅧䅁䅯杁䅁䅁䅅䅁䉁䅁䅁权䍃䅃䅁䍄䉁䅁䅁䅂䅁䅁䅍䅁䅁䅁䅯䅁䅁䅁䅯䅨䅧䅁䅯杁䅁䅁䅅䅁䉁䅁䅁权䝃䅃䅁䍄䉁䅁䅁䅂䅁䅁䅍䅁䅁䅁䅯䅁䅁䅁䅯兘䅷䅁䅯杁䅁䅁䅅䅁䉁䅁䅁权敂䅄䅁䍄䉁䅁䅁䅂䅁䅁䅍䅁䅁䅁䅯䅁䅁䅁䅯䄷䅧䅁䅯杁䅁䅁䅅䅁䉁䅁䅁权瑄䅃䅁䍄䉁䅁䅁䅂䅁䅁䅍䅁䅁䅁䅯䅁䅁䅁䅯儹䅧䅁䅯杁䅁䅁䅅䅁䉁䅁䅁权㉄䅃䅁䍄䉁䅁䅁䅂䅁䅁䅍䅁䅁䅁䅯䅁䅁䅁䅯朶䅷䅁䅯杁䅁䅁䅅䅁䉁䅁䅁权牄䅄䅁䍄䉁䅁䅁䅂䅁䅁䅍䅁䅁䅁䅯䅁䅁䅁䅯䅄䅫䅁䅯杁䅁䅁䅅䅁䉁䅁䅁权佁元䅁䍄䉁䅁䅁䅃䅁䅁䅍䅁䅁䅁䅯䅁䅁䅁䅯䅒䅳䅁䅕䅁䅁䱁㥂唯䭁䑁䅁䅁䭁乁䅉䅁䭁䅁䅑潁䭁䍁䜸䅁䉁䅁䅁允䅁䅁䅕䅁䅁䅁䅁䅁䵁䅉䅅䅁䕁䅁䅁睁䅁䅁䅁权䅁䅁䅁权硁元䅁权䍁䅁䅁允䅁䅁䅅䅁䭁䑁䩍䅁䵁䅉䅅䅁䕁䅁䅁睁䅁䅁䅁权䅁䅁䅁权㕃权䅁权䍁䅁䅁允䅁䅁䅅䅁䭁䱁䭳䅁䵁䅉䅅䅁䕁䅁䅁睁䅁䅁䅁权䅁䅁䅁权楂杄䅁权䍁䅁䅁允䅁䅁䅅䅁䭁䝁佑䅁䵁䅉䅅䅁䕁䅁䅁睁䅁䅁䅁权䅁䅁䅁权坃杄䅁权䍁䅁䅁允䅁䅁䅅䅁䭁䩁佧䅁䵁䅉䅅䅁䕁䅁䅁睁䅁䅁䅁权䅁䅁䅁权䡃元䅁权䍁䅁䅁允䅁䅁䅅䅁䭁䥁䩫䅁䵁䅉䅅䅁䕁䅁䅁睁䅁䅁䅁权䅁䅁䅁权噃元䅁权䍁䅁䅁允䅁䅁䅅䅁䭁䩁䩣䅁䵁䅉䅅䅁䕁䅁䅁睁䅁䅁䅁权䅁䅁䅁权㉃元䅁权䍁䅁䅁允䅁䅁䅅䅁䭁䱁䩣䅁䵁䅉䅅䅁䕁䅁䅁睁䅁䅁䅁权䅁䅁䅁权䕂睄䅁权䍁䅁䅁允䅁䅁䅅䅁䭁䕁偕䅁䵁䅉䅅䅁䕁䅁䅁睁䅁䅁䅁权䅁䅁䅁权乄元䅁权䍁䅁䅁允䅁䅁䅅䅁䭁䵁䨸䅁䵁䅉䅅䅁䕁䅁䅁睁䅁䅁䅁权䅁䅁䅁权䑃睄䅁权䍁䅁䅁允䅁䅁䅅䅁䭁䥁偑䅁䵁䅉䅅䅁䕁䅁䅁睁䅁䅁䅁权䅁䅁䅁权䅂权䅁权䍁䅁䅁允䅁䅁䅅䅁䭁䕁䭉䅁䵁䅉䅅䅁䕁䅁䅁睁䅁䅁䅁权䅁䅁䅁权权睄䅁权䍁䅁䅁允䅁䅁䅅䅁䭁䭁偉䅁䵁䅉䅅䅁䙁䅁䅁睁䅁䅁䅁兂䅁䅁䅁偁硂䅑䅯䅒䅳䅁䅕䅁䅁䕁晄〫䭁䝁䉣䅁䉁䅁䅁允䅁䅁䅕敢㝦坱畬㡃䵅䅉䅅䅁䕁䅁䅁睁䅁䅁䅁权䅁䅁䅁权兄元䅁权䍁䅁䅁允䅁䅁䅅䅁䭁乁䩅䅁䵁䅉䅅䅁䕁䅁䅁睁䅁䅁䅁权䅁䅁䅁权呂权䅁权䍁䅁䅁允䅁䅁䅅䅁䭁䙁䭑䅁䵁䅉䅅䅁䕁䅁䅁睁䅁䅁䅁权䅁䅁䅁权浄元䅁权䍁䅁䅁允䅁䅁䅅䅁䭁佁䩣䅁䵁䅉䅅䅁䕁䅁䅁睁䅁䅁䅁权䅁䅁䅁权㑄元䅁权䍁䅁䅁允䅁䅁䅅䅁䭁偁䩯䅁䵁䅉䅅䅁䕁䅁䅁睁䅁䅁䅁权䅁䅁䅁权㡃䅅䅁权䍁䅁䅁允䅁䅁䅅䅁䭁䱁儴䅁䵁䅉䅅䅁䕁䅁䅁睁䅁䅁䅁权䅁䅁䅁权硁充䅁权䍁䅁䅁允䅁䅁䅅䅁䭁䑁剉䅁䵁䅉䅅䅁䕁䅁䅁睁䅁䅁䅁权䅁䅁䅁权㡁充䅁权䍁䅁䅁允䅁䅁䅅䅁䭁䑁到䅁䵁䅉䅅䅁䙁䅁䅁睁䅁䅁䅁兂䅁䅁䅁偁硂䅑䅯䅒䅳䅁䅕䅁䅁䉁兄〫䭁䝁䉫䅁䉁䅁䅁允䅁䅁䅕䅁䅁䅁䅁䅁䵁䅉䅅䅁䕁䅁䅁睁䅁䅁䅁权䅁䅁䅁权坁权䅁权䍁䅁䅁允䅁䅁䅅䅁䭁䉁䭧䅁䵁䅉䅅䅁䕁䅁䅁睁䅁䅁䅁权䅁䅁䅁权⭁权䅁权䍁䅁䅁允䅁䅁䅅䅁䭁䑁䬸䅁䵁䅉䅅䅁䕁䅁䅁睁䅁䅁䅁权䅁䅁䅁权㉂充䅁权䍁䅁䅁允䅁䅁䅅䅁䭁䡁剧䅁䵁䅉䅅䅁䥁䅁䅁睁䅁䅁䅁权䅁䅁䅁权䕂睃䅁兂䅁䅁䅁䡳㤳䅑䅯兺䅣䅁䅯杳䅁䅁䅯䅂䍁䅧䅯睌䅙䅁䅅䅁䉁䅁䅁兂⽃确癲䙓潍兑杷允䅁䅁䅑䅁䑁䅁䅁䅁䭁䅁䅁䅁䭁䭁前䅁䭁䅁䅉䅁䉁䅁䅁允䅁䅁䅯䉰䅅䅁杷允䅁䅁䅕䅁䑁䅁䅁䅁䙁䅁䅁䅁䅁䠸䅆权䕂睃䅁兂䅁䅁䅁䡹义兑䅯杂䅁䅁䅅䅁䉁䅁䅁权煂允䅁䍄䉁䅁䅁䅂䅁䅁䅍䅁䅁䅁䅯䅁䅁䅁䅯杘䅯䅁䅯杁䅁䅁䅅䅁䉁䅁䅁权時权䅁䍄䉁䅁䅁䅂䅁䅁䅍䅁䅁䅁䅯䅁䅁䅁䅯䅈䅧䅁䅯杁䅁䅁䅅䅁䉁䅁䅁权敁䅃䅁䍄䉁䅁䅁䅂䅁䅁䅍䅁䅁䅁䅯䅁䅁䅁䅯䅤䅯䅁䅯杁䅁䅁䅅䅁䉁䅁䅁权ㅂ权䅁䍄䉁䅁䅁䅂䅁䅁䅍䅁䅁䅁䅯䅁䅁䅁䅯杬䅯䅁䅯杁䅁䅁䅅䅁䉁䅁䅁权奃权䅁䍄䉁䅁䅁睁䅁䅁䅍睁䅁䅁䅕䅁䅁䅁睄啣䙁䅁䅁䅁兄瘳䅴允䅁䅁䅅䅁䭁偁䝫䅁䵁䅉䅅䅁䕁䅁䅁睁䅁䅁䅁权䅁䅁䅁权歃权䅁权䍁䅁䅁允䅁䅁䅅䅁䭁䭁䭙䅁䵁䅉䅅䅁䕁䅁䅁睁䅁䅁䅁权䅁䅁䅁权汁睃䅁权䍁䅁䅁允䅁䅁䅅䅁䭁䍁䱣䅁䵁䅉䅅䅁䕁䅁䅁睁䅁䅁䅁权䅁䅁䅁权㉃权䅁权䍁䅁䅁允䅁䅁䅅䅁䭁䱁䭧䅁䵁䅉䅅䅁䕁䅁䅁睁䅁䅁䅁权䅁䅁䅁权䩂睅䅁权䍁䅁䅁允䅁䅁䅅䅁䭁䕁呯䅁䵁䅉䅅䅁䕁䅁䅁睁䅁䅁䅁权䅁䅁䅁权兄权䅁权䍁䅁䅁允䅁䅁䅅䅁䭁乁䭅䅁䵁䅉䅅䅁䕁䅁䅁睁䅁䅁䅁权䅁䅁䅁权瑂睅䅁权䍁䅁䅁允䅁䅁䅅䅁䭁䝁吸䅁䵁䅉䅅䅁䕁䅁䅁睁䅁䅁䅁权䅁䅁䅁权汄权䅁权䍁䅁䅁允䅁䅁䅅䅁䭁佁䭙䅁䵁䅉䅅䅁䕁䅁䅁睁䅁䅁䅁权䅁䅁䅁权坁睃䅁权䍁䅁䅁允䅁䅁䅅䅁䭁䉁䱣䅁䵁䅉䅅䅁䕁䅁䅁睁䅁䅁䅁权䅁䅁䅁权㙁睃䅁权䍁䅁䅁允䅁䅁䅅䅁䭁䑁䱷䅁䵁䅉䅅䅁䙁䅁䅁睁䅁䅁䅁兂䅁䅁䅁偁硂䅑䅯䅒䅳䅁䅕䅁䅁䉁穂啄䭅䵁䠰䅁䉁䅁䅁允䅁䅁䅕䵪夳戴坮啙䵁䅉䅅䅁䙁䅁䅁睁䅁䅁䅁兂䅁䅁䅁偁硂䅑䅯䅒䅳䅁䅕䅁䅁䉁穨啄䭅䅁䅙䅁䉁䅁䅁允䅁䅁䅕潍䰳晘汁䕔䵁䅉䅅䅁䙁䅁䅁睁䅁䅁䅁兂䅁䅁䅁偁硂䅑䅯䅒䅳䅁䅕䅁䅁䍁剄〫䭁䝁䉧䅁䉁䅁䅁允䅁䅁䅕䙂余晤煊啥䵅䅉䅅䅁䙁䅁䅁睁䅁䅁䅁兂䅁䅁䅁偁硂䅑䅯䅒䅳䅁䅕䅁䅁䉁穂啄䭅䝁䉣䅁䉁䅁䅁允䅁䅁䅕䭋敹攳杴䕚䵁䅉䅅䅁䙁䅁䅁睁䅁䅁䅁兂䅁䅁䅁偁硂䅑䅯䅒䅳䅁䅕䅁䅁䉁穨啄䭅䵁䠰䅁䉁䅁䅁允䅁䅁䅕䍇呚慂呏歔䵁䅉䅅䅁䥁䅁䅁睁䅁䅁䅁权䅁䅁䅁权䕂睃䅁兂䅁䅁䅁䡳㤳䅑䅯睚䅅䅁䅯兗䅁䅁䅯䅂䍁䅧䅯睌䅙䅁䅅䅁䉁䅁䅁兂䅁䅁䅁䅁䅁䅁杷允䅁䅁䅕䅁䑁䅁䅁䅁䙁䅁䅁䅁䅁䠸䅆权䕂睃䅁兂䅁䅁䅁䡇乍兑䅯睚䅅䅁䅅䅁䉁䅁䅁兂䱁朷㡣乍佨䅑杷允䅁䅁䅕䅁䑁䅁䅁䅁䙁䅁䅁䅁䅁䠸䅆权䕂睃䅁兂䅁䅁䅁䡉乍兑䅯兺䅣䅁䅅䅁䉁䅁䅁兂敃㙋䍘㙍杷䅷杷允䅁䅁䅕䅁䑁䅁䅁䅁䙁䅁䅁䅁䅁䠸䅆权䕂睃䅁兂䅁䅁䅁䡉乍兑䅯睚䅅䅁䅅䅁䉁䅁䅁兂睄剑の㌷偑䅷杷允䅁䅁䅕䅁䑁䅁䅁䅁䙁䅁䅁䅁䅁䠸䅆权䕂睃䅁兂䅁䅁䅁䡋乍兑䅯兺䅣䅁䅅䅁䉁䅁䅁兂楂㉲呚佚奍䅑杷允䅁䅁䅕䅁䑁䅁䅁䅁䙁䅁䅁䅁䅁䠸䅆权䕂睃䅁兂䅁䅁䅁䡋乍兑䅯睚䅅䅁䅅䅁䉁䅁䅁兂㉃䙊㕆摨塣䅑杷允䅁䅁䅕䅁䑁䅁䅁䅁䙁䅁䅁䅁䅁䠸䅆权䕂睃䅁兂䅁䅁䅁䡍乍兑䅯兺䅣䅁䅅䅁䉁䅁䅁兂乄䵺䵺䕺啸䅑杷允䅁䅁䅕䅁䑁䅁䅁䅁䙁䅁䅁䅁䅁䠸䅆权䕂睃䅁兂䅁䅁䅁䡏乍兑䅯兺䅣䅁䅅䅁䉁䅁䅁兂浂浚浚浚余䅑杷允䅁䅁䅕䅁䑁䅁䅁䅁䙁䅁䅁䅁䅁䠸䅆权䕂睃䅁兂䅁䅁䅁䡏乍兑䅯睚䅅䅁䅅䅁䉁䅁䅁兂慃婭婭婭乫䅑杷允䅁䅁䅧䅁䑁䅁䅁䅁䭁䅁䅁䅁䭁䕁䱑䅁䙁䅁䅁䅁睃晦䄱权湂允䅁权⭃䅁䅁权䕁䅁䅋权癁杂䅁允䅁䅁䅅䅁䙁䅁䅁䅁䅁䅁䅁䍄䉁䅁䅁兂䅁䅁䅍䅁䅁䅁䅕䅁䅁䅁睄啣䭁䕁䱑䅁䙁䅁䅁䅁䅂督䈱权湂允䅁允䅁䅁䅅䅁䙁䙁ㅌ汨䍡䉅䅐䍄䉁䅁䅁兂䅁䅁䅍䅁䅁䅁䅕䅁䅁䅁睄啣䭁䕁䱑䅁䙁䅁䅁䅁䥂督䈱权湂允䅁允䅁䅁䅅䅁䙁䅁䅁䅁䅁䅁䅨䍄䉁䅁䅁兂䅁䅁䅍䅁䅁䅁䅕䅁䅁䅁睄啣䭁䕁䱑䅁䙁䅁䅁䅁兂督䈱权乄睂䅁允䅁䅁䅅䅁䙁䕁摺噬眰汧䅰䍄䉁䅁䅁兂䅁䅁䅍䅁䅁䅁䅕䅁䅁䅁睄啣䭁䕁䱑䅁䙁䅁䅁䅁兂督䈱权湂允䅁允䅁䅁䅅䅁䙁乁瀰䝥祘䙒䄱䍄䉁䅁䅁兂䅁䅁䅍䅁䅁䅁䅕䅁䅁䅁睄啣䭁䕁䱑䅁䙁䅁䅁䅁奂督䈱权乄睂䅁允䅁䅁䅅䅁䙁䭁兣灦穨䕸䅎䍄䉁䅁䅁兂䅁䅁䅍䅁䅁䅁䅕䅁䅁䅁睄啣䭁䕁䱑䅁䙁䅁䅁䅁奂督䈱权湂允䅁允䅁䅁䅅䅁䙁䍁䑱䉴畁歶䅸䍄䉁䅁䅁兂䅁䅁䅍䅁䅁䅁䅕䅁䅁䅁睄啣䭁䕁䱑䅁䙁䅁䅁䅁杂督䈱权乄睂䅁允䅁䅁䅅䅁䭁䝁䉯䅁䵁䅉䅅䅁䙁䅁䅁睁䅁䅁䅁兂䅁䅁䅁偁硂䅑䅯䅒䅳䅁䅕䅁䅁䝁穂啄䭅䝁䉣䅁䉁䅁䅁允䅁䅁䅯条䅅䅁杷允䅁䅁䅍䅁䑁䅁䅍䅁䙁䅁䅁䅁䅁䠸䅆兂䅁䅁䅁乫㝄䅑䅅䅁䉁䅁䅁权䅂睂䅁䍄䉁䅁䅁兂䅁䅁䅍䅁䅁䅁䅕䅁䅁䅁睄啣䭁䕁䱑䅁䙁䅁䅁䅁允⽂䄵权䝁䅁䅁允䅁䅁䅅䅁䙁乁㑖匶硙呸䉨䍄䉁䅁䅁兂䅁䅁䅍䅁䅁䅁䅕䅁䅁䅁睄啣䭁䕁䱑䅁䙁䅁䅁䅁元督䈱权乄睂䅁允䅁䅁䅅䅁䙁䝁特焯䨰楊䅘䍄䉁䅁䅁兂䅁䅁䅍䅁䅁䅁䅕䅁䅁䅁睄啣䭁䕁䱑䅁䙁䅁䅁䅁睃杣䈱权乄睂䅁允䅁䅁䅅䅁䙁乁䭁䙄摮桓䅖䍄䉁䅁䅁兂䅁䅁䅍䅁䅁䅁䅕䅁䅁䅁睄啣䭁䕁䱑䅁䙁䅁䅁䅁䅁督䈱权潂允䅁允䅁䅁䅅䅁䙁䩁婱婭婭摭⽫䍄䉁䅁䅁兂䅁䅁䅍䅁䅁䅁䅕䅁䅁䅁睄啣䭁䕁䱑䅁䙁䅁䅁䅁㑃杣䈱权乄睂䅁允䅁䅁䅅䅁䙁䱁⭄䭤䱨⽓⽙䍄䉁䅁䅁兂䅁䅁䅍䅁䅁䅁䅕䅁䅁䅁睄啣䭁䕁䱑䅁䙁䅁䅁䅁㑃杣䈱权湂允䅁允䅁䅁䅅䅁䙁䙁ㅌ汨䍡䉅䅐䍄䉁䅁䅁兂䅁䅁䅍䅁䅁䅁䅕䅁䅁䅁睄啣䭁䕁䱑䅁䙁䅁䅁䅁䅄杣䈱权乄睂䅁允䅁䅁䅅䅁䭁䝁䉯䅁䵁䅉䅅䅁䙁䅁䅁睁䅁䅁䅁兂䅁䅁䅁偁硂䅑䅯䅒䅳䅁䅕䅁䅁䵁票啄䭅䵁䠰䅁䉁䅁䅁允䅁䅁䅯条䅅䅁杷允䅁䅁䅕䅁䑁䅁䅁䅁䙁䅁䅁䅁䅁䠸䅆权䕂睃䅁兂䅁䅁䅁䡹义兑䅯睚䅅䅁䅅䅁䉁䅁䅁权煂允䅁䍄䉁䅁䅁兂䅁䅁䅍䅁䅁䅁䅕䅁䅁䅁睄啣䭁䕁䱑䅁䙁䅁䅁䅁䥂督䈱权潂允䅁允䅁䅁䅅䅁䙁䅁䅁䅁䅁䉁䅨䍄䉁䅁䅁兂䅁䅁䅍䅁䅁䅁䅕䅁䅁䅁睄啣䭁䕁䱑䅁䙁䅁䅁䅁兄杣䈱权乄睂䅁允䅁䅁䅅䅁䙁䱁䍈剌䨹兗䅸䍄䉁䅁䅁䅃䅁䅁䅍䅁䅁䅁䅯䅁䅁䅁䅯䅒䅳䅁䅕䅁䅁䱁㥂唯䭁䅁䅙䅁䭁偁䅙䅁䭁䅁䅑潁䭁䍁䜸䅁䉁䅁䅁允䅁䅁䅕䅁䅁䅁䅁䅁䵁䅉䅅䅁䙁䅁䅁睁䅁䅁䅁兂䅁䅁䅁偁硂䅑䅯䅒䅳䅁䅕䅁䅁乁祂啄䭅䝁䉣䅁䉁䅁䅁允䅁䅁䅕䵖䠰⽘䙏䕃䵁䅉䅅䅁䙁䅁䅁睁䅁䅁䅁兂䅁䅁䅁偁硂䅑䅯䅒䅳䅁䅕䅁䅁乁票啄䭅䵁䠰䅁䉁䅁䅁允䅁䅁䅕䌶䐳䅊癅稫䴸䅉䅅䅁䙁䅁䅁睁䅁䅁䅁兂䅁䅁䅁偁硂䅑䅯䅒䅳䅁䅕䅁䅁乁票啄䭅䝁䉣䅁䉁䅁䅁允䅁䅁䅕挹㐹㡸䄴樯䴸䅉䅅䅁䥁䅁䅁睁䅁䅁䅁权䅁䅁䅁权䕂睃䅁兂䅁䅁䅁䡳㤳䅑䅯杂䅁䅁䅯朳䅁䅁䅯䅂䍁䅧䅯睌䅙䅁䅅䅁䉁䅁䅁兂䅁䅁䅁䅁䅁䅁杷允䅁䅁䅕䅁䑁䅁䅁䅁䙁䅁䅁䅁䅁䠸䅆权䕂睃䅁兂䅁䅁䅁䠶义兑䅯兺䅣䅁䅅䅁䉁䅁䅁兂䅁䅁䅁䅁䅁䅁杷允䅁䅁䅕䅁䑁䅁䅁䅁䙁䅁䅁䅁䅁䠸䅆权䕂睃䅁兂䅁䅁䅁䠶义兑䅯睚䅅䅁䅅䅁䉁䅁䅁兂䅁䅁䅁䅁䅁䅁杷允䅁䅁䅕䅁䑁䅁䅁䅁䙁䅁䅁䅁䅁䠸䅆权䕂睃䅁兂䅁䅁䅁䠸义兑䅯兺䅣䅁䅅䅁䉁䅁䅁兂䅁䅁䅁䅁䅁䅁杷允䅁䅁䅕䅁䑁䅁䅁䅁䙁䅁䅁䅁䅁䠸䅆权䕂睃䅁兂䅁䅁䅁䅁⭦䅑䅯䅡䅅䅁䅅䅁䉁䅁䅁兂䙄䱉楃偫塸兑杷允䅁䅁䅕䅁䑁䅁䅁䅁䙁䅁䅁䅁䅁䠸䅆权䕂睃䅁兂䅁䅁䅁䠸义兑䅯睚䅅䅁䅅䅁䉁䅁䅁兂䅁䅁䅁䅁䅁䅁杷允䅁䅁䅧䅁䑁䅁䅁䅁䭁䅁䅁䅁䭁䕁䱑䅁䙁䅁䅁䅁睃晦䄱权睁䅁䅁权獄䅁䅁权䕁䅁䅋权癁杂䅁允䅁䅁䅅䅁䙁䅁䅁䅁䅁䅁䅁䍄䉁䅁䅁兂䅁䅁䅍䅁䅁䅁䅕䅁䅁䅁睄啣䭁䕁䱑䅁䙁䅁䅁䅁㑄杣䈱权乄睂䅁允䅁䅁䅅䅁䭁䅁䅣䅁䵁䅉䅅䅁䙁䅁䅁睁䅁䅁䅁兂䅁䅁䅁偁硂䅑䅯䅒䅳䅁䅕䅁䅁偁票啄䭅䝁䉣䅁䉁䅁䅁允䅁䅁䅯睂䅁䅁杷允䅁䅁䅧䅁䑁䅁䅁䅁䭁䅁䅁䅁䭁䕁䱑䅁䙁䅁䅁䅁睃晦䄱权䝁䅁䅁权奄䅁䅁权䕁䅁䅋权癁杂䅁允䅁䅁䅅䅁䙁䅁䅁䅁䅁䅁䅁䍄䉁䅁䅁兂䅁䅁䅍䅁䅁䅁䅕䅁䅁䅁睄啣䭁䕁䱑䅁䙁䅁䅁䅁䅁督䈱权乄睂䅁允䅁䅁䅅䅁䙁䩁婱婭婭捭⽫䍄䉁䅁䅁兂䅁䅁䅍䅁䅁䅁䅕䅁䅁䅁睄啣䭁䕁䱑䅁䙁䅁䅁䅁䅁督䈱权湂允䅁允䅁䅁䅅䅁䙁䩁婱婭婭摭⽫䍄䉁䅁䅁䅃䅁䅁䅍䅁䅁䅁䅯䅁䅁䅁䅯䅒䅳䅁䅕䅁䅁䱁㥂唯䭁䝁䉫䅁䭁佁䅷䅁䭁䅁䅑潁䭁䍁䜸䅁䉁䅁䅁允䅁䅁䅕䅁䅁䅁䅁䅁䵁䅉䅅䅁䙁䅁䅁睁䅁䅁䅁兂䅁䅁䅁偁硂䅑䅯䅒䅳䅁䅕䅁䅁䅁穨啄䭅䵁䠰䅁䉁䅁䅁允䅁䅁䅕䅁䅁䅁䅁䅁䵁䅉䅅䅁䙁䅁䅁睁䅁䅁䅁兂䅁䅁䅁偁硂䅑䅯䅒䅳䅁䅕䅁䅁䅁穨啄䭅䝁䉣䅁䉁䅁䅁允䅁䅁䅕䅁䅁䅁䅁䅁䵁䅉䅅䅁䙁䅁䅁睁䅁䅁䅁兂䅁䅁䅁偁硂䅑䅯䅒䅳䅁䅕䅁䅁䉁穂啄䭅䝁䉫䅁䉁䅁䅁允䅁䅁䅕䩅硡摯啴す䵁䅉䅅䅁䙁䅁䅁睁䅁䅁䅁兂䅁䅁䅁偁硂䅑䅯䅒䅳䅁䅕䅁䅁䉁穨啄䭅䝁䉫䅁䉁䅁䅁允䅁䅁䅕晃椸䵡㝸歔䵁䅉䅅䅁䙁䅁䅁睁䅁䅁䅁兂䅁䅁䅁偁硂䅑䅯䅒䅳䅁䅕䅁䅁䍁穂啄䭅䝁䉫䅁䉁䅁䅁允䅁䅁䅕橁䥴剭伷啇䵁䅉䅅䅁䙁䅁䅁睁䅁䅁䅁兂䅁䅁䅁偁硂䅑䅯䅒䅳䅁䅕䅁䅁䍁穨啄䭅䝁䉧䅁䉁䅁䅁允䅁䅁䅕牲噇头祮歆䵁䅉䅅䅁䙁䅁䅁睁䅁䅁䅁兂䅁䅁䅁偁硂䅑䅯䅒䅳䅁䅕䅁䅁䍁穨啄䭅䝁䉫䅁䉁䅁䅁允䅁䅁䅕慭㑘穕㌶う䵁䅉䅅䅁䙁䅁䅁睁䅁䅁䅁兂䅁䅁䅁偁硂䅑䅯䅒䅳䅁䅕䅁䅁䑁穨啄䭅䝁䉫䅁䉁䅁䅁允䅁䅁䅕灭婭婭婭啃䵁䅉䅅䅁䙁䅁䅁睁䅁䅁䅁兂䅁䅁䅁偁硂䅑䅯䅒䅳䅁䅕䅁䅁䕁穨啄䭅䝁䉫䅁䉁䅁䅁允䅁䅁䅕䅁䅁䅁䅁歋䵁䅉䅅䅁䙁䅁䅁睁䅁䅁䅁兂䅁䅁䅁偁硂䅑䅯䅒䅳䅁䅕䅁䅁䙁穂啄䭅䝁䉫䅁䉁䅁䅁允䅁䅁䅕㡡の摬汆䕘䵁䅉䅅䅁䙁䅁䅁睁䅁䅁䅁兂䅁䅁䅁偁硂䅑䅯䅒䅳䅁䅕䅁䅁䙁穨啄䭅䝁䉫䅁䉁䅁䅁允䅁䅁䅕堵⽣睅䥢こ䵁䅉䅅䅁䙁䅁䅁睁䅁䅁䅁兂䅁䅁䅁偁硂䅑䅯䅒䅳䅁䅕䅁䅁䝁穂啄䭅䝁䉫䅁䉁䅁䅁允䅁䅁䅯条䅅䅁杷允䅁䅁䅕䅁䑁䅁䅁䅁䙁䅁䅁䅁䅁䠸䅆权䕂睃䅁兂䅁䅁䅁䡳义兑䅯兡䅅䅁䅅䅁䉁䅁䅁兂乄挸㉃偎灕䅑杷允䅁䅁䅕䅁䑁䅁䅁䅁䙁䅁䅁䅁䅁䠸䅆权䕂睃䅁兂䅁䅁䅁䡵义兑䅯兡䅅䅁䅅䅁䉁䅁䅁兂⭄扤湨㥰敧䅑杷允䅁䅁䅕䅁䑁䅁䅁䅁䙁䅁䅁䅁䅁䠸䅆权䕂睃䅁兂䅁䅁䅁䡷义兑䅯兡䅅䅁䅅䅁䉁䅁䅁兂噁啐牶楹瘱䅑杷允䅁䅁䅕䅁䑁䅁䅁䅁䙁䅁䅁䅁䅁䠸䅆权䕂睃䅁兂䅁䅁䅁䠰义兑䅯兡䅅䅁䅅䅁䉁䅁䅁兂㑂䱍失㝣䍳䅑杷允䅁䅁䅍䅁䑁䅁䅍䅁䙁䅁䅁䅁䅁䠸䅆兂䅁䅁䅁䡡乍兑䅅䅁䉁䅁䅁权晄杂䅁䍄䉁䅁䅁兂䅁䅁䅍䅁䅁䅁䅕䅁䅁䅁睄啣䭁䕁䱑䅁䙁䅁䅁䅁奄杣䈱权灂允䅁允䅁䅁䅅䅁䙁乁晨㕇牡偊⽷䍄䉁䅁䅁䅃䅁䅁䅍䅁䅁䅁䅯䅁䅁䅁䅯䅒䅳䅁䅕䅁䅁䱁㥂唯䭁䵁䠰䅁䭁佁䄴䅁䭁䅁䅑潁䭁䍁䜸䅁䉁䅁䅁允䅁䅁䅕䅁䅁䅁䅁䅁䵁䅉䅅䅁䙁䅁䅁睁䅁䅁䅁兂䅁䅁䅁偁硂䅑䅯䅒䅳䅁䅕䅁䅁佁祂啄䭅䝁䉫䅁䉁䅁䅁允䅁䅁䅕晴硆穴员啋䵁䅉䅅䅁䙁䅁䅁睁䅁䅁䅁兂䅁䅁䅁偁硂䅑䅯䅒䅳䅁䅕䅁䅁佁票啄䭅䝁䉫䅁䉁䅁䅁允䅁䅁䅕䅁䅁䅁䅁䅁䵁䅉䅅䅁䙁䅁䅁睁䅁䅁䅁兂䅁䅁䅁偁硂䅑䅯䅒䅳䅁䅕䅁䅁偁祂啄䭅䝁䉫䅁䉁䅁䅁允䅁䅁䅕䅁䅁䅁䅁䅁䵁䅉䅅䅁䙁䅁䅁睁䅁䅁䅁兂䅁䅁䅁偁硂䅑䅯䅒䅳䅁䅕䅁䅁偁票啄䭅䝁䉫䅁䉁䅁䅁允䅁䅁䅯睂䅁䅁杷允䅁䅁䅕䅁䑁䅁䅁䅁䙁䅁䅁䅁䅁䠸䅆权䕂睃䅁兂䅁䅁䅁䡃乍兑䅯兡䅅䅁䅅䅁䉁䅁䅁兂䅁䅁䅁䅁䅁䅁杷允䅁䅁䅕䅁䑁䅁䅁䅁䙁䅁䅁䅁䅁䠸䅆权䕂睃䅁兂䅁䅁䅁䅧⭌䅑䅯兺䅣䅁䅅䅁䉁䅁䅁兂䭂䅄㝉癫全兑杷允䅁䅁䅕䅁䑁䅁䅁䅁䙁䅁䅁䅁䅁䠸䅆权䕂睃䅁兂䅁䅁䅁䈰⭘䅑䅯睚䅅䅁䅅䅁䉁䅁䅁兂坃瑸䍑䙉啊䅑杷允䅁䅁䅕䅁䑁䅁䅁䅁䙁䅁䅁䅁䅁䠸䅆权䕂睃䅁兂䅁䅁䅁䡅乍兑䅯䅡䅅䅁䅅䅁䉁䅁䅁兂允睂剬漯橊䅑杷允䅁䅁䅕䅁䑁䅁䅁䅁䙁䅁䅁䅁䅁䠸䅆权䕂睃䅁兂䅁䅁䅁䠸义兑䅯杂䅁䅁䅅䅁䉁䅁䅁兂䅁䅁䅁䅁䅁䅁杷允䅁䅁䅕䅁䑁䅁䅁䅁䙁䅁䅁䅁䅁䠸䅆权䕂睃䅁兂䅁䅁䅁䡇乍兑䅯䅡䅅䅁䅅䅁䉁䅁䅁兂ㅂ噙䭱灭佚䅑杷允䅁䅁䅕䅁䑁䅁䅁䅁䙁䅁䅁䅁䅁䠸䅆权䕂睃䅁兂䅁䅁䅁䡉乍兑䅯䅡䅅䅁䅅䅁䉁䅁䅁兂䍄獇䵋偨㙈睐杷允䅁䅁䅕䅁䑁䅁䅁䅁䙁䅁䅁䅁䅁䠸䅆权䕂睃䅁兂䅁䅁䅁䡍乍兑䅯䅡䅅䅁䅅䅁䉁䅁䅁兂穁積積硍噎䅑杷允䅁䅁䅕䅁䑁䅁䅁䅁䙁䅁䅁䅁䅁䠸䅆权䕂睃䅁兂䅁䅁䅁䡏乍兑䅯䅡䅅䅁䅅䅁䉁䅁䅁兂慃婭婭婭䙫䅑杷允䅁䅁䅕䅁䑁䅁䅁䅁䙁䅁䅁䅁䅁䠸䅆权䕂睃䅁兂䅁䅁䅁䡑乍兑䅯䅡䅅䅁䅅䅁䉁䅁䅁兂桁晶煊汹ㄯ睐杷允䅁䅁䅕䅁䑁䅁䅁䅁䙁䅁䅁䅁䅁䠸䅆权䕂睃䅁兂䅁䅁䅁䡍乍兑䅯䅍䅁䅁䅅䅁䉁䅁䅁兂浂浚浚煚啚䅑杷允䅁䅁䅧䅁䑁䅁䅁䅁䭁䅁䅁䅁䭁䕁䱑䅁䙁䅁䅁䅁睃晦䄱权睁䅁䅁权䥄䅁䅁权䕁䅁䅋权癁杂䅁允䅁䅁䅅䅁䙁䙁歰㥏券䅨䈹䍄䉁䅁䅁兂䅁䅁䅍䅁䅁䅁䅕䅁䅁䅁睄啣䭁䕁䱑䅁䙁䅁䅁䅁兂督䈱权潂允䅁允䅁䅁䅅䅁䙁䑁䑹癨䨴汉䅸䍄䉁䅁䅁杂䅁䅁䅍睁䅁䅁䅕䅁䅁䅁睄啣䙁䅁䅁䅁䅄⽉䄱权䕁䅁䅋权䕁䅁䅋权㙂允䅁允䅁䅁䅅䅁䭁䱁䡫䅁䵁䅉䅅䅁䙁䅁䅁睁䅁䅁䅁兂䅁䅁䅁偁硂䅑䅯䅒䅳䅁䅕䅁䅁䝁穨啄䭅䝁䉧䅁䉁䅁䅁允䅁䅁䅯条䅅䅁杷允䅁䅁䅧䅁䑁䅁䅁䅁䭁䅁䅁䅁䭁䕁䱑䅁䙁䅁䅁䅁睃晦䄱权湂允䅁权慃䅁䅁权䕁䅁䅋权癁杂䅁允䅁䅁䅅䅁䙁䅁䅁䅁䅁䅁䅁䍄䉁䅁䅁兂䅁䅁䅍䅁䅁䅁䅕䅁䅁䅁睄啣䭁䕁䱑䅁䙁䅁䅁䅁元督䈱权潂允䅁允䅁䅁䅅䅁䙁䱁夶⭤癙桰䄱䍄䉁䅁䅁兂䅁䅁䅍䅁䅁䅁䅕䅁䅁䅁睄啣䭁䕁䱑䅁䙁䅁䅁䅁允⼳䅴权潂允䅁允䅁䅁䅅䅁䙁䵁䱤㑎牫偶䅨䍄䉁䅁䅁兂䅁䅁䅍䅁䅁䅁䅕䅁䅁䅁睄啣䭁䕁䱑䅁䙁䅁䅁䅁睃杣䈱权潂允䅁允䅁䅁䅅䅁䙁䙁楈畺䭂制䅤䍄䉁䅁䅁兂䅁䅁䅍䅁䅁䅁䅕䅁䅁䅁睄啣䭁䕁䱑䅁䙁䅁䅁䅁㑃杣䈱权潂允䅁允䅁䅁䅅䅁䙁䍁㥇洸䭲⽘⽕䍄䉁䅁䅁兂䅁䅁䅍䅁䅁䅁䅕䅁䅁䅁睄啣䭁䕁䱑䅁䙁䅁䅁䅁䅄杣䈱权潂允䅁允䅁䅁䅅䅁䙁䙁㝬吶㥦婔䅂䍄䉁䅁䅁兂䅁䅁䅍䅁䅁䅁䅕䅁䅁䅁睄啣䭁䕁䱑䅁䙁䅁䅁䅁䥄杣䈱权潂允䅁允䅁䅁䅅䅁䭁䝁䉯䅁䵁䅉䅅䅁䙁䅁䅁睁䅁䅁䅁兂䅁䅁䅁偁硂䅑䅯䅒䅳䅁䅕䅁䅁乁票啄䭅䝁䉧䅁䉁䅁䅁允䅁䅁䅕〱癆㍏㔶啁䵁䅉䅅䅁䙁䅁䅁睁䅁䅁䅁兂䅁䅁䅁偁硂䅑䅯䅒䅳䅁䅕䅁䅁佁祂啄䭅䝁䉧䅁䉁䅁䅁允䅁䅁䅕䵯䭵ㅬ䜲啋䵁䅉䅅䅁䙁䅁䅁睁䅁䅁䅁兂䅁䅁䅁偁硂䅑䅯䅒䅳䅁䅕䅁䅁佁票啄䭅䝁䉧䅁䉁䅁䅁允䅁䅁䅕䅁䅁䅁䅁䅁䵁䅉䅅䅁䙁䅁䅁睁䅁䅁䅁兂䅁䅁䅁偁硂䅑䅯䅒䅳䅁䅕䅁䅁偁祂啄䭅䝁䉧䅁䉁䅁䅁允䅁䅁䅕䅁䅁䅁䅁䅁䵁䅉䅅䅁䙁䅁䅁睁䅁䅁䅁兂䅁䅁䅁偁硂䅑䅯䅒䅳䅁䅕䅁䅁䉁穂啄䭅䑁䅁䅁䉁䅁䅁允䅁䅁䅕瑫猯䅉佂歙䵁䅉䅅䅁䙁䅁䅁睁䅁䅁䅁兂䅁䅁䅁偁硂䅑䅯䅒䅳䅁䅕䅁䅁䍁穂啄䭅䑁䅁䅁䉁䅁䅁允䅁䅁䅕㕳ぴ瑴桴捅䵁䅉䅅䅁䙁䅁䅁睁䅁䅁䅁兂䅁䅁䅁偁硂䅑䅯䅒䅳䅁䅕䅁䅁䑁穨啄䭅䑁䅁䅁䉁䅁䅁允䅁䅁䅕捺䵺䵺䵺䕂䵁䅉䅅䅁䙁䅁䅁睁䅁䅁䅁兂䅁䅁䅁偁硂䅑䅯䅒䅳䅁䅕䅁䅁䕁穨啄䭅䑁䅁䅁䉁䅁䅁允䅁䅁䅕䅁䅁䅁䅁䕁䵁䅉䅅䅁䙁䅁䅁睁䅁䅁䅁兂䅁䅁䅁偁硂䅑䅯䅒䅳䅁䅕䅁䅁䙁穨啄䭅䑁䅁䅁䉁䅁䅁允䅁䅁䅕⽦䅷⬯娹䕒䵁䅉䅅䅁䥁䅁䅁睁䅁䅁䅁权䅁䅁䅁权䕂睃䅁兂䅁䅁䅁䡳㤳䅑䅯䅍䅁䅁䅯䄫䅁䅁䅯䅂䍁䅧䅯睌䅙䅁䅅䅁䉁䅁䅁兂䕁杖琵䉲穳兑杷允䅁䅁䅕䅁䑁䅁䅁䅁䙁䅁䅁䅁䅁䠸䅆权䕂睃䅁兂䅁䅁䅁䡡乍兑䅯䅍䅁䅁䅅䅁䉁䅁䅁权煂允䅁䍄䉁䅁䅁兂䅁䅁䅍䅁䅁䅁䅕䅁䅁䅁睄啣䭁䕁䱑䅁䙁䅁䅁䅁元督䈱权睁䅁䅁允䅁䅁䅅䅁䙁䥁偏䕈䝔桰䅄䍄䉁䅁䅁兂䅁䅁䅍䅁䅁䅁䅕䅁䅁䅁睄啣䭁䕁䱑䅁䙁䅁䅁䅁睃杣䈱权睁䅁䅁允䅁䅁䅅䅁䙁䱁婭䝷畍睄䅊䍄䉁䅁䅁䅃䅁䅁䅍䅁䅁䅁䅯䅁䅁䅁䅯䅒䅳䅁䅕䅁䅁䱁㥂唯䭁䝁䉣䅁䭁佁䄴䅁䭁䅁䅑潁䭁䍁䜸䅁䉁䅁䅁允䅁䅁䅕䅁䅁䅁䅁䅁䵁䅉䅅䅁䥁䅁䅁睁䅁䅁䅁权䅁䅁䅁权䕂睃䅁兂䅁䅁䅁䡳㤳䅑䅯兡䅅䅁䅯杶䅁䅁䅯䅂䍁䅧䅯睌䅙䅁䅅䅁䉁䅁䅁兂䅁䅁䅁䅁䅁䅁杷允䅁䅁䅕䅁䑁䅁䅁䅁䙁䅁䅁䅁䅁䠸䅆权䕂睃䅁兂䅁䅁䅁䡷义兑䅯䅍䅁䅁䅅䅁䉁䅁䅁兂⭄奕䵯卙䡗䅑杷允䅁䅁䅕䅁䑁䅁䅁䅁䙁䅁䅁䅁䅁䠸䅆权䕂睃䅁兂䅁䅁䅁䡹义兑䅯䅍䅁䅁䅅䅁䉁䅁䅁权煂允䅁䍄䉁䅁䅁兂䅁䅁䅍䅁䅁䅁䅕䅁䅁䅁睄啣䭁䕁䱑䅁䙁䅁䅁䅁兄杣䈱权睁䅁䅁允䅁䅁䅅䅁䙁䥁歰楦扔⽲⽯䍄䉁䅁䅁兂䅁䅁䅍䅁䅁䅁䅕䅁䅁䅁睄啣䭁䕁䱑䅁䙁䅁䅁䅁奄杣䈱权睁䅁䅁允䅁䅁䅅䅁䙁乁㝒⭺䬳督䅚䍄䉁䅁䅁兂䅁䅁䅍䅁䅁䅁䅕䅁䅁䅁睄啣䭁䕁䱑䅁䙁䅁䅁䅁杄杣䈱权睁䅁䅁允䅁䅁䅅䅁䙁䭁扎⭲䉬卄䄹䍄䉁䅁䅁兂䅁䅁䅍䅁䅁䅁䅕䅁䅁䅁睄啣䭁䕁䱑䅁䙁䅁䅁䅁潄杣䈱权睁䅁䅁允䅁䅁䅅䅁䙁䅁䅁䅁䅁䅁䅁䍄䉁䅁䅁兂䅁䅁䅍䅁䅁䅁䅕䅁䅁䅁睄啣䭁䕁䱑䅁䙁䅁䅁䅁睄杣䈱权睁䅁䅁允䅁䅁䅅䅁䙁䅁䅁䅁䅁䅁䅁䍄䉁䅁䅁兂䅁䅁䅍䅁䅁䅁䅕䅁䅁䅁睄啣䭁䕁䱑䅁䙁䅁䅁䅁㑄杣䈱权睁䅁䅁允䅁䅁䅅䅁䭁䅁䅣䅁䵁䅉䅅䅁䙁䅁䅁睁䅁䅁䅁兂䅁䅁䅁偁硂䅑䅯䅒䅳䅁䅕䅁䅁䅁穂啄䭅䑁䅁䅁䉁䅁䅁允䅁䅁䅕積積積積稴䴸䅉䅅䅁䙁䅁䅁睁䅁䅁䅁兂䅁䅁䅁偁硂䅑䅯䅒䅳䅁䅕䅁䅁䅁穨啄䭅䑁䅁䅁䉁䅁䅁允䅁䅁䅕䅁䅁䅁䅁䅁䵁䅉䅅䅁䙁䅁䅁睁䅁䅁䅁兂䅁䅁䅁偁硂䅑䅯䅒䅳䅁䅕䅁䅁䉁穂啄䭅䅁䅙䅁䉁䅁䅁允䅁䅁䅕砰偷䅢䕳䕚䵁䅉䅅䅁䙁䅁䅁睁䅁䅁䅁兂䅁䅁䅁偁硂䅑䅯䅒䅳䅁䅕䅁䅁䍁剄〫䭁䅁䅙䅁䉁䅁䅁允䅁䅁䅕浗㝑摗㥎䕥䵅䅉䅅䅁䙁䅁䅁睁䅁䅁䅁兂䅁䅁䅁偁硂䅑䅯䅒䅳䅁䅕䅁䅁䍁穂啄䭅䅁䅙䅁䉁䅁䅁允䅁䅁䅕娲假歧湸㡈䵁䅉䅅䅁䙁䅁䅁睁䅁䅁䅁兂䅁䅁䅁偁硂䅑䅯䅒䅳䅁䅕䅁䅁䍁穨啄䭅䅁䅙䅁䉁䅁䅁允䅁䅁䅕樱捶杄戳ぇ䵁䅉䅅䅁䙁䅁䅁睁䅁䅁䅁兂䅁䅁䅁偁硂䅑䅯䅒䅳䅁䅕䅁䅁䑁穂啄䭅䅁䅙䅁䉁䅁䅁允䅁䅁䅕䅁䅁䅁䅃啖䵁䅉䅅䅁䙁䅁䅁睁䅁䅁䅁兂䅁䅁䅁偁硂䅑䅯䅒䅳䅁䅕䅁䅁䑁穨啄䭅䅁䅙䅁䉁䅁䅁允䅁䅁䅕捺䵺䵺䵺䕂䵁䅉䅅䅁䙁䅁䅁睁䅁䅁䅁兂䅁䅁䅁偁硂䅑䅯䅒䅳䅁䅕䅁䅁䕁穂啄䭅䅁䅙䅁䉁䅁䅁允䅁䅁䅕䡮㡖煡兴捇䵁䅉䅅䅁䙁䅁䅁睁䅁䅁䅁兂䅁䅁䅁偁硂䅑䅯䅒䅳䅁䅕䅁䅁䕁穨啄䭅䅁䅙䅁䉁䅁䅁允䅁䅁䅕䅁䅁䅁䅁䵅䵁䅉䅅䅁䥁䅁䅁睁䅁䅁䅁权䅁䅁䅁权䕂睃䅁兂䅁䅁䅁䡳㤳䅑䅯兺䅣䅁䅯杹䅁䅁䅯䅂䍁䅧䅯睌䅙䅁䅅䅁䉁䅁䅁兂䅁䅁䅁䅁䅁䅁杷允䅁䅁䅕䅁䑁䅁䅁䅁䙁䅁䅁䅁䅁䠸䅆权䕂睃䅁兂䅁䅁䅁䡕乍兑䅯杂䅁䅁䅅䅁䉁䅁䅁兂奄稹慺㍅扸䅑杷允䅁䅁䅕䅁䑁䅁䅁䅁䙁䅁䅁䅁䅁䠸䅆权䕂睃䅁兂䅁䅁䅁䡙乍兑䅯杂䅁䅁䅅䅁䉁䅁䅁权煂允䅁䍄䉁䅁䅁兂䅁䅁䅍䅁䅁䅁䅕䅁䅁䅁睄啣䭁䕁䱑䅁䙁䅁䅁䅁潂督䈱权䝁䅁䅁允䅁䅁䅅䅁䭁䝁䉯䅁䵁䅉䅅䅁䙁䅁䅁睁䅁䅁䅁兂䅁䅁䅁偁硂䅑䅯䅒䅳䅁䅕䅁䅁䩁穂啄䭅䅁䅙䅁䉁䅁䅁允䅁䅁䅕奪先戱汆㡆䵁䅉䅅䅁䙁䅁䅁睁䅁䅁䅁兂䅁䅁䅁偁硂䅑䅯䅒䅳䅁䅕䅁䅁䱁祂啄䭅䅁䅙䅁䉁䅁䅁允䅁䅁䅕偊䉸硅㉣䵄䵁䅉䅅䅁䙁䅁䅁睁䅁䅁䅁兂䅁䅁䅁偁硂䅑䅯䅒䅳䅁䅕䅁䅁䱁票啄䭅䅁䅙䅁䉁䅁䅁允䅁䅁䅕䡮㡖煡兴捇䵁䅉䅅䅁䙁䅁䅁睁䅁䅁䅁兂䅁䅁䅁偁硂䅑䅯䅒䅳䅁䅕䅁䅁䵁祂啄䭅䅁䅙䅁䉁䅁䅁允䅁䅁䅕⽅敧塩之䕩䵁䅉䅅䅁䙁䅁䅁睁䅁䅁䅁兂䅁䅁䅁偁硂䅑䅯䅒䅳䅁䅕䅁䅁乁祂啄䭅䅁䅙䅁䉁䅁䅁允䅁䅁䅕浂呅材敁䕁䵁䅉䅅䅁䙁䅁䅁睁䅁䅁䅁兂䅁䅁䅁偁硂䅑䅯䅒䅳䅁䅕䅁䅁乁票啄䭅䅁䅙䅁䉁䅁䅁允䅁䅁䅕啦畩捕穕あ䵁䅉䅅䅁䙁䅁䅁睁䅁䅁䅁兂䅁䅁䅁偁硂䅑䅯䅒䅳䅁䅕䅁䅁佁祂啄䭅䅁䅙䅁䉁䅁䅁允䅁䅁䅕䘷㐴扉䨷歊䵁䅉䅅䅁䙁䅁䅁睁䅁䅁䅁兂䅁䅁䅁偁硂䅑䅯䅒䅳䅁䅕䅁䅁佁票啄䭅䅁䅙䅁䉁䅁䅁允䅁䅁䅕䅁䅁䅁䅁䅁䵁䅉䅅䅁䙁䅁䅁睁䅁䅁䅁兂䅁䅁䅁偁硂䅑䅯䅒䅳䅁䅕䅁䅁偁票啄䭅䅁䅙䅁䉁䅁䅁允䅁䅁䅯睂䅁䅁杷允䅁䅁䅕䅁䑁䅁䅁䅁䙁䅁䅁䅁䅁䠸䅆权䕂睃䅁兂䅁䅁䅁䡁乍兑䅯杂䅁䅁䅅䅁䉁䅁䅁兂䅁䅁䅁䅁杄睐杷允䅁䅁䅕䅁䑁䅁䅁䅁䙁䅁䅁䅁䅁䠸䅆权䕂睃䅁兂䅁䅁䅁䡃乍兑䅯杂䅁䅁䅅䅁䉁䅁䅁兂䅁䅁䅁䅁䅁䅁杷允䅁䅁䅍䅁䑁䅁䅍䅁䙁䅁䅁䅁䅁䠸䅆兂䅁䅁䅁䡅乍兑䅅䅁䉁䅁䅁权呄杂䅁䍄䉁䅁䅁睁䅁䅁䅍睁䅁䅁䅕䅁䅁䅁睄啣䙁䅁䅁䅁奁督䈱允䅁䅁䅅䅁䭁乁䝕䅁䵁䅉䅅䅁䑁䅁䅁睁䑁䅁䅁兂䅁䅁䅁偁硂䅑䅕䅁䅁䍁穂啄䉅䅁䅁允䅁䅁䅯眱䅙䅁杷允䅁䅁䅍䅁䑁䅁䅍䅁䙁䅁䅁䅁䅁䠸䅆兂䅁䅁䅁䡋乍兑䅅䅁䉁䅁䅁权慄杂䅁䍄䉁䅁䅁睁䅁䅁䅍睁䅁䅁䅕䅁䅁䅁睄啣䙁䅁䅁䅁睁督䈱允䅁䅁䅅䅁䭁乁䝳䅁䵁䅉䅅䅁䑁䅁䅁睁䑁䅁䅁兂䅁䅁䅁偁硂䅑䅕䅁䅁䑁穨啄䉅䅁䅁允䅁䅁䅯䄳䅙䅁杷允䅁䅁䅍䅁䑁䅁䅍䅁䙁䅁䅁䅁䅁䠸䅆兂䅁䅁䅁䡑乍兑䅅䅁䉁䅁䅁权啄杂䅁䍄䉁䅁䅁睁䅁䅁䅍睁䅁䅁䅕䅁䅁䅁睄啣䙁䅁䅁䅁兂督䈱允䅁䅁䅅䅁䭁乁䝫䅁䵁䅉䅅䅁䑁䅁䅁睁䑁䅁䅁兂䅁䅁䅁偁硂䅑䅕䅁䅁䙁穨啄䉅䅁䅁允䅁䅁䅯儳䅙䅁杷允䅁䅁䅕䅁䑁䅁䅁䅁䙁䅁䅁䅁䅁䠸䅆权䕂睃䅁兂䅁䅁䅁䈴⭘䅑䅯睚䅅䅁䅅䅁䉁䅁䅁兂ㅄ硒䝧䝌䙫䅑杷允䅁䅁䅧䅁䑁䅁䅁䅁䭁䅁䅁䅁䭁䕁䱑䅁䙁䅁䅁䅁睃晦䄱权睁䅁䅁权桂䅁䅁权䕁䅁䅋权癁杂䅁允䅁䅁䅅䅁䙁䅁䅁䅁䅁䅁䅁䍄䉁䅁䅁睁䅁䅁䅍睁䅁䅁䅕䅁䅁䅁睄啣䙁䅁䅁䅁杂督䈱允䅁䅁䅅䅁䭁乁䜴䅁䵁䅉䅅䅁䑁䅁䅁睁䑁䅁䅁兂䅁䅁䅁偁硂䅑䅕䅁䅁䩁穂啄䉅䅁䅁允䅁䅁䅯䄲䅙䅁杷允䅁䅁䅍䅁䑁䅁䅍䅁䙁䅁䅁䅁䅁䠸䅆兂䅁䅁䅁䡳义兑䅅䅁䉁䅁䅁权湂兆䅁䍄䉁䅁䅁睁䅁䅁䅍睁䅁䅁䅕䅁䅁䅁睄啣䙁䅁䅁䅁䥄杣䈱允䅁䅁䅅䅁䭁䝁噧䅁䵁䅉䅅䅁䥁䅁䅁睁䅁䅁䅁权䅁䅁䅁权䕂睃䅁兂䅁䅁䅁䡳㤳䅑䅯兡䅅䅁䅯䄳䅁䅁䅯䅂䍁䅧䅯睌䅙䅁䅅䅁䉁䅁䅁兂䅁䅁䅁䅁䅁䅁杷允䅁䅁䅍䅁䑁䅁䅍䅁䙁䅁䅁䅁䅁䠸䅆兂䅁䅁䅁䠰义兑䅅䅁䉁䅁䅁权牂兆䅁䍄䉁䅁䅁睁䅁䅁䅍睁䅁䅁䅕䅁䅁䅁睄啣䙁䅁䅁䅁奄杣䈱允䅁䅁䅅䅁䭁䝁噷䅁䵁䅉䅅䅁䑁䅁䅁睁䑁䅁䅁兂䅁䅁䅁偁硂䅑䅕䅁䅁佁票啄䉅䅁䅁允䅁䅁䅯桢䅕䅁杷允䅁䅁䅍䅁䑁䅁䅍䅁䙁䅁䅁䅁䅁䠸䅆兂䅁䅁䅁䠸义兑䅅䅁䉁䅁䅁权療兆䅁䍄䉁䅁䅁睁䅁䅁䅍睁䅁䅁䅕䅁䅁䅁睄啣䙁䅁䅁䅁䅁督䈱允䅁䅁䅅䅁䭁䡁噁䅁䵁䅉䅅䅁䙁䅁䅁睁䅁䅁䅁兂䅁䅁䅁偁硂䅑䅯䅒䅳䅁䅕䅁䅁䵁噁欯䭁䵁䠰䅁䉁䅁䅁允䅁䅁䅕㡖佂⼫煥啁䵁䅉䅅䅁䙁䅁䅁睁䅁䅁䅁兂䅁䅁䅁偁硂䅑䅯䅒䅳䅁䅕䅁䅁䵁噁欯䭁䝁䉣䅁䉁䅁䅁允䅁䅁䅕剁摎䵶㥔吶䴸䅉䅅䅁䙁䅁䅁睁䅁䅁䅁兂䅁䅁䅁偁硂䅑䅯䅒䅳䅁䅕䅁䅁乁噁欯䭁䵁䠰䅁䉁䅁䅁允䅁䅁䅕䥸歰搲䜱歖䵁䅉䅅䅁䙁䅁䅁睁䅁䅁䅁兂䅁䅁䅁偁硂䅑䅯䅒䅳䅁䅕䅁䅁佁噁欯䭁䵁䠰䅁䉁䅁䅁允䅁䅁䅕灕䙏偖䭢啇䵁䅉䅅䅁䙁䅁䅁睁䅁䅁䅁兂䅁䅁䅁偁硂䅑䅯䅒䅳䅁䅕䅁䅁偁噁欯䭁䵁䠰䅁䉁䅁䅁允䅁䅁䅕穂楑灙䍑啗䵁䅉䅅䅁䙁䅁䅁睁䅁䅁䅁兂䅁䅁䅁偁硂䅑䅯䅒䅳䅁䅕䅁䅁偁噁欯䭁䝁䉣䅁䉁䅁䅁允䅁䅁䅕慥癆奷乪し䵁䅉䅅䅁䙁䅁䅁睁䅁䅁䅁兂䅁䅁䅁偁硂䅑䅯䅒䅳䅁䅕䅁䅁䩁兄〫䭁䅁䅙䅁䉁䅁䅁允䅁䅁䅕䥒獴㌵卙啊䵅䅉䅅䅁䙁䅁䅁睁䅁䅁䅁兂䅁䅁䅁偁硂䅑䅯䅒䅳䅁䅕䅁䅁䅁坁欯䭁䵁䠰䅁䉁䅁䅁允䅁䅁䅕べ杌攷䝢啊䵁䅉䅅䅁䙁䅁䅁睁䅁䅁䅁兂䅁䅁䅁偁硂䅑䅯䅒䅳䅁䅕䅁䅁䅁坁欯䭁䝁䉣䅁䉁䅁䅁允䅁䅁䅕硆㍙敹硱啊䵁䅉䅅䅁䙁䅁䅁睁䅁䅁䅁兂䅁䅁䅁偁硂䅑䅯䅒䅳䅁䅕䅁䅁偁䝁欯䭁䵁䠰䅁䉁䅁䅁允䅁䅁䅕㑋坣㙭楧啥䵅䅉䅅䅁䙁䅁䅁睁䅁䅁䅁兂䅁䅁䅁偁硂䅑䅯䅒䅳䅁䅕䅁䅁偁䝁欯䭁䝁䉣䅁䉁䅁䅁允䅁䅁䅕㝤昶䄶乬䕥䵅䅉䅅䅁䥁䅁䅁睁䅁䅁䅁权䅁䅁䅁权䕂睃䅁兂䅁䅁䅁䡳㤳䅑䅯兡䅅䅁䅯杭䅁䅁䅯䅂䍁䅧䅯睌䅙䅁䅅䅁䉁䅁䅁兂䅁䅁䅁䅁䅁䅁杷允䅁䅁䅕䅁䑁䅁䅁䅁䙁䅁䅁䅁䅁䠸䅆权䕂睃䅁兂䅁䅁䅁䅍⭢䅑䅯兺䅣䅁䅅䅁䉁䅁䅁兂䅁䅁杄㉖牊兑杷允䅁䅁䅧䅁䑁䅁䅁䅁䭁䅁䅁䅁䭁䕁䱑䅁䙁䅁䅁䅁睃晦䄱权䝁䅁䅁权湂䅁䅁权䕁䅁䅋权癁杂䅁允䅁䅁䅅䅁䙁䅁䅁䅁䅁䅁䅁䍄䉁䅁䅁兂䅁䅁䅍䅁䅁䅁䅕䅁䅁䅁睄啣䭁䕁䱑䅁䙁䅁䅁䅁睁療䄵权湂允䅁允䅁䅁䅅䅁䙁䅁䅁䕁偁䝇䉴䍄䉁䅁䅁兂䅁䅁䅍䅁䅁䅁䅕䅁䅁䅁睄啣䭁䕁䱑䅁䙁䅁䅁䅁睂癁䄵权乄睂䅁允䅁䅁䅅䅁䙁䅁䅁䑁摺均䉸䍄䉁䅁䅁兂䅁䅁䅍䅁䅁䅁䅕䅁䅁䅁睄啣䭁䕁䱑䅁䙁䅁䅁䅁睂癁䄵权湂允䅁允䅁䅁䅅䅁䙁䍁扐嘫㝱浇䉸䍄䉁䅁䅁䅃䅁䅁䅍䅁䅁䅁䅯䅁䅁䅁䅯䅒䅳䅁䅕䅁䅁䱁㥂唯䭁䑁䅁䅁䭁䵁䅉䅁䭁䅁䅑潁䭁䍁䜸䅁䉁䅁䅁允䅁䅁䅕䅁䅁䅁䅁䅁䵁䅉䅅䅁䙁䅁䅁睁䅁䅁䅁兂䅁䅁䅁偁硂䅑䅯䅒䅳䅁䅕䅁䅁䥁䍁欯䭁䝁䉣䅁䉁䅁䅁允䅁䅁䅕䡰㥁然砫䕕䵅䅉䅅䅁䙁䅁䅁睁䅁䅁䅁兂䅁䅁䅁偁硂䅑䅯䅒䅳䅁䅕䅁䅁乁敄〫䭁䝁䉣䅁䉁䅁䅁允䅁䅁䅕浑汄䝍扂ご䵅䅉䅅䅁䝁䅁䅁睁䑁䅁䅁兂䅁䅁䅁偁硂䅑䅕䅁䅁䱁卄〫䭁䍁䜴䅁䭁䅁䅑潁䭁䡁䉯䅁䉁䅁䅁允䅁䅁䅯眶䅙䅁杷允䅁䅁䅕䅁䑁䅁䅁䅁䙁䅁䅁䅁䅁䠸䅆权䕂睃䅁兂䅁䅁䅁丸㜷䅑䅯兺䅣䅁䅅䅁䉁䅁䅁兂䑄匹捪児䅖兑杷允䅁䅁䅕䅁䑁䅁䅁䅁䙁䅁䅁䅁䅁䠸䅆权䕂睃䅁兂䅁䅁䅁丸㜷䅑䅯睚䅅䅁䅅䅁䉁䅁䅁兂歂㥏昸硅䄹兑杷允䅁䅁䅕䅁䑁䅁䅁䅁䙁䅁䅁䅁䅁䠸䅆权䕂睃䅁兂䅁䅁䅁乑㜯䅑䅯兺䅣䅁䅅䅁䉁䅁䅁兂捃䍸睄ㅫ㙣兑杷允䅁䅁䅧䅁䑁䅁䅁䅁䭁䅁䅁䅁䭁䕁䱑䅁䙁䅁䅁䅁睃晦䄱权湂允䅁权䅄䅁䅁权䕁䅁䅋权癁杂䅁允䅁䅁䅅䅁䙁䅁䅁䅁䅁䅁䅁䍄䉁䅁䅁兂䅁䅁䅍䅁䅁䅁䅕䅁䅁䅁睄啣䭁䕁䱑䅁䙁䅁䅁䅁䅃癁䄵权䝁䅁䅁允䅁䅁䅅䅁䙁䙁余啌啰汋䉆䍄䉁䅁䅁䅃䅁䅁䅍䅁䅁䅁䅯䅁䅁䅁䅯䅒䅳䅁䅕䅁䅁䱁㥂唯䭁䵁䠰䅁䭁䵁䅙䅁䭁䅁䅑潁䭁䍁䜸䅁䉁䅁䅁允䅁䅁䅕䅁䅁䅁䅁䅁䵁䅉䅅䅁䙁䅁䅁睁䅁䅁䅁兂䅁䅁䅁偁硂䅑䅯䅒䅳䅁䅕䅁䅁䉁晄〫䭁䵁䠰䅁䉁䅁䅁允䅁䅁䅕浑汄估栵唸䵁䅉䅅䅁䙁䅁䅁睁䅁䅁䅁兂䅁䅁䅁偁硂䅑䅯䅒䅳䅁䅕䅁䅁䉁晄〫䭁䝁䉣䅁䉁䅁䅁允䅁䅁䅕牕敧慨猰唹䵁䅉䅅䅁䙁䅁䅁睁䅁䅁䅁兂䅁䅁䅁偁硂䅑䅯䅒䅳䅁䅕䅁䅁䅁晄〫䭁䵁䠰䅁䉁䅁䅁允䅁䅁䅕䑗ね䱹橚䕶䵁䅉䅅䅁䙁䅁䅁睁䅁䅁䅁兂䅁䅁䅁偁硂䅑䅯䅒䅳䅁䅕䅁䅁䅁晄〫䭁䝁䉣䅁䉁䅁䅁允䅁䅁䅕扌摋㤷ㅣ䕷䵁䅉䅅䅁䙁䅁䅁睁䅁䅁䅁兂䅁䅁䅁偁硂䅑䅯䅒䅳䅁䅕䅁䅁䵁噁欯䭁䝁䉫䅁䉁䅁䅁允䅁䅁䅕楥樹硲浹い䵁䅉䅅䅁䙁䅁䅁睁䅁䅁䅁兂䅁䅁䅁偁硂䅑䅯䅒䅳䅁䅕䅁䅁乁噁欯䭁䝁䉫䅁䉁䅁䅁允䅁䅁䅕䡭漱䙍獦䕖䵁䅉䅅䅁䙁䅁䅁睁䅁䅁䅁兂䅁䅁䅁偁硂䅑䅯䅒䅳䅁䅕䅁䅁佁噁欯䭁䝁䉫䅁䉁䅁䅁允䅁䅁䅕ㅴ䙢博䍚䕋䵁䅉䅅䅁䙁䅁䅁睁䅁䅁䅁兂䅁䅁䅁偁硂䅑䅯䅒䅳䅁䅕䅁䅁偁噁欯䭁䝁䉫䅁䉁䅁䅁允䅁䅁䅕㠹杣䙈䍪歗䵁䅉䅅䅁䙁䅁䅁睁䅁䅁䅁兂䅁䅁䅁偁硂䅑䅯䅒䅳䅁䅕䅁䅁䅁坁欯䭁䝁䉫䅁䉁䅁䅁允䅁䅁䅕楄䉵剏稸䕊䵁䅉䅅䅁䙁䅁䅁睁䅁䅁䅁兂䅁䅁䅁偁硂䅑䅯䅒䅳䅁䅕䅁䅁偁䝁欯䭁䝁䉫䅁䉁䅁䅁允䅁䅁䅕䵱䱚⽧丵啥䵅䅉䅅䅁䙁䅁䅁睁䅁䅁䅁兂䅁䅁䅁偁硂䅑䅯䅒䅳䅁䅕䅁䅁偁噁欯䭁䝁䉧䅁䉁䅁䅁允䅁䅁䅕畑婓䅐扰歗䵁䅉䅅䅁䙁䅁䅁睁䅁䅁䅁兂䅁䅁䅁偁硂䅑䅯䅒䅳䅁䅕䅁䅁䑁䝁欯䭁䝁䉫䅁䉁䅁䅁允䅁䅁䅕䅁䅁䑉塷啢䵅䅉䅅䅁䙁䅁䅁睁䅁䅁䅁兂䅁䅁䅁偁硂䅑䅯䅒䅳䅁䅕䅁䅁䡁䍁欯䭁䝁䉫䅁䉁䅁䅁允䅁䅁䅕ふ䵫瘵晶ち䵅䅉䅅䅁䙁䅁䅁睁䅁䅁䅁兂䅁䅁䅁偁硂䅑䅯䅒䅳䅁䅕䅁䅁䥁䍁欯䭁䝁䉫䅁䉁䅁䅁允䅁䅁䅕潂噇砸䝢䕕䵅䅉䅅䅁䙁䅁䅁睁䅁䅁䅁兂䅁䅁䅁偁硂䅑䅯䅒䅳䅁䅕䅁䅁䩁敄〫䭁䝁䉫䅁䉁䅁䅁允䅁䅁䅕㑅䅐流睕歖䵅䅉䅅䅁䙁䅁䅁睁䅁䅁䅁兂䅁䅁䅁偁硂䅑䅯䅒䅳䅁䅕䅁䅁偁敄〫䭁䝁䉫䅁䉁䅁䅁允䅁䅁䅕へ㍳坋祁ぐ䵅䅉䅅䅁䙁䅁䅁睁䅁䅁䅁兂䅁䅁䅁偁硂䅑䅯䅒䅳䅁䅕䅁䅁䕁晄〫䭁䝁䉫䅁䉁䅁䅁允䅁䅁䅕㉣剩兌婘歊䵅䅉䅅䅁䙁䅁䅁睁䅁䅁䅁兂䅁䅁䅁偁硂䅑䅯䅒䅳䅁䅕䅁䅁䉁晄〫䭁䝁䉫䅁䉁䅁䅁允䅁䅁䅕倹唳佥牭欳䵁䅉䅅䅁䥁䅁䅁睁䅁䅁䅁权䅁䅁䅁权䕂睃䅁兂䅁䅁䅁䡳㤳䅑䅯䅍䅁䅁䅯䅸䅁䅁䅯䅂䍁䅧䅯睌䅙䅁䅅䅁䉁䅁䅁兂䕁杖临ㅭ㍉兑杷允䅁䅁䅕䅁䑁䅁䅁䅁䙁䅁䅁䅁䅁䠸䅆权䕂睃䅁兂䅁䅁䅁䈰⭘䅑䅯䅡䅅䅁䅅䅁䉁䅁䅁兂䙃瑈䅢〫噸䅑杷允䅁䅁䅕䅁䑁䅁䅁䅁䙁䅁䅁䅁䅁䠸䅆权䕂睃䅁兂䅁䅁䅁䉁⭢䅑䅯䅡䅅䅁䅅䅁䉁䅁䅁兂橄椯呐景橣䅑杷允䅁䅁䅕䅁䑁䅁䅁䅁䙁䅁䅁䅁䅁䠸䅆权䕂睃䅁兂䅁䅁䅁䄸⭢䅑䅯䅡䅅䅁䅅䅁䉁䅁䅁兂䕁杖ㄵ洸㕰兑杷允䅁䅁䅕䅁䑁䅁䅁䅁䙁䅁䅁䅁䅁䠸䅆权䕂睃䅁兂䅁䅁䅁䅍⭢䅑䅯䅡䅅䅁䅅䅁䉁䅁䅁兂䅁䅁䅁㝆煆兑杷允䅁䅁䅕䅁䑁䅁䅁䅁䙁䅁䅁䅁䅁䠸䅆权䕂睃䅁兂䅁䅁䅁䅣⭌䅑䅯䅡䅅䅁䅅䅁䉁䅁䅁兂㥂穐⭖祤牤兑杷允䅁䅁䅕䅁䑁䅁䅁䅁䙁䅁䅁䅁䅁䠸䅆权䕂睃䅁兂䅁䅁䅁䅧⭌䅑䅯䅡䅅䅁䅅䅁䉁䅁䅁兂䵂㑎婬橉剖兑杷允䅁䅁䅕䅁䑁䅁䅁䅁䙁䅁䅁䅁䅁䠸䅆权䕂睃䅁兂䅁䅁䅁丰㜷䅑䅯䅡䅅䅁䅅䅁䉁䅁䅁兂呄坔潋娶兊兑杷允䅁䅁䅕䅁䑁䅁䅁䅁䙁䅁䅁䅁䅁䠸䅆权䕂睃䅁兂䅁䅁䅁丸㜷䅑䅯䅡䅅䅁䅅䅁䉁䅁䅁兂坂楄礲捲㥅兑杷允䅁䅁䅕䅁䑁䅁䅁䅁䙁䅁䅁䅁䅁䠸䅆权䕂睃䅁兂䅁䅁䅁乑㜯䅑䅯䅡䅅䅁䅅䅁䉁䅁䅁兂捃䍸睁捶桁兑杷允䅁䅁䅕䅁䑁䅁䅁䅁䙁䅁䅁䅁䅁䠸䅆权䕂睃䅁兂䅁䅁䅁乁㜯䅑䅯䅡䅅䅁䅅䅁䉁䅁䅁兂坂楄礲晐㉱䅑杷允䅁䅁䅕䅁䑁䅁䅁䅁䙁䅁䅁䅁䅁䠸䅆权䕂睃䅁兂䅁䅁䅁䉷⭘䅑䅯䅍䅁䅁䅅䅁䉁䅁䅁兂䑂潵渴䉏偳䅑杷允䅁䅁䅙䅁䑁䅁䅍䅁䙁䅁䅁䅁䅁䠸䅆兂䅁䅁䅁䭍㥘䅑䅯䅂䍁䅧䅯䅂䍁䅧䅯来䅅䅁䅅䅁䉁䅁䅁权㉁杂䅁䍄䉁䅁䅁兂䅁䅁䅍䅁䅁䅁䅕䅁䅁䅁睄啣䭁䕁䱑䅁䙁䅁䅁䅁兄晆䄵权睁䅁䅁允䅁䅁䅅䅁䙁䥁晙䕮搫ㅍ䅤䍄䉁䅁䅁兂䅁䅁䅍䅁䅁䅁䅕䅁䅁䅁睄啣䭁䕁䱑䅁䙁䅁䅁䅁杄晆䄵权睁䅁䅁允䅁䅁䅅䅁䙁佁㝸畈䨳南䅖䍄䉁䅁䅁兂䅁䅁䅍䅁䅁䅁䅕䅁䅁䅁睄啣䭁䕁䱑䅁䙁䅁䅁䅁睄晆䄵权睁䅁䅁允䅁䅁䅅䅁䙁䡁橭䍯婘噰䅨䍄䉁䅁䅁兂䅁䅁䅍䅁䅁䅁䅕䅁䅁䅁睄啣䭁䕁䱑䅁䙁䅁䅁䅁䅁癆䄵权睁䅁䅁允䅁䅁䅅䅁䙁䕁㕙婐乑䍔䅰䍄䉁䅁䅁兂䅁䅁䅍䅁䅁䅁䅕䅁䅁䅁睄啣䭁䕁䱑䅁䙁䅁䅁䅁睄療䄵权睁䅁䅁允䅁䅁䅅䅁䙁䅁䅁䩁啷湦䉬䍄䉁䅁䅁兂䅁䅁䅍䅁䅁䅁䅕䅁䅁䅁睄啣䭁䕁䱑䅁䙁䅁䅁䅁䅃癁䄵权睁䅁䅁允䅁䅁䅅䅁䙁乁乎汙桧噪䉆䍄䉁䅁䅁兂䅁䅁䅍䅁䅁䅁䅕䅁䅁䅁睄啣䭁䕁䱑䅁䙁䅁䅁䅁睄瘳䅴权睁䅁䅁允䅁䅁䅅䅁䙁䵁䭈敯扗橘䈱䍄䉁䅁䅁兂䅁䅁䅍䅁䅁䅁䅕䅁䅁䅁睄啣䭁䕁䱑䅁䙁䅁䅁䅁䅂⼳䅴权睁䅁䅁允䅁䅁䅅䅁䙁䙁偹瑷坘橋䈵䍄䉁䅁䅁兂䅁䅁䅍䅁䅁䅁䅕䅁䅁䅁睄啣䭁䕁䱑䅁䙁䅁䅁䅁允⼳䅴权睁䅁䅁允䅁䅁䅅䅁䙁偁唷佥畬⭏䄱䍄䉁䅁䅁兂䅁䅁䅍䅁䅁䅁䅕䅁䅁䅁睄啣䭁䕁䱑䅁䙁䅁䅁䅁䅁⼳䅴权睁䅁䅁允䅁䅁䅅䅁䙁䱁穢搯㑓扐䅰䍄䉁䅁䅁兂䅁䅁䅍䅁䅁䅁䅕䅁䅁䅁睄啣䭁䕁䱑䅁䙁䅁䅁䅁䅄晆䄵权䝁䅁䅁允䅁䅁䅅䅁䙁䕁灳浮㑬儶䅒䍄䉁䅁䅁兂䅁䅁䅍䅁䅁䅁䅕䅁䅁䅁睄啣䭁䕁䱑䅁䙁䅁䅁䅁兄晆䄵权䝁䅁䅁允䅁䅁䅅䅁䙁䉁剂浬扳䙯䅒䍄䉁䅁䅁兂䅁䅁䅍䅁䅁䅁䅕䅁䅁䅁睄啣䭁䕁䱑䅁䙁䅁䅁䅁杄晆䄵权䝁䅁䅁允䅁䅁䅅䅁䙁䉁㕲佶灋硴䄵䍄䉁䅁䅁兂䅁䅁䅍䅁䅁䅁䅕䅁䅁䅁睄啣䭁䕁䱑䅁䙁䅁䅁䅁睄晆䄵权䝁䅁䅁允䅁䅁䅅䅁䙁䝁ㅙ䅵湪汴䅬䍄䉁䅁䅁兂䅁䅁䅍䅁䅁䅁䅕䅁䅁䅁睄啣䭁䕁䱑䅁䙁䅁䅁䅁䅁癆䄵权䝁䅁䅁允䅁䅁䅅䅁䙁佁济潁㔫䍤䅂䍄䉁䅁䅁兂䅁䅁䅍䅁䅁䅁䅕䅁䅁䅁睄啣䭁䕁䱑䅁䙁䅁䅁䅁睄療䄵权䝁䅁䅁允䅁䅁䅅䅁䙁䙁歰ㅏ呮塦䉨䍄䉁䅁䅁兂䅁䅁䅍䅁䅁䅁䅕䅁䅁䅁睄啣䭁䕁䱑䅁䙁䅁䅁䅁睁療䄵权䝁䅁䅁允䅁䅁䅅䅁䙁䅁䅁佁偄㉯䉸䍄䉁䅁䅁兂䅁䅁䅍䅁䅁䅁䅕䅁䅁䅁睄啣䭁䕁䱑䅁䙁䅁䅁䅁睂癁䄵权䝁䅁䅁允䅁䅁䅅䅁䙁䙁乃⽬湊坡䉴䍄䉁䅁䅁兂䅁䅁䅍䅁䅁䅁䅕䅁䅁䅁睄啣䭁䕁䱑䅁䙁䅁䅁䅁睄瘳䅴权䝁䅁䅁允䅁䅁䅅䅁䙁乁㕶浦䙲䐸䉬䍄䉁䅁䅁兂䅁䅁䅍䅁䅁䅁䅕䅁䅁䅁睄啣䭁䕁䱑䅁䙁䅁䅁䅁䅂⼳䅴权䝁䅁䅁允䅁䅁䅅䅁䙁䉁䑏䕷䭲䍱䉊䍄䉁䅁䅁兂䅁䅁䅍䅁䅁䅁䅕䅁䅁䅁睄啣䭁䕁䱑䅁䙁䅁䅁䅁允⼳䅴权䝁䅁䅁允䅁䅁䅅䅁䙁䭁䙊癴偐倰䅨䍄䉁䅁䅁䅃䅁䅁䅍䅁䅁䅁䅯䅁䅁䅁䅯䅒䅳䅁䅕䅁䅁䱁㥂唯䭁䅁䅙䅁䭁乁䅑䅁䭁䅁䅑潁䭁䍁䜸䅁䉁䅁䅁允䅁䅁䅕䅁䅁䅁䅁䅁䵁䅉䅅䅁䙁䅁䅁睁䅁䅁䅁兂䅁䅁䅁偁硂䅑䅯䅒䅳䅁䅕䅁䅁䅁晄〫䭁䅁䅙䅁䉁䅁䅁允䅁䅁䅕匰扌嘫攵䕵䵁䅉䅅䅁䑁䅁䅁睁䑁䅁䅁兂䅁䅁䅁偁硂䅑䅕䅁䅁䵁噁欯䉁䅁䅁允䅁䅁䅯睁䅣䅁杷允䅁䅁䅍䅁䑁䅁䅍䅁䙁䅁䅁䅁䅁䠸䅆兂䅁䅁䅁䈸⭘䅑䅅䅁䉁䅁䅁权䙁睂䅁䍄䉁䅁䅁睁䅁䅁䅍睁䅁䅁䅕䅁䅁䅁睄啣䙁䅁䅁䅁睁療䄵允䅁䅁䅅䅁䭁偁䝧䅁䵁䅉䅅䅁䑁䅁䅁睁䑁䅁䅁兂䅁䅁䅁偁硂䅑䅕䅁䅁䥁䍁欯䉁䅁䅁允䅁䅁䅯䅃䅣䅁杷允䅁䅁䅍䅁䑁䅁䅍䅁䙁䅁䅁䅁䅁䠸䅆兂䅁䅁䅁乫㜷䅑䅅䅁䉁䅁䅁权㍄杂䅁䍄䉁䅁䅁䅃䅁䅁䅍䅁䅁䅁䅯䅁䅁䅁䅯䅒䅳䅁䅕䅁䅁䱁㥂唯䭁䵁䠰䅁䭁䱁䄴䅁䭁䅁䅑潁䭁䍁䜸䅁䉁䅁䅁允䅁䅁䅕䅁䅁䅁䅁䅁䵁䅉䅅䅁䥁䅁䅁睁䅁䅁䅁权䅁䅁䅁权䕂睃䅁兂䅁䅁䅁䡳㤳䅑䅯兡䅅䅁䅯朸䅁䅁䅯䅂䍁䅧䅯睌䅙䅁䅅䅁䉁䅁䅁兂䅁䅁䅁䅁䅁䅁杷允䅁䅁䅍䅁䑁䅁䅍䅁䙁䅁䅁䅁䅁䠸䅆兂䅁䅁䅁乑㜯䅑䅅䅁䉁䅁䅁权䩁睂䅁䍄䉁䅁䅁睁䅁䅁䅍睁䅁䅁䅕䅁䅁䅁睄啣䙁䅁䅁䅁允⼳䅴允䅁䅁䅅䅁䭁偁䝙䅁䵁䅉䅅䅁䑁䅁䅁睁䑁䅁䅁兂䅁䅁䅁偁硂䅑䅕䅁䅁䅁晄〫䉁䅁䅁允䅁䅁䅯权䅣䅁杷允䅁䅁䅧䅁䑁䅁䅁䅁䭁䅁䅁䅁䭁䕁䱑䅁䙁䅁䅁䅁睃晦䄱权乄睂䅁权䅄䅁䅁权䕁䅁䅋权癁杂䅁允䅁䅁䅅䅁䙁䅁䅁䅁䅁䅁䅁䍄䉁䅁䅁兂䅁䅁䅍䅁䅁䅁䅕䅁䅁䅁睄啣䭁䕁䱑䅁䙁䅁䅁䅁䅄䅭䉴权乄睂䅁允䅁䅁䅅䅁䙁䅁䅁䅁䅁䅁䅁䍄䉁䅁䅁兂䅁䅁䅍䅁䅁䅁䅕䅁䅁䅁睄啣䭁䕁䱑䅁䙁䅁䅁䅁䅄䅭䉴权湂允䅁允䅁䅁䅅䅁䙁䅁䅁䅁䅁䅁䅁䍄䉁䅁䅁兂䅁䅁䅍䅁䅁䅁䅕䅁䅁䅁睄啣䭁䕁䱑䅁䙁䅁䅁䅁杄⽺䅴权湂允䅁允䅁䅁䅅䅁䙁䑁敖橵偵渲䉒䍄䉁䅁䅁䅃䅁䅁䅍䅁䅁䅁䅯䅁䅁䅁䅯䅒䅳䅁䅕䅁䅁䱁㥂唯䭁䝁䉧䅁䭁䕁䄸䅁䭁䅁䅑潁䭁䍁䜸䅁䉁䅁䅁允䅁䅁䅕䅁䅁䅁䅁䅁䵁䅉䅅䅁䙁䅁䅁睁䅁䅁䅁兂䅁䅁䅁偁硂䅑䅯䅒䅳䅁䅕䅁䅁䵁奃ぃ䭅䝁䉫䅁䉁䅁䅁允䅁䅁䅕䅁䅁䅁䅁䅁䵁䅉䅅䅁䙁䅁䅁睁䅁䅁䅁兂䅁䅁䅁偁硂䅑䅯䅒䅳䅁䅕䅁䅁佁偄〫䭁䝁䉫䅁䉁䅁䅁允䅁䅁䅕捺䵺浥䕲䕤䵅䅉䅅䅁䙁䅁䅁睁䅁䅁䅁兂䅁䅁䅁偁硂䅑䅯䅒䅳䅁䅕䅁䅁䵁奃ぃ䭅䝁䉧䅁䉁䅁䅁允䅁䅁䅕䅁䅁䅁䅁䅁䵁䅉䅅䅁䙁䅁䅁睁䅁䅁䅁兂䅁䅁䅁偁硂䅑䅯䅒䅳䅁䅕䅁䅁佁偄〫䭁䝁䉧䅁䉁䅁䅁允䅁䅁䅕〳丫啉䭶䕤䵅䅉䅅䅁䙁䅁䅁睁䅁䅁䅁兂䅁䅁䅁偁硂䅑䅯䅒䅳䅁䅕䅁䅁䵁奃ぃ䭅䑁䅁䅁䉁䅁䅁允䅁䅁䅕䅁䅁䅁䅁䅁䵁䅉䅅䅁䙁䅁䅁睁䅁䅁䅁兂䅁䅁䅁偁硂䅑䅯䅒䅳䅁䅕䅁䅁佁偄〫䭁䑁䅁䅁䉁䅁䅁允䅁䅁䅕䉲慸䱹䑔っ䵅䅉䅅䅁䙁䅁䅁睁䅁䅁䅁兂䅁䅁䅁偁硂䅑䅯䅒䅳䅁䅕䅁䅁䵁奃ぃ䭅䅁䅙䅁䉁䅁䅁允䅁䅁䅕䅁䅁䅁䅁䅁䵁䅉䅅䅁䥁䅁䅁睁䅁䅁䅁权䅁䅁䅁权䕂睃䅁兂䅁䅁䅁䡳㤳䅑䅯睚䅅䅁䅯䅭䅁䅁䅯䅂䍁䅧䅯睌䅙䅁䅅䅁䉁䅁䅁兂䅁䅁䅁䅁䅁䅁杷允䅁䅁䅕䅁䑁䅁䅁䅁䙁䅁䅁䅁䅁䠸䅆权䕂睃䅁兂䅁䅁䅁䴴㜯䅑䅯杂䅁䅁䅅䅁䉁䅁䅁兂敂歵㑮潓祊兑杷允䅁䅁䅕䅁䑁䅁䅁䅁䙁䅁䅁䅁䅁䠸䅆权䕂睃䅁兂䅁䅁䅁䴸㜯䅑䅯兺䅣䅁䅅䅁䉁䅁䅁兂浄䌰扌扥批䅑杷允䅁䅁䅕䅁䑁䅁䅁䅁䙁䅁䅁䅁䅁䠸䅆权䕂睃䅁兂䅁䅁䅁䴸㜯䅑䅯睚䅅䅁䅅䅁䉁䅁䅁兂䵁楁䡵瑆則䅑杷允䅁䅁䅕䅁䑁䅁䅁䅁䙁䅁䅁䅁䅁䠸䅆权䕂睃䅁兂䅁䅁䅁乁㝄䅑䅯兺䅣䅁䅅䅁䉁䅁䅁兂㙄浦㡯婸焰兑杷允䅁䅁䅕䅁䑁䅁䅁䅁䙁䅁䅁䅁䅁䠸䅆权䕂睃䅁兂䅁䅁䅁䴸㜯䅑䅯兡䅅䅁䅅䅁䉁䅁䅁兂浂浚浚橚儶䅑杷允䅁䅁䅕䅁䑁䅁䅁䅁䙁䅁䅁䅁䅁䠸䅆权䕂睃䅁兂䅁䅁䅁乁㝄䅑䅯䅍䅁䅁䅅䅁䉁䅁䅁兂㙄浦捱䥈㡑兑杷允䅁䅁䅕䅁䑁䅁䅁䅁䙁䅁䅁䅁䅁䠸䅆权䕂睃䅁兂䅁䅁䅁乁㝄䅑䅯兡䅅䅁䅅䅁䉁䅁䅁兂睄㡰䱢橏洸兑杷允䅁䅁䅕䅁䑁䅁䅁䅁䙁䅁䅁䅁䅁䠸䅆权䕂睃䅁兂䅁䅁䅁䴸㜯䅑䅯䅍䅁䅁䅅䅁䉁䅁䅁兂䅁䅁䅁䅁䅁䅁杷允䅁䅁䅕䅁䑁䅁䅁䅁䙁䅁䅁䅁䅁䠸䅆权䕂睃䅁兂䅁䅁䅁䴸㜯䅑䅯杂䅁䅁䅅䅁䉁䅁䅁兂䅁䅁䅁䅁䅁䅁杷允䅁䅁䅕䅁䑁䅁䅁䅁䙁䅁䅁䅁䅁䠸䅆权䕂睃䅁兂䅁䅁䅁乁㝄䅑䅯杂䅁䅁䅅䅁䉁䅁䅁兂⭄䠱䩧呇⽫兑杷允䅁䅁䅕䅁䑁䅁䅁䅁䙁䅁䅁䅁䅁䠸䅆权䕂睃䅁兂䅁䅁䅁久㝄䅑䅯兺䅣䅁䅅䅁䉁䅁䅁兂坂楄礲呈摩䅑杷允䅁䅁䅕䅁䑁䅁䅁䅁䙁䅁䅁䅁䅁䠸䅆权䕂睃䅁兂䅁䅁䅁久㝄䅑䅯睚䅅䅁䅅䅁䉁䅁䅁兂权楇搯䝰捏䅑杷允䅁䅁䅧䅁䑁䅁䅁䅁䭁䅁䅁䅁䭁䕁䱑䅁䙁䅁䅁䅁睃晦䄱权乄睂䅁权慄䅁䅁权䕁䅁䅋权癁杂䅁允䅁䅁䅅䅁䭁䅁䅑䅁䵁䅉䅅䅁䙁䅁䅁睁䅁䅁䅁兂䅁䅁䅁偁硂䅑䅯䅒䅳䅁䅕䅁䅁䍁兄〫䭁䵁䠰䅁䉁䅁䅁允䅁䅁䅕䅁䅁䅁䅁䅁䵁䅉䅅䅁䙁䅁䅁睁䅁䅁䅁兂䅁䅁䅁偁硂䅑䅯䅒䅳䅁䅕䅁䅁䍁兄〫䭁䝁䉣䅁䉁䅁䅁允䅁䅁䅕䅁䅁䅁䅁䅁䵁䅉䅅䅁䙁䅁䅁睁䅁䅁䅁兂䅁䅁䅁偁硂䅑䅯䅒䅳䅁䅕䅁䅁䑁兄〫䭁䵁䠰䅁䉁䅁䅁允䅁䅁䅕䅁䅁䅁䅁䅁䵁䅉䅅䅁䙁䅁䅁睁䅁䅁䅁兂䅁䅁䅁偁硂䅑䅯䅒䅳䅁䅕䅁䅁䑁兄〫䭁䝁䉣䅁䉁䅁䅁允䅁䅁䅕䅁䅁䅁䅁䅁䵁䅉䅅䅁䙁䅁䅁睁䅁䅁䅁兂䅁䅁䅁偁硂䅑䅯䅒䅳䅁䅕䅁䅁䙁兄〫䭁䵁䠰䅁䉁䅁䅁允䅁䅁䅕䅁䅁䅁䅁䅁䵁䅉䅅䅁䙁䅁䅁睁䅁䅁䅁兂䅁䅁䅁偁硂䅑䅯䅒䅳䅁䅕䅁䅁䙁兄〫䭁䝁䉣䅁䉁䅁䅁允䅁䅁䅕䅁䅁䅁䅁䅁䵁䅉䅅䅁䙁䅁䅁睁䅁䅁䅁兂䅁䅁䅁偁硂䅑䅯䅒䅳䅁䅕䅁䅁䡁兄〫䭁䵁䠰䅁䉁䅁䅁允䅁䅁䅕䅁䅁䅁䅁䅁䵁䅉䅅䅁䙁䅁䅁睁䅁䅁䅁兂䅁䅁䅁偁硂䅑䅯䅒䅳䅁䅕䅁䅁䡁兄〫䭁䝁䉣䅁䉁䅁䅁允䅁䅁䅕䅁䅁䅁䅁䅁䵁䅉䅅䅁䙁䅁䅁睁䅁䅁䅁兂䅁䅁䅁偁硂䅑䅯䅒䅳䅁䅕䅁䅁䩁兄〫䭁䝁䉣䅁䉁䅁䅁允䅁䅁䅕䙂余摌奙䕄䵅䅉䅅䅁䙁䅁䅁睁䅁䅁䅁兂䅁䅁䅁偁硂䅑䅯䅒䅳䅁䅕䅁䅁佁䝁欯䭁䵁䠰䅁䉁䅁䅁允䅁䅁䅕楄礲噈噴歒䵅䅉䅅䅁䥁䅁䅁睁䅁䅁䅁权䅁䅁䅁权䕂睃䅁兂䅁䅁䅁䡳㤳䅑䅯兡䅅䅁䅯䅷䅁䅁䅯䅂䍁䅧䅯睌䅙䅁䅅䅁䉁䅁䅁兂䅁䅁䅁䅁䅁䅁杷允䅁䅁䅕䅁䑁䅁䅁䅁䙁䅁䅁䅁䅁䠸䅆权䕂睃䅁兂䅁䅁䅁䄴⭢䅑䅯睚䅅䅁䅅䅁䉁䅁䅁兂潃歸䡵潱䕚兑杷允䅁䅁䅕䅁䑁䅁䅁䅁䙁䅁䅁䅁䅁䠸䅆权䕂睃䅁兂䅁䅁䅁义㝈䅑䅯兺䅣䅁䅅䅁䉁䅁䅁兂牁硨扡䍱㕊兑杷允䅁䅁䅕䅁䑁䅁䅁䅁䙁䅁䅁䅁䅁䠸䅆权䕂睃䅁兂䅁䅁䅁义㝈䅑䅯睚䅅䅁䅅䅁䉁䅁䅁兂㍂灶漯啃㐱兑杷允䅁䅁䅕䅁䑁䅁䅁䅁䙁䅁䅁䅁䅁䠸䅆权䕂睃䅁兂䅁䅁䅁䅁⭦䅑䅯兺䅣䅁䅅䅁䉁䅁䅁兂⭁瑃橣䅵噎兑杷允䅁䅁䅕䅁䑁䅁䅁䅁䙁䅁䅁䅁䅁䠸䅆权䕂睃䅁兂䅁䅁䅁䅁⭦䅑䅯睚䅅䅁䅅䅁䉁䅁䅁兂牁硨灙佫婒兑杷允䅁䅁䅕䅁䑁䅁䅁䅁䙁䅁䅁䅁䅁䠸䅆权䕂睃䅁兂䅁䅁䅁䅅⭦䅑䅯兺䅣䅁䅅䅁䉁䅁䅁兂卂䉵䘵䍯ㅯ兑杷允䅁䅁䅕䅁䑁䅁䅁䅁䙁䅁䅁䅁䅁䠸䅆权䕂睃䅁兂䅁䅁䅁䅅⭦䅑䅯睚䅅䅁䅅䅁䉁䅁䅁兂桁䡳㑋䅢䙎兑杷允䅁䅁䅕䅁䑁䅁䅁䅁䙁䅁䅁䅁䅁䠸䅆权䕂睃䅁兂䅁䅁䅁乯㝌䅑䅯睚䅅䅁䅅䅁䉁䅁䅁兂䅁䅁䅁䅁䅁䅁杷允䅁䅁䅕䅁䑁䅁䅁䅁䙁䅁䅁䅁䅁䠸䅆权䕂睃䅁兂䅁䅁䅁乳㝌䅑䅯兺䅣䅁䅅䅁䉁䅁䅁兂兂婪步支䅃兑杷允䅁䅁䅕䅁䑁䅁䅁䅁䙁䅁䅁䅁䅁䠸䅆权䕂睃䅁兂䅁䅁䅁义㝄䅑䅯兡䅅䅁䅅䅁䉁䅁䅁兂䅁䅁䅁䅁䅁䅁杷允䅁䅁䅕䅁䑁䅁䅁䅁䙁䅁䅁䅁䅁䠸䅆权䕂睃䅁兂䅁䅁䅁乕㝄䅑䅯兡䅅䅁䅅䅁䉁䅁䅁兂䅁䅁䅁䅁䅁䅁杷允䅁䅁䅧䅁䑁䅁䅁䅁䭁䅁䅁䅁䭁䕁䱑䅁䙁䅁䅁䅁睃晦䄱权乄睂䅁权奄䅁䅁权䕁䅁䅋权癁杂䅁允䅁䅁䅅䅁䙁䅁䅁䅁䅁䅁䅁䍄䉁䅁䅁兂䅁䅁䅍䅁䅁䅁䅕䅁䅁䅁睄啣䭁䕁䱑䅁䙁䅁䅁䅁睂倰䅴权灂允䅁允䅁䅁䅅䅁䙁䅁䅁䅁䅁䅁䅁䍄䉁䅁䅁兂䅁䅁䅍䅁䅁䅁䅕䅁䅁䅁睄啣䭁䕁䱑䅁䙁䅁䅁䅁元倰䅴权灂允䅁允䅁䅁䅅䅁䙁䉁䑏䵷ひ䑊䉆䍄䉁䅁䅁兂䅁䅁䅍䅁䅁䅁䅕䅁䅁䅁睄啣䭁䕁䱑䅁䙁䅁䅁䅁杄療䄵权灂允䅁允䅁䅁䅅䅁䙁䥁坣嘲倵䕋䉚䍄䉁䅁䅁兂䅁䅁䅍䅁䅁䅁䅕䅁䅁䅁睄啣䭁䕁䱑䅁䙁䅁䅁䅁杁昰䅴权灂允䅁允䅁䅁䅅䅁䙁䭁䝪㑓⭐塔䉬䍄䉁䅁䅁兂䅁䅁䅍䅁䅁䅁䅕䅁䅁䅁睄啣䭁䕁䱑䅁䙁䅁䅁䅁䅁⽂䄵权灂允䅁允䅁䅁䅅䅁䙁䭁睒晐灲䙰䉬䍄䉁䅁䅁兂䅁䅁䅍䅁䅁䅁䅕䅁䅁䅁睄啣䭁䕁䱑䅁䙁䅁䅁䅁睁⽂䄵权灂允䅁允䅁䅁䅅䅁䙁䥁牘払敩呯䉨䍄䉁䅁䅁兂䅁䅁䅍䅁䅁䅁䅕䅁䅁䅁睄啣䭁䕁䱑䅁䙁䅁䅁䅁权瘰䅴权灂允䅁允䅁䅁䅅䅁䙁䅁䅁䅁䅁䅁䅁䍄䉁䅁䅁兂䅁䅁䅍䅁䅁䅁䅕䅁䅁䅁睄啣䭁䕁䱑䅁䙁䅁䅁䅁睃瘰䅴权灂允䅁允䅁䅁䅅䅁䙁䡁潎卫祩夹䉆䍄䉁䅁䅁䅃䅁䅁䅍䅁䅁䅁䅯䅁䅁䅁䅯䅒䅳䅁䅕䅁䅁䱁㥂唯䭁䝁䉣䅁䭁偁䅧䅁䭁䅁䅑潁䭁䍁䜸䅁䉁䅁䅁允䅁䅁䅕捺䵺䥢䝔啍䵅䅉䅅䅁䙁䅁䅁睁䅁䅁䅁兂䅁䅁䅁偁硂䅑䅯䅒䅳䅁䅕䅁䅁䉁兄〫䭁䝁䉧䅁䉁䅁䅁允䅁䅁䅕䅁䅁䅁䅁䅁䵁䅉䅅䅁䙁䅁䅁睁䅁䅁䅁兂䅁䅁䅁偁硂䅑䅯䅒䅳䅁䅕䅁䅁䑁兄〫䭁䝁䉧䅁䉁䅁䅁允䅁䅁䅕䅁䅁䅁䅁䅁䵁䅉䅅䅁䙁䅁䅁睁䅁䅁䅁兂䅁䅁䅁偁硂䅑䅯䅒䅳䅁䅕䅁䅁䙁兄〫䭁䝁䉧䅁䉁䅁䅁允䅁䅁䅕䅁䅁䅁䅁䅁䵁䅉䅅䅁䙁䅁䅁睁䅁䅁䅁兂䅁䅁䅁偁硂䅑䅯䅒䅳䅁䅕䅁䅁䩁兄〫䭁䝁䉧䅁䉁䅁䅁允䅁䅁䅕倹唳住䅌䕉䵅䅉䅅䅁䙁䅁䅁睁䅁䅁䅁兂䅁䅁䅁偁硂䅑䅯䅒䅳䅁䅕䅁䅁佁䝁欯䭁䝁䉧䅁䉁䅁䅁允䅁䅁䅕瑃橥䅙杵䕓䵅䅉䅅䅁䙁䅁䅁睁䅁䅁䅁兂䅁䅁䅁偁硂䅑䅯䅒䅳䅁䅕䅁䅁䉁䡁欯䭁䝁䉧䅁䉁䅁䅁允䅁䅁䅕䬸䝦㕭㑩歑䵅䅉䅅䅁䙁䅁䅁睁䅁䅁䅁兂䅁䅁䅁偁硂䅑䅯䅒䅳䅁䅕䅁䅁䑁䡁欯䭁䝁䉧䅁䉁䅁䅁允䅁䅁䅕琵楁㍏牲く䵅䅉䅅䅁䙁䅁䅁睁䅁䅁䅁兂䅁䅁䅁偁硂䅑䅯䅒䅳䅁䅕䅁䅁䭁卄〫䭁䝁䉧䅁䉁䅁䅁允䅁䅁䅕䅁䅁䅁䅁䅁䵁䅉䅅䅁䙁䅁䅁睁䅁䅁䅁兂䅁䅁䅁偁硂䅑䅯䅒䅳䅁䅕䅁䅁䉁兄〫䭁䑁䅁䅁䉁䅁䅁允䅁䅁䅕䅁䅁䅁䅁䅁䵁䅉䅅䅁䙁䅁䅁睁䅁䅁䅁兂䅁䅁䅁偁硂䅑䅯䅒䅳䅁䅕䅁䅁䑁兄〫䭁䑁䅁䅁䉁䅁䅁允䅁䅁䅕䅁䅁䅁䅁䅁䵁䅉䅅䅁䙁䅁䅁睁䅁䅁䅁兂䅁䅁䅁偁硂䅑䅯䅒䅳䅁䅕䅁䅁䙁兄〫䭁䑁䅁䅁䉁䅁䅁允䅁䅁䅕䅁䅁䅁䅁䅁䵁䅉䅅䅁䙁䅁䅁睁䅁䅁䅁兂䅁䅁䅁偁硂䅑䅯䅒䅳䅁䅕䅁䅁䡁兄〫䭁䑁䅁䅁䉁䅁䅁允䅁䅁䅕䅁䅁䅁䅁䅁䵁䅉䅅䅁䙁䅁䅁睁䅁䅁䅁兂䅁䅁䅁偁硂䅑䅯䅒䅳䅁䅕䅁䅁䩁兄〫䭁䑁䅁䅁䉁䅁䅁允䅁䅁䅕硥畓㝸䙚が䵅䅉䅅䅁䙁䅁䅁睁䅁䅁䅁兂䅁䅁䅁偁硂䅑䅯䅒䅳䅁䅕䅁䅁佁䝁欯䭁䑁䅁䅁䉁䅁䅁允䅁䅁䅕䙂余奮⽋げ䵅䅉䅅䅁䙁䅁䅁睁䅁䅁䅁兂䅁䅁䅁偁硂䅑䅯䅒䅳䅁䅕䅁䅁䍁剄〫䭁䑁䅁䅁䉁䅁䅁允䅁䅁䅕䅁䅁䉮⭒啥䵅䅉䅅䅁䙁䅁䅁睁䅁䅁䅁兂䅁䅁䅁偁硂䅑䅯䅒䅳䅁䅕䅁䅁䅁䡁欯䭁䑁䅁䅁䉁䅁䅁允䅁䅁䅕杖琴潵剆啖䵅䅉䅅䅁䙁䅁䅁睁䅁䅁䅁兂䅁䅁䅁偁硂䅑䅯䅒䅳䅁䅕䅁䅁䭁卄〫䭁䑁䅁䅁䉁䅁䅁允䅁䅁䅕䅁䅁䅁䅁䅁䵁䅉䅅䅁䥁䅁䅁睁䅁䅁䅁权䅁䅁䅁权䕂睃䅁兂䅁䅁䅁䡳㤳䅑䅯䅍䅁䅁䅯䅴䅁䅁䅯䅂䍁䅧䅯睌䅙䅁䅅䅁䉁䅁䅁兂䅁䅁䅁䅁䅁䅁杷允䅁䅁䅕䅁䑁䅁䅁䅁䙁䅁䅁䅁䅁䠸䅆权䕂睃䅁兂䅁䅁䅁乳㝌䅑䅯䅍䅁䅁䅅䅁䉁䅁䅁兂婄発慣匱䉓兑杷允䅁䅁䅕䅁䑁䅁䅁䅁䙁䅁䅁䅁䅁䠸䅆权䕂睃䅁兂䅁䅁䅁久㝄䅑䅯杂䅁䅁䅅䅁䉁䅁䅁兂䅁䅁䅁䅁䅁䅁杷允䅁䅁䅕䅁䑁䅁䅁䅁䙁䅁䅁䅁䅁䠸䅆权䕂睃䅁兂䅁䅁䅁乳㝌䅑䅯杂䅁䅁䅅䅁䉁䅁䅁兂杂搵流畇䅋兑杷允䅁䅁䅕䅁䑁䅁䅁䅁䙁䅁䅁䅁䅁䠸䅆权䕂睃䅁兂䅁䅁䅁义㝄䅑䅯杂䅁䅁䅅䅁䉁䅁䅁兂䅁䅁䅁䅁䅁䅁杷允䅁䅁䅕䅁䑁䅁䅁䅁䙁䅁䅁䅁䅁䠸䅆权䕂睃䅁兂䅁䅁䅁乍㝄䅑䅯杂䅁䅁䅅䅁䉁䅁䅁兂䅁䅁䅁䅁䅁䅁杷允䅁䅁䅕䅁䑁䅁䅁䅁䙁䅁䅁䅁䅁䠸䅆权䕂睃䅁兂䅁䅁䅁乕㝄䅑䅯杂䅁䅁䅅䅁䉁䅁䅁兂䑃䵷桰㜳浉兑杷允䅁䅁䅕䅁䑁䅁䅁䅁䙁䅁䅁䅁䅁䠸䅆权䕂睃䅁兂䅁䅁䅁䄴⭢䅑䅯杂䅁䅁䅅䅁䉁䅁䅁兂療潅睐䕙䘵兑杷允䅁䅁䅕䅁䑁䅁䅁䅁䙁䅁䅁䅁䅁䠸䅆权䕂睃䅁兂䅁䅁䅁䅁⭦䅑䅯杂䅁䅁䅅䅁䉁䅁䅁兂扄堫䬶慊噎兑杷允䅁䅁䅧䅁䑁䅁䅁䅁䭁䅁䅁䅁䭁䕁䱑䅁䙁䅁䅁䅁睃晦䄱权乄睂䅁权慃䅁䅁权䕁䅁䅋权癁杂䅁允䅁䅁䅅䅁䙁䅁䅁䅁䅁䅁䅁䍄䉁䅁䅁兂䅁䅁䅍䅁䅁䅁䅕䅁䅁䅁睄啣䭁䕁䱑䅁䙁䅁䅁䅁睁⽂䄵权䝁䅁䅁允䅁䅁䅅䅁䙁䩁䕺佉桁歘䉂䍄䉁䅁䅁兂䅁䅁䅍䅁䅁䅁䅕䅁䅁䅁睄啣䭁䕁䱑䅁䙁䅁䅁䅁权瘰䅴权䝁䅁䅁允䅁䅁䅅䅁䙁䅁䅁䅁䅁䅁䅁䍄䉁䅁䅁睁䅁䅁䅍睁䅁䅁䅕䅁䅁䅁睄啣䙁䅁䅁䅁䅄䅭䉴允䅁䅁䅅䅁䭁䩁唰䅁䵁䅉䅅䅁䑁䅁䅁睁䑁䅁䅁兂䅁䅁䅁偁硂䅑䅕䅁䅁佁偄〫䉁䅁䅁允䅁䅁䅯睱䅙䅁杷允䅁䅁䅧䅁䑁䅁䅁䅁䭁䅁䅁䅁䭁䕁䱑䅁䙁䅁䅁䅁睃晦䄱权䝁䅁䅁权䩂䅁䅁权䕁䅁䅋权癁杂䅁允䅁䅁䅅䅁䭁䅁䅑䅁䵁䅉䅅䅁䑁䅁䅁睁䑁䅁䅁兂䅁䅁䅁偁硂䅑䅕䅁䅁䅁兄〫䉁䅁䅁允䅁䅁䅯睏䅣䅁杷允䅁䅁䅍䅁䑁䅁䅍䅁䙁䅁䅁䅁䅁䠸䅆兂䅁䅁䅁义㝄䅑䅅䅁䉁䅁䅁权㡁睂䅁䍄䉁䅁䅁睁䅁䅁䅍睁䅁䅁䅕䅁䅁䅁睄啣䙁䅁䅁䅁睁倰䅴允䅁䅁䅅䅁䭁䑁䠰䅁䵁䅉䅅䅁䑁䅁䅁睁䑁䅁䅁兂䅁䅁䅁偁硂䅑䅕䅁䅁䡁兄〫䉁䅁䅁允䅁䅁䅯睐䅣䅁杷允䅁䅁䅍䅁䑁䅁䅍䅁䙁䅁䅁䅁䅁䠸䅆兂䅁䅁䅁䄴⭢䅑䅅䅁䉁䅁䅁权䉂睂䅁䍄䉁䅁䅁睁䅁䅁䅍睁䅁䅁䅕䅁䅁䅁睄啣䙁䅁䅁䅁杁昰䅴允䅁䅁䅅䅁䭁䅁䡣䅁䵁䅉䅅䅁䑁䅁䅁睁䑁䅁䅁兂䅁䅁䅁偁硂䅑䅕䅁䅁䅁䡁欯䉁䅁䅁允䅁䅁䅯村䅣䅁杷允䅁䅁䅍䅁䑁䅁䅍䅁䙁䅁䅁䅁䅁䠸䅆兂䅁䅁䅁䅍⭦䅑䅅䅁䉁䅁䅁权䑂睂䅁䍄䉁䅁䅁睁䅁䅁䅍睁䅁䅁䅕䅁䅁䅁睄啣䙁䅁䅁䅁权瘰䅴允䅁䅁䅅䅁䭁䕁䡑䅁䵁䅉䅅䅁䑁䅁䅁睁䑁䅁䅁兂䅁䅁䅁偁硂䅑䅕䅁䅁䱁卄〫䉁䅁䅁允䅁䅁䅯眶䅙䅁杷允䅁䅁䅧䅁䑁䅁䅁䅁䭁䅁䅁䅁䭁䕁䱑䅁䙁䅁䅁䅁睃晦䄱权乄睂䅁权敄䅁䅁权䕁䅁䅋权癁杂䅁允䅁䅁䅅䅁䙁䅁䅁䅁䅁䅁䅁䍄䉁䅁䅁䅃䅁䅁䅍䅁䅁䅁䅯䅁䅁䅁䅯䅒䅳䅁䅕䅁䅁䱁㥂唯䭁䝁䉣䅁䭁乁䄴䅁䭁䅁䅑潁䭁䍁䜸䅁䉁䅁䅁允䅁䅁䅕䅁䅁䅁䅁䅁䵁䅉䅅䅁䥁䅁䅁睁䅁䅁䅁权䅁䅁䅁权䕂睃䅁兂䅁䅁䅁䡳㤳䅑䅯兺䅣䅁䅯睚䅁䅁䅯䅂䍁䅧䅯睌䅙䅁䅅䅁䉁䅁䅁兂䅁䅁䅁䅁䅁䅁杷允䅁䅁䅧䅁䑁䅁䅁䅁䭁䅁䅁䅁䭁䕁䱑䅁䙁䅁䅁䅁睃晦䄱权湂允䅁权湂䅁䅁权䕁䅁䅋权癁杂䅁允䅁䅁䅅䅁䙁䅁䅁䅁䅁䅁䅁䍄䉁䅁䅁䅃䅁䅁䅍䅁䅁䅁䅯䅁䅁䅁䅯䅒䅳䅁䅕䅁䅁䱁㥂唯䭁䵁䠰䅁䭁乁䅁䅁䭁䅁䅑潁䭁䍁䜸䅁䉁䅁䅁允䅁䅁䅕䅁䅁䅁䅁䅁䵁䅉䅅䅁䥁䅁䅁睁䅁䅁䅁权䅁䅁䅁权䕂睃䅁兂䅁䅁䅁䡳㤳䅑䅯兺䅣䅁䅯䄴䅁䅁䅯䅂䍁䅧䅯睌䅙䅁䅅䅁䉁䅁䅁兂䅁䅁䅁䅁䅁䅁杷允䅁䅁䅧䅁䑁䅁䅁䅁䭁䅁䅁䅁䭁䕁䱑䅁䙁䅁䅁䅁睃晦䄱权湂允䅁权杄䅁䅁权䕁䅁䅋权癁杂䅁允䅁䅁䅅䅁䙁䅁䅁䅁䅁䅁䅁䍄䉁䅁䅁䅃䅁䅁䅍䅁䅁䅁䅯䅁䅁䅁䅯䅒䅳䅁䅕䅁䅁䱁㥂唯䭁䵁䠰䅁䭁乁䅉䅁䭁䅁䅑潁䭁䍁䜸䅁䉁䅁䅁允䅁䅁䅕䅁䅁䅁䅁䅁䵁䅉䅅䅁䥁䅁䅁睁䅁䅁䅁权䅁䅁䅁权䕂睃䅁兂䅁䅁䅁䡳㤳䅑䅯睚䅅䅁䅯朴䅁䅁䅯䅂䍁䅧䅯睌䅙䅁䅅䅁䉁䅁䅁兂䅁䅁䅁䅁䅁䅁杷允䅁䅁䅧䅁䑁䅁䅁䅁䭁䅁䅁䅁䭁䕁䱑䅁䙁䅁䅁䅁睃晦䄱权乄睂䅁权祄䅁䅁权䕁䅁䅋权癁杂䅁允䅁䅁䅅䅁䙁䅁䅁䅁䅁䅁䅁䍄䉁䅁䅁䅃䅁䅁䅍䅁䅁䅁䅯䅁䅁䅁䅯䅒䅳䅁䅕䅁䅁䱁㥂唯䭁䝁䉣䅁䭁偁䅉䅁䭁䅁䅑潁䭁䍁䜸䅁䉁䅁䅁允䅁䅁䅕䅁䅁䅁䅁䅁䵁䅉䅅䅁䥁䅁䅁睁䅁䅁䅁权䅁䅁䅁权䕂睃䅁兂䅁䅁䅁䡳㤳䅑䅯兺䅣䅁䅯䄵䅁䅁䅯䅂䍁䅧䅯睌䅙䅁䅅䅁䉁䅁䅁权䕁䅁䅁䍄䉁䅁䅁䅃䅁䅁䅍䅁䅁䅁䅯䅁䅁䅁䅯䅒䅳䅁䅕䅁䅁䱁㥂唯䭁䵁䠰䅁䭁偁䅑䅁䭁䅁䅑潁䭁䍁䜸䅁䉁䅁䅁允䅁䅁䅕䅁䅁䅁䅁䅁䵁䅉䅅䅁䥁䅁䅁睁䅁䅁䅁权䅁䅁䅁权䕂睃䅁兂䅁䅁䅁䡳㤳䅑䅯睚䅅䅁䅯䄹䅁䅁䅯䅂䍁䅧䅯睌䅙䅁䅅䅁䉁䅁䅁兂䅁䅁䅁䅁䅁䅁杷允䅁䅁䅧䅁䑁䅁䅁䅁䭁䅁䅁䅁䭁䕁䱑䅁䙁䅁䅁䅁睃晦䄱权灂允䅁权湂䅁䅁权䕁䅁䅋权癁杂䅁允䅁䅁䅅䅁䙁䅁䅁䅁䅁䅁䅁䍄䉁䅁䅁䅃䅁䅁䅍䅁䅁䅁䅯䅁䅁䅁䅯䅒䅳䅁䅕䅁䅁䱁㥂唯䭁䵁䠰䅁䭁乁䅙䅁䭁䅁䅑潁䭁䍁䜸䅁䉁䅁䅁允䅁䅁䅕塶呓䅗䭋歍䵅䅉䅅䅁䥁䅁䅁睁䅁䅁䅁权䅁䅁䅁权䕂睃䅁兂䅁䅁䅁䡳㤳䅑䅯睚䅅䅁䅯朱䅁䅁䅯䅂䍁䅧䅯睌䅙䅁䅅䅁䉁䅁䅁兂乄䵺獸䐵眸兑杷允䅁䅁䅧䅁䑁䅁䅁䅁䭁䅁䅁䅁䭁䕁䱑䅁䙁䅁䅁䅁睃晦䄱权湂允䅁权浄䅁䅁权䕁䅁䅋权癁杂䅁允䅁䅁䅅䅁䙁䅁䅁䅁䅁䅁䅁䍄䉁䅁䅁䅂䅁䅁䅍䅁䅁䅁䅕䅁䅁䅁睄啣䭁䕁䱑䅁䙁䅁䅁䅁睃偰䄱允䅁䅁䅅䅁䭁䕁䱳䅁䵁䅉䅅䅁䥁䅁䅁睁䅁䅁䅁权䅁䅁䅁权䕂睃䅁兂䅁䅁䅁䡳㤳䅑䅯兺䅣䅁䅯睔䅁䅁䅯䅂䍁䅧䅯睌䅙䅁䅅䅁䉁䅁䅁兂䅁䅁䅁䝁㑲䅑杷允䅁䅁䅧䅁䑁䅁䅁䅁䭁䅁䅁䅁䭁䕁䱑䅁䙁䅁䅁䅁睃晦䄱权湂允䅁权獄䅁䅁权䕁䅁䅋权癁杂䅁允䅁䅁䅅䅁䙁䅁䅁䅁䅁䅁䅁䍄䉁䅁䅁䅃䅁䅁䅍䅁䅁䅁䅯䅁䅁䅁䅯䅒䅳䅁䅕䅁䅁䱁㥂唯䭁䅁䅙䅁䭁䭁䄴䅁䭁䅁䅑潁䭁䍁䜸䅁䉁䅁䅁允䅁䅁䅕䅁䅁䅁䅁䅁䵁䅉䅅䅁䥁䅁䅁睁䅁䅁䅁权䅁䅁䅁权䕂睃䅁兂䅁䅁䅁䡳㤳䅑䅯睚䅅䅁䅯睔䅁䅁䅯䅂䍁䅧䅯睌䅙䅁䅅䅁䉁䅁䅁兂䅁䅁䅁䝁㑲䅑杷允䅁䅁䅧䅁䑁䅁䅁䅁䭁䅁䅁䅁䭁䕁䱑䅁䙁䅁䅁䅁睃晦䄱权湂允䅁权奄䅁䅁权䕁䅁䅋权癁杂䅁允䅁䅁䅅䅁䙁䅁䅁䅁䅁䅁䅁䍄䉁䅁䅁䅃䅁䅁䅍䅁䅁䅁䅯䅁䅁䅁䅯䅒䅳䅁䅕䅁䅁䱁㥂唯䭁䝁䉣䅁䭁佁䅧䅁䭁䅁䅑潁䭁䍁䜸䅁䉁䅁䅁允䅁䅁䅕䅁䅁䅁䅁䅁䵁䅉䅅䅁䥁䅁䅁睁䅁䅁䅁权䅁䅁䅁权䕂睃䅁兂䅁䅁䅁䡳㤳䅑䅯兺䅣䅁䅯朹䅁䅁䅯䅂䍁䅧䅯睌䅙䅁䅅䅁䉁䅁䅁兂䅁䅁䅁䅁䅁䅁杷允䅁䅁䅧䅁䑁䅁䅁䅁䭁䅁䅁䅁䭁䕁䱑䅁䙁䅁䅁䅁睃晦䄱权湂允䅁权㉄䅁䅁权䕁䅁䅋权癁杂䅁允䅁䅁䅅䅁䙁䅁䅁䅁䅁䅁䅁䍄䉁䅁䅁䅃䅁䅁䅍䅁䅁䅁䅯䅁䅁䅁䅯䅒䅳䅁䅕䅁䅁䱁㥂唯䭁䵁䠰䅁䭁佁䅯䅁䭁䅁䅑潁䭁䍁䜸䅁䉁䅁䅁允䅁䅁䅯䅂䅁䅁杷允䅁䅁䅧䅁䑁䅁䅁䅁䭁䅁䅁䅁䭁䕁䱑䅁䙁䅁䅁䅁睃晦䄱权湂允䅁权煄䅁䅁权䕁䅁䅋权癁杂䅁允䅁䅁䅅䅁䭁䅁䅑䅁䵁䅉䅅䅁䥁䅁䅁睁䅁䅁䅁权䅁䅁䅁权䕂睃䅁兂䅁䅁䅁䡳㤳䅑䅯兺䅣䅁䅯睓䅁䅁䅯䅂䍁䅧䅯睌䅙䅁䅅䅁䉁䅁䅁兂䅁䅁䅁䅁䅁䅁杷允䅁䅁䅧䅁䑁䅁䅁䅁䭁䅁䅁䅁䭁䕁䱑䅁䙁䅁䅁䅁睃晦䄱权乄睂䅁权捄䅁䅁权䕁䅁䅋权癁杂䅁允䅁䅁䅅䅁䙁䅁䅁䅁䅁䅁䅁䍄䉁䅁䅁䅃䅁䅁䅍䅁䅁䅁䅯䅁䅁䅁䅯䅒䅳䅁䅕䅁䅁䱁㥂唯䭁䝁䉣䅁䭁乁䅷䅁䭁䅁䅑潁䭁䍁䜸䅁䉁䅁䅁允䅁䅁䅕䅁䅁䅁䅁䅁䵁䅉䅅䅁䥁䅁䅁睁䅁䅁䅁权䅁䅁䅁权䕂睃䅁兂䅁䅁䅁䡳㤳䅑䅯兡䅅䅁䅯朳䅁䅁䅯䅂䍁䅧䅯睌䅙䅁䅅䅁䉁䅁䅁兂䅁䅁䅁䅁䅁䅁杷允䅁䅁䅧䅁䑁䅁䅁䅁䭁䅁䅁䅁䭁䕁䱑䅁䙁䅁䅁䅁睃晦䄱权湂允䅁权䭄䅁䅁权䕁䅁䅋权癁杂䅁允䅁䅁䅅䅁䙁䅁䅁䅁䅁䅁䅁䍄䉁䅁䅁䅃䅁䅁䅍䅁䅁䅁䅯䅁䅁䅁䅯䅒䅳䅁䅕䅁䅁䱁㥂唯䭁䝁䉫䅁䭁乁䅁䅁䭁䅁䅑潁䭁䍁䜸䅁䉁䅁䅁允䅁䅁䅕䅁䅁䅁䅁䅁䵁䅉䅅䅁䥁䅁䅁睁䅁䅁䅁权䅁䅁䅁权䕂睃䅁兂䅁䅁䅁䡳㤳䅑䅯兡䅅䅁䅯䄴䅁䅁䅯䅂䍁䅧䅯睌䅙䅁䅅䅁䉁䅁䅁兂䅁䅁䅁䅁䅁䅁杷允䅁䅁䅧䅁䑁䅁䅁䅁䭁䅁䅁䅁䭁䕁䱑䅁䙁䅁䅁䅁睃晦䄱权灂允䅁权畄䅁䅁权䕁䅁䅋权癁杂䅁允䅁䅁䅅䅁䙁䅁䅁䅁䅁䅁䅁䍄䉁䅁䅁䅃䅁䅁䅍䅁䅁䅁䅯䅁䅁䅁䅯䅒䅳䅁䅕䅁䅁䱁㥂唯䭁䝁䉫䅁䭁乁䅉䅁䭁䅁䅑潁䭁䍁䜸䅁䉁䅁䅁允䅁䅁䅕䅁䅁䅁䅁䅁䵁䅉䅅䅁䥁䅁䅁睁䅁䅁䅁权䅁䅁䅁权䕂睃䅁兂䅁䅁䅁䡳㤳䅑䅯兡䅅䅁䅯䄱䅁䅁䅯䅂䍁䅧䅯睌䅙䅁䅅䅁䉁䅁䅁兂䅁䅁䅁䅁䅁䅁杷允䅁䅁䅧䅁䑁䅁䅁䅁䭁䅁䅁䅁䭁䕁䱑䅁䙁䅁䅁䅁睃晦䄱权灂允䅁权坄䅁䅁权䕁䅁䅋权癁杂䅁允䅁䅁䅅䅁䙁䡁潎卫夰呹䉊䍄䉁䅁䅁䅃䅁䅁䅍䅁䅁䅁䅯䅁䅁䅁䅯䅒䅳䅁䅕䅁䅁䱁㥂唯䭁䝁䉫䅁䭁乁䅧䅁䭁䅁䅑潁䭁䍁䜸䅁䉁䅁䅁允䅁䅁䅕䅁䅁䅁䅁䅁䵁䅉䅅䅁䥁䅁䅁睁䅁䅁䅁权䅁䅁䅁权䕂睃䅁兂䅁䅁䅁䡳㤳䅑䅯兡䅅䅁䅯䄶䅁䅁䅯䅂䍁䅧䅯睌䅙䅁䅅䅁䉁䅁䅁兂䅁䅁䅁䅁䅁䅁杷允䅁䅁䅧䅁䑁䅁䅁䅁䭁䅁䅁䅁䭁䕁䱑䅁䙁䅁䅁䅁睃晦䄱权灂允䅁权㉄䅁䅁权䕁䅁䅋权癁杂䅁允䅁䅁䅅䅁䙁䅁䅁䅁䅁䅁䅁䍄䉁䅁䅁䅃䅁䅁䅍䅁䅁䅁䅯䅁䅁䅁䅯䅒䅳䅁䅕䅁䅁䱁㥂唯䭁䝁䉫䅁䭁乁䅯䅁䭁䅁䅑潁䭁䍁䜸䅁䉁䅁䅁允䅁䅁䅯䅂䅁䅁杷允䅁䅁䅧䅁䑁䅁䅁䅁䭁䅁䅁䅁䭁䕁䱑䅁䙁䅁䅁䅁睃晦䄱权灂允䅁权煄䅁䅁权䕁䅁䅋权癁杂䅁允䅁䅁䅅䅁䭁䅁䅑䅁䵁䅉䅅䅁䥁䅁䅁睁䅁䅁䅁权䅁䅁䅁权䕂睃䅁兂䅁䅁䅁䡳㤳䅑䅯兡䅅䅁䅯睓䅁䅁䅯䅂䍁䅧䅯睌䅙䅁䅅䅁䉁䅁䅁兂䅁䅁䅁䅁䅁䅁杷允䅁䅁䅧䅁䑁䅁䅁䅁䭁䅁䅁䅁䭁䕁䱑䅁䙁䅁䅁䅁睃晦䄱权潂允䅁权湂䅁䅁权䕁䅁䅋权癁杂䅁允䅁䅁䅅䅁䙁䅁䅁䅁䅁䅁䅁䍄䉁䅁䅁䅃䅁䅁䅍䅁䅁䅁䅯䅁䅁䅁䅯䅒䅳䅁䅕䅁䅁䱁㥂唯䭁䝁䉧䅁䭁乁䅁䅁䭁䅁䅑潁䭁䍁䜸䅁䉁䅁䅁允䅁䅁䅕䅁䅁䅁䅁䅁䵁䅉䅅䅁䥁䅁䅁睁䅁䅁䅁权䅁䅁䅁权䕂睃䅁兂䅁䅁䅁䡳㤳䅑䅯䅡䅅䅁䅯䄴䅁䅁䅯䅂䍁䅧䅯睌䅙䅁䅅䅁䉁䅁䅁兂䅁䅁䅁䅁䅁䅁杷允䅁䅁䅧䅁䑁䅁䅁䅁䭁䅁䅁䅁䭁䕁䱑䅁䙁䅁䅁䅁睃晦䄱权潂允䅁权畄䅁䅁权䕁䅁䅋权癁杂䅁允䅁䅁䅅䅁䙁䅁䅁䅁䅁䅁䅁䍄䉁䅁䅁䅃䅁䅁䅍䅁䅁䅁䅯䅁䅁䅁䅯䅒䅳䅁䅕䅁䅁䱁㥂唯䭁䝁䉧䅁䭁乁䅉䅁䭁䅁䅑潁䭁䍁䜸䅁䉁䅁䅁允䅁䅁䅕䅁䅁䅁䅁䅁䵁䅉䅅䅁䥁䅁䅁睁䅁䅁䅁权䅁䅁䅁权䕂睃䅁兂䅁䅁䅁䡳㤳䅑䅯䅡䅅䅁䅯䄱䅁䅁䅯䅂䍁䅧䅯睌䅙䅁䅅䅁䉁䅁䅁兂潄㘫确汄䭯兑杷允䅁䅁䅧䅁䑁䅁䅁䅁䭁䅁䅁䅁䭁䕁䱑䅁䙁䅁䅁䅁睃晦䄱权潂允䅁权歄䅁䅁权䕁䅁䅋权癁杂䅁允䅁䅁䅅䅁䙁䅁䅁䅁䅁䅁䅁䍄䉁䅁䅁䅃䅁䅁䅍䅁䅁䅁䅯䅁䅁䅁䅯䅒䅳䅁䅕䅁䅁䱁㥂唯䭁䝁䉧䅁䭁偁䅑䅁䭁䅁䅑潁䭁䍁䜸䅁䉁䅁䅁允䅁䅁䅕䅁䅁䅁䅁䅁䵁䅉䅅䅁䥁䅁䅁睁䅁䅁䅁权䅁䅁䅁权䕂睃䅁兂䅁䅁䅁䡳㤳䅑䅯䅡䅅䅁䅯朵䅁䅁䅯䅂䍁䅧䅯睌䅙䅁䅅䅁䉁䅁䅁兂䅁䅁䅁䅁䅁䅁杷允䅁䅁䅧䅁䑁䅁䅁䅁䭁䅁䅁䅁䭁䕁䱑䅁䙁䅁䅁䅁睃晦䄱权潂允䅁权奄䅁䅁权䕁䅁䅋权癁杂䅁允䅁䅁䅅䅁䙁䅁䅁䅁䅁䅁䅁䍄䉁䅁䅁䅃䅁䅁䅍䅁䅁䅁䅯䅁䅁䅁䅯䅒䅳䅁䅕䅁䅁䱁㥂唯䭁䝁䉧䅁䭁佁䅧䅁䭁䅁䅑潁䭁䍁䜸䅁䉁䅁䅁允䅁䅁䅕䅁䅁䅁䅁䅁䵁䅉䅅䅁䥁䅁䅁睁䅁䅁䅁权䅁䅁䅁权䕂睃䅁兂䅁䅁䅁䡳㤳䅑䅯䅡䅅䅁䅯朹䅁䅁䅯䅂䍁䅧䅯睌䅙䅁䅅䅁䉁䅁䅁兂䅁䅁䅁䅁䅁䅁杷允䅁䅁䅑䅁䑁䅁䅁䅁䙁䅁䅁䅁䅁䠸䅆权䕂睃䅁兂䅁䅁䅁䵷㥢䅑䅅䅁䉁䅁䅁权あ允䅁䍄䉁䅁䅁䅃䅁䅁䅍䅁䅁䅁䅯䅁䅁䅁䅯䅒䅳䅁䅕䅁䅁䱁㥂唯䭁䝁䉧䅁䭁乁䅯䅁䭁䅁䅑潁䭁䍁䜸䅁䉁䅁䅁允䅁䅁䅕䅁䅁䅁䅁䅁䵁䅉䅅䅁䥁䅁䅁睁䅁䅁䅁权䅁䅁䅁权䕂睃䅁兂䅁䅁䅁䡳㤳䅑䅯䅡䅅䅁䅯杺䅁䅁䅯䅂䍁䅧䅯睌䅙䅁䅅䅁䉁䅁䅁兂䅁䅁䅁䅁䅁䅁杷允䅁䅁䅧䅁䑁䅁䅁䅁䭁䅁䅁䅁䭁䕁䱑䅁䙁䅁䅁䅁睃晦䄱权潂允䅁权䱂䅁䅁权䕁䅁䅋权癁杂䅁允䅁䅁䅅䅁䭁䅁䅑䅁䵁䅉䅅䅁䥁䅁䅁睁䅁䅁䅁权䅁䅁䅁权䕂睃䅁兂䅁䅁䅁䡳㤳䅑䅯䅡䅅䅁䅯䄳䅁䅁䅯䅂䍁䅧䅯睌䅙䅁䅅䅁䉁䅁䅁兂䅁䅁䅁䅁䅁䅁杷允䅁䅁䅧䅁䑁䅁䅁䅁䭁䅁䅁䅁䭁䕁䱑䅁䙁䅁䅁䅁睃晦䄱权睁䅁䅁权敄䅁䅁权䕁䅁䅋权癁杂䅁允䅁䅁䅅䅁䙁䅁䅁䅁䅁䅁䅁䍄䉁䅁䅁䅃䅁䅁䅍䅁䅁䅁䅯䅁䅁䅁䅯䅒䅳䅁䅕䅁䅁䱁㥂唯䭁䑁䅁䅁䭁乁䅁䅁䭁䅁䅑潁䭁䍁䜸䅁䉁䅁䅁允䅁䅁䅕䅁䅁䅁䅁䅁䵁䅉䅅䅁䥁䅁䅁睁䅁䅁䅁权䅁䅁䅁权䕂睃䅁兂䅁䅁䅁䡳㤳䅑䅯䅍䅁䅁䅯䄴䅁䅁䅯䅂䍁䅧䅯睌䅙䅁䅅䅁䉁䅁䅁兂䅁䅁䅁䅁䅁䅁杷允䅁䅁䅧䅁䑁䅁䅁䅁䭁䅁䅁䅁䭁䕁䱑䅁䙁䅁䅁䅁睃晦䄱权睁䅁䅁权祄䅁䅁权䕁䅁䅋权癁杂䅁允䅁䅁䅅䅁䙁䅁䅁䅁䅁䅁䅁䍄䉁䅁䅁䅃䅁䅁䅍䅁䅁䅁䅯䅁䅁䅁䅯䅒䅳䅁䅕䅁䅁䱁㥂唯䭁䑁䅁䅁䭁乁䅑䅁䭁䅁䅑潁䭁䍁䜸䅁䉁䅁䅁允䅁䅁䅕䬯确牕奄啇䵅䅉䅅䅁䥁䅁䅁睁䅁䅁䅁权䅁䅁䅁权䕂睃䅁兂䅁䅁䅁䡳㤳䅑䅯䅍䅁䅁䅯䄵䅁䅁䅯䅂䍁䅧䅯睌䅙䅁䅅䅁䉁䅁䅁兂䅁䅁䅁䅁䅁䅁杷允䅁䅁䅧䅁䑁䅁䅁䅁䭁䅁䅁䅁䭁䕁䱑䅁䙁䅁䅁䅁睃晦䄱权睁䅁䅁权い䅁䅁权䕁䅁䅋权癁杂䅁允䅁䅁䅅䅁䙁䅁䅁䅁䅁䅁䅁䍄䉁䅁䅁䅃䅁䅁䅍䅁䅁䅁䅯䅁䅁䅁䅯䅒䅳䅁䅕䅁䅁䱁㥂唯䭁䑁䅁䅁䭁佁䅙䅁䭁䅁䅑潁䭁䍁䜸䅁䉁䅁䅁允䅁䅁䅕䅁䅁䅁䅁䅁䵁䅉䅅䅁䥁䅁䅁睁䅁䅁䅁权䅁䅁䅁权䕂睃䅁兂䅁䅁䅁䡳㤳䅑䅯䅍䅁䅁䅯睔䅁䅁䅯䅂䍁䅧䅯睌䅙䅁䅅䅁䉁䅁䅁兂䅁䅁䅁䝁㑲䅑杷允䅁䅁䅧䅁䑁䅁䅁䅁䭁䅁䅁䅁䭁䕁䱑䅁䙁䅁䅁䅁睃晦䄱权睁䅁䅁权奄䅁䅁权䕁䅁䅋权癁杂䅁允䅁䅁䅅䅁䙁䅁䅁䅁䅁䅁䅁䍄䉁䅁䅁䅃䅁䅁䅍䅁䅁䅁䅯䅁䅁䅁䅯䅒䅳䅁䅕䅁䅁䱁㥂唯䭁䵁䠰䅁䭁䝁䅅䅁䭁䅁䅑潁䭁䍁䜸䅁䉁䅁䅁允䅁䅁䅕䅁䅁䅁䅁䅁䵁䅉䅅䅁䥁䅁䅁睁䅁䅁䅁权䅁䅁䅁权䕂睃䅁兂䅁䅁䅁䡳㤳䅑䅯䅍䅁䅁䅯䄶䅁䅁䅯䅂䍁䅧䅯睌䅙䅁䅅䅁䉁䅁䅁兂䅁䅁䅁䅁䅁䅁杷允䅁䅁䅧䅁䑁䅁䅁䅁䭁䅁䅁䅁䭁䕁䱑䅁䙁䅁䅁䅁睃晦䄱权睁䅁䅁权慄䅁䅁权䕁䅁䅋权癁杂䅁允䅁䅁䅅䅁䙁䅁䅁䅁䅁䅁䅁䍄䉁䅁䅁䅃䅁䅁䅍䅁䅁䅁䅯䅁䅁䅁䅯䅒䅳䅁䅕䅁䅁䱁㥂唯䭁䑁䅁䅁䭁佁䅯䅁䭁䅁䅑潁䭁䍁䜸䅁䉁䅁䅁允䅁䅁䅕䅁䅁䅁䅁䅁䵁䅉䅅䅁䥁䅁䅁睁䅁䅁䅁权䅁䅁䅁权䕂睃䅁兂䅁䅁䅁䡳㤳䅑䅯䅍䅁䅁䅯睓䅁䅁䅯䅂䍁䅧䅯睌䅙䅁䅅䅁䉁䅁䅁权䕁䅁䅁䍄䉁䅁䅁䅃䅁䅁䅍䅁䅁䅁䅯䅁䅁䅁䅯䅒䅳䅁䅕䅁䅁䱁㥂唯䭁䑁䅁䅁䭁乁䅷䅁䭁䅁䅑潁䭁䍁䜸䅁䉁䅁䅁允䅁䅁䅕䅁䅁䅁䅁䅁䵁䅉䅅䅁䥁䅁䅁睁䅁䅁䅁权䅁䅁䅁权䕂睃䅁兂䅁䅁䅁䡳㤳䅑䅯兡䅅䅁䅯䅵䅁䅁䅯䅂䍁䅧䅯睌䅙䅁䅅䅁䉁䅁䅁兂䅁䅁䅁䅁䅁䅁杷允䅁䅁䅧䅁䑁䅁䅁䅁䭁䅁䅁䅁䭁䕁䱑䅁䙁䅁䅁䅁睃晦䄱权䝁䅁䅁权兄䅁䅁权䕁䅁䅋权癁杂䅁允䅁䅁䅅䅁䙁䅁䅁䅁䅁䅁䅁䍄䉁䅁䅁兂䅁䅁䅍䅁䅁䅁䅕䅁䅁䅁睄啣䭁䕁䱑䅁䙁䅁䅁䅁䅁晶䄱权坂杂䅁允䅁䅁䅅䅁䭁䕁䱷䅁䵁䅉䅅䅁䥁䅁䅁睁䅁䅁䅁权䅁䅁䅁权䕂睃䅁兂䅁䅁䅁䡳㤳䅑䅯杂䅁䅁䅯䄴䅁䅁䅯䅂䍁䅧䅯睌䅙䅁䅅䅁䉁䅁䅁兂䅁䅁䅁䅁䅁䅁杷允䅁䅁䅧䅁䑁䅁䅁䅁䭁䅁䅁䅁䭁䕁䱑䅁䙁䅁䅁䅁睃晦䄱权䝁䅁䅁权畄䅁䅁权䕁䅁䅋权癁杂䅁允䅁䅁䅅䅁䙁䅁䅁䅁䅁䅁䅁䍄䉁䅁䅁䅃䅁䅁䅍䅁䅁䅁䅯䅁䅁䅁䅯䅒䅳䅁䅕䅁䅁䱁㥂唯䭁䅁䅙䅁䭁偁䅉䅁䭁䅁䅑潁䭁䍁䜸䅁䉁䅁䅁允䅁䅁䅕䅁䅁䅁䅁䅁䵁䅉䅅䅁䥁䅁䅁睁䅁䅁䅁权䅁䅁䅁权䕂睃䅁兂䅁䅁䅁䡳㤳䅑䅯杂䅁䅁䅯䄵䅁䅁䅯䅂䍁䅧䅯睌䅙䅁䅅䅁䉁䅁䅁兂䅁䅁䅁䅁䅁䅁杷允䅁䅁䅧䅁䑁䅁䅁䅁䭁䅁䅁䅁䭁䕁䱑䅁䙁䅁䅁䅁睃晦䄱权䝁䅁䅁权坄䅁䅁权䕁䅁䅋权癁杂䅁允䅁䅁䅅䅁䙁䭁捷煗噓卂䉨䍄䉁䅁䅁䅃䅁䅁䅍䅁䅁䅁䅯䅁䅁䅁䅯䅒䅳䅁䅕䅁䅁䱁㥂唯䭁䅁䅙䅁䭁佁䅙䅁䭁䅁䅑潁䭁䍁䜸䅁䉁䅁䅁允䅁䅁䅕䅁䅁䅁䅁䅁䵁䅉䅅䅁䥁䅁䅁睁䅁䅁䅁权䅁䅁䅁权䕂睃䅁兂䅁䅁䅁䡳㤳䅑䅯杂䅁䅁䅯睔䅁䅁䅯䅂䍁䅧䅯睌䅙䅁䅅䅁䉁䅁䅁兂㕂匶硡慖坣兑杷允䅁䅁䅧䅁䑁䅁䅁䅁䭁䅁䅁䅁䭁䕁䱑䅁䙁䅁䅁䅁睃晦䄱权䝁䅁䅁权潄䅁䅁权䕁䅁䅋权癁杂䅁允䅁䅁䅅䅁䙁䅁䅁䅁䅁䅁䅁䍄䉁䅁䅁䅃䅁䅁䅍䅁䅁䅁䅯䅁䅁䅁䅯䅒䅳䅁䅕䅁䅁䱁㥂唯䭁䅁䅙䅁䭁乁䅯䅁䭁䅁䅑潁䭁䍁䜸䅁䉁䅁䅁允䅁䅁䅕䅁䅁䅁䅁䅁䵁䅉䅅䅁䥁䅁䅁睁䅁䅁䅁权䅁䅁䅁权䕂睃䅁兂䅁䅁䅁䡳㤳䅑䅯杂䅁䅁䅯睓䅁䅁䅯䅂䍁䅧䅯睌䅙䅁䅅䅁䉁䅁䅁权䕁䅁䅁䍄䉁䅁䅁䅃䅁䅁䅍䅁䅁䅁䅯䅁䅁䅁䅯䅒䅳䅁䅕䅁䅁䱁㥂唯䭁䅁䅙䅁䭁乁䅷䅁䭁䅁䅑潁䭁䍁䜸䅁䉁䅁䅁允䅁䅁䅕䅁䅁䅁䅁䅁䵁䅉䅅䅁䥁䅁䅁睁䅁䅁䅁权䅁䅁䅁权䕂睃䅁兂䅁䅁䅁䡳㤳䅑䅯兺䅣䅁䅯䅳䅁䅁䅯䅂䍁䅧䅯睌䅙䅁䅅䅁䉁䅁䅁兂䅁䅁䅁䅁䅁䅁杷允䅁䅁䅧䅁䑁䅁䅁䅁䭁䅁䅁䅁䭁䕁䱑䅁䙁䅁䅁䅁睃晦䄱权湂允䅁权睃䅁䅁权䕁䅁䅋权癁杂䅁允䅁䅁䅅䅁䙁䅁䅁䅁䅁䅁䅁䍄䉁䅁䅁䅃䅁䅁䅍䅁䅁䅁䅯䅁䅁䅁䅯䅒䅳䅁䅕䅁䅁䱁㥂唯䭁䝁䉣䅁䭁䵁䅙䅁䭁䅁䅑潁䭁䍁䜸䅁䉁䅁䅁允䅁䅁䅕䅁䅁䅁䅁䅁䵁䅉䅅䅁䥁䅁䅁睁䅁䅁䅁权䅁䅁䅁权䕂睃䅁兂䅁䅁䅁䡳㤳䅑䅯䅍䅁䅁䅯杲䅁䅁䅯䅂䍁䅧䅯睌䅙䅁䅅䅁䉁䅁䅁兂䅁䅁䅁䅁䅁䅁杷允䅁䅁䅧䅁䑁䅁䅁䅁䭁䅁䅁䅁䭁䕁䱑䅁䙁䅁䅁䅁睃晦䄱权潂允䅁权奃䅁䅁权䕁䅁䅋权癁杂䅁允䅁䅁䅅䅁䙁䅁䅁䅁䅁䅁䅁䍄䉁䅁䅁䅃䅁䅁䅍䅁䅁䅁䅯䅁䅁䅁䅯䅒䅳䅁䅕䅁䅁䱁㥂唯䭁䵁䠰䅁䭁䵁䅉䅁䭁䅁䅑潁䭁䍁䜸䅁䉁䅁䅁允䅁䅁䅕䅁䅁䅁䅁䅁䵁䅉䅅䅁䥁䅁䅁睁䅁䅁䅁权䅁䅁䅁权䕂睃䅁兂䅁䅁䅁䡳㤳䅑䅯睚䅅䅁䅯杷䅁䅁䅯䅂䍁䅧䅯睌䅙䅁䅅䅁䉁䅁䅁兂䅁䅁䅁䅁䅁䅁杷允䅁䅁䅧䅁䑁䅁䅁䅁䭁䅁䅁䅁䭁䕁䱑䅁䙁䅁䅁䅁睃晦䄱权乄睂䅁权㡃䅁䅁权䕁䅁䅋权癁杂䅁允䅁䅁䅅䅁䙁䅁䅁䅁䅁䅁䅁䍄䉁䅁䅁䅃䅁䅁䅍䅁䅁䅁䅯䅁䅁䅁䅯䅒䅳䅁䅕䅁䅁䱁㥂唯䭁䝁䉣䅁䭁䱁䅷䅁䭁䅁䅑潁䭁䍁䜸䅁䉁䅁䅁允䅁䅁䅕䅁䅁䅁䅁䅁䵁䅉䅅䅁䥁䅁䅁睁䅁䅁䅁权䅁䅁䅁权䕂睃䅁兂䅁䅁䅁䡳㤳䅑䅯兺䅣䅁䅯䅯䅁䅁䅯䅂䍁䅧䅯睌䅙䅁䅅䅁䉁䅁䅁兂䅁䅁䅁䅁䅁䅁杷允䅁䅁䅧䅁䑁䅁䅁䅁䭁䅁䅁䅁䭁䕁䱑䅁䙁䅁䅁䅁睃晦䄱权湂允䅁权权䅁䅁权䕁䅁䅋权癁杂䅁允䅁䅁䅅䅁䙁䅁䅁䅁䅁䅁䅁䍄䉁䅁䅁䅃䅁䅁䅍䅁䅁䅁䅯䅁䅁䅁䅯䅒䅳䅁䅕䅁䅁䱁㥂唯䭁䵁䠰䅁䭁䵁䅧䅁䭁䅁䅑潁䭁䍁䜸䅁䉁䅁䅁允䅁䅁䅕灭婭婭偙䕈䵅䅉䅅䅁䥁䅁䅁睁䅁䅁䅁权䅁䅁䅁权䕂睃䅁兂䅁䅁䅁䡳㤳䅑䅯兺䅣䅁䅯杵䅁䅁䅯䅂䍁䅧䅯睌䅙䅁䅅䅁䉁䅁䅁权䕁䅁䅁䍄䉁䅁䅁䅃䅁䅁䅍䅁䅁䅁䅯䅁䅁䅁䅯䅒䅳䅁䅕䅁䅁䱁㥂唯䭁䝁䉣䅁䭁䱁䅯䅁䭁䅁䅑潁䭁䍁䜸䅁䉁䅁䅁允䅁䅁䅯䅂䅁䅁杷允䅁䅁䅧䅁䑁䅁䅁䅁䭁䅁䅁䅁䭁䕁䱑䅁䙁䅁䅁䅁睃晦䄱权乄睂䅁权潃䅁䅁权䕁䅁䅋权癁杂䅁允䅁䅁䅅䅁䙁䅁䅁䅁䅁䅁䅁䍄䉁䅁䅁䅃䅁䅁䅍䅁䅁䅁䅯䅁䅁䅁䅯䅒䅳䅁䅕䅁䅁䱁㥂唯䭁䝁䉣䅁䭁䭁䅧䅁䭁䅁䅑潁䭁䍁䜸䅁䉁䅁䅁允䅁䅁䅕䅁䅁䅁䅁䅁䵁䅉䅅䅁䥁䅁䅁睁䅁䅁䅁权䅁䅁䅁权䕂睃䅁兂䅁䅁䅁䡳㤳䅑䅯兺䅣䅁䅯䅴䅁䅁䅯䅂䍁䅧䅯睌䅙䅁䅅䅁䉁䅁䅁兂䅁䅁䅁䅁䅁䅁杷允䅁䅁䅧䅁䑁䅁䅁䅁䭁䅁䅁䅁䭁䕁䱑䅁䙁䅁䅁䅁睃晦䄱权湂允䅁权桂䅁䅁权䕁䅁䅋权癁杂䅁允䅁䅁䅅䅁䙁䅁䅁䅁䅁䅁䅁䍄䉁䅁䅁䅃䅁䅁䅍䅁䅁䅁䅯䅁䅁䅁䅯䅒䅳䅁䅕䅁䅁䱁㥂唯䭁䵁䠰䅁䭁䙁䅫䅁䭁䅁䅑潁䭁䍁䜸䅁䉁䅁䅁允䅁䅁䅕䅁䅁䅁䅁䅁䵁䅉䅅䅁䥁䅁䅁睁䅁䅁䅁权䅁䅁䅁权䕂睃䅁兂䅁䅁䅁䡳㤳䅑䅯兺䅣䅁䅯杴䅁䅁䅯䅂䍁䅧䅯睌䅙䅁䅅䅁䉁䅁䅁兂䅁䅁䅁䅁䅁䅁杷允䅁䅁䅧䅁䑁䅁䅁䅁䭁䅁䅁䅁䭁䕁䱑䅁䙁䅁䅁䅁睃晦䄱权湂允䅁权㉃䅁䅁权䕁䅁䅋权癁杂䅁允䅁䅁䅅䅁䙁䅁䅁䅁䅁䅁䅁䍄䉁䅁䅁䅃䅁䅁䅍䅁䅁䅁䅯䅁䅁䅁䅯䅒䅳䅁䅕䅁䅁䱁㥂唯䭁䝁䉣䅁䭁䵁䅷䅁䭁䅁䅑潁䭁䍁䜸䅁䉁䅁䅁允䅁䅁䅯䅂䅁䅁杷允䅁䅁䅧䅁䑁䅁䅁䅁䭁䅁䅁䅁䭁䕁䱑䅁䙁䅁䅁䅁睃晦䄱权乄睂䅁权畃䅁䅁权䕁䅁䅋权癁杂䅁允䅁䅁䅅䅁䭁䅁䅑䅁䵁䅉䅅䅁䥁䅁䅁睁䅁䅁䅁权䅁䅁䅁权䕂睃䅁兂䅁䅁䅁䡳㤳䅑䅯睚䅅䅁䅯杲䅁䅁䅯䅂䍁䅧䅯睌䅙䅁䅅䅁䉁䅁䅁权䕁䅁䅁䍄䉁䅁䅁䅃䅁䅁䅍䅁䅁䅁䅯䅁䅁䅁䅯䅒䅳䅁䅕䅁䅁䱁㥂唯䭁䵁䠰䅁䭁䵁䄴䅁䭁䅁䅑潁䭁䍁䜸䅁䉁䅁䅁允䅁䅁䅯䅂䅁䅁杷允䅁䅁䅧䅁䑁䅁䅁䅁䭁䅁䅁䅁䭁䕁䱑䅁䙁䅁䅁䅁睃晦䄱权乄睂䅁权㑃䅁䅁权䕁䅁䅋权癁杂䅁允䅁䅁䅅䅁䙁䅁䅁䅁䅁䅁䅁䍄䉁䅁䅁䅃䅁䅁䅍䅁䅁䅁䅯䅁䅁䅁䅯䅒䅳䅁䅕䅁䅁䱁㥂唯䭁䝁䉣䅁䭁䱁䅧䅁䭁䅁䅑潁䭁䍁䜸䅁䉁䅁䅁允䅁䅁䅕䅁䅁䅁䅁䅁䵁䅉䅅䅁䥁䅁䅁睁䅁䅁䅁权䅁䅁䅁权䕂睃䅁兂䅁䅁䅁䡳㤳䅑䅯兺䅣䅁䅯䅸䅁䅁䅯䅂䍁䅧䅯睌䅙䅁䅅䅁䉁䅁䅁兂䝂癴摍楩稰兑杷允䅁䅁䅧䅁䑁䅁䅁䅁䭁䅁䅁䅁䭁䕁䱑䅁䙁䅁䅁䅁睃晦䄱权湂允䅁权䕄䅁䅁权䕁䅁䅋权癁杂䅁允䅁䅁䅅䅁䙁佁兘癉㉶穨䉎䍄䉁䅁䅁䅃䅁䅁䅍䅁䅁䅁䅯䅁䅁䅁䅯䅒䅳䅁䅕䅁䅁䱁㥂唯䭁䝁䉫䅁䭁䱁䅁䅁䭁䅁䅑潁䭁䍁䜸䅁䉁䅁䅁允䅁䅁䅕䅁䅁䅁䅁䅁䵁䅉䅅䅁䥁䅁䅁睁䅁䅁䅁权䅁䅁䅁权䕂睃䅁兂䅁䅁䅁䡳㤳䅑䅯兡䅅䅁䅯杷䅁䅁䅯䅂䍁䅧䅯睌䅙䅁䅅䅁䉁䅁䅁兂䅁䅁䅁䅁䅁䅁杷允䅁䅁䅧䅁䑁䅁䅁䅁䭁䅁䅁䅁䭁䕁䱑䅁䙁䅁䅁䅁睃晦䄱权灂允䅁权权䅁䅁权䕁䅁䅋权癁杂䅁允䅁䅁䅅䅁䙁䅁䅁䅁䅁䅁䅁䍄䉁䅁䅁䅃䅁䅁䅍䅁䅁䅁䅯䅁䅁䅁䅯䅒䅳䅁䅕䅁䅁䱁㥂唯䭁䝁䉫䅁䭁䵁䅧䅁䭁䅁䅑潁䭁䍁䜸䅁䉁䅁䅁允䅁䅁䅕䬵扗䩸扂歈䵅䅉䅅䅁䥁䅁䅁睁䅁䅁䅁权䅁䅁䅁权䕂睃䅁兂䅁䅁䅁䡳㤳䅑䅯兡䅅䅁䅯杵䅁䅁䅯䅂䍁䅧䅯睌䅙䅁䅅䅁䉁䅁䅁权䕁䅁䅁䍄䉁䅁䅁䅃䅁䅁䅍䅁䅁䅁䅯䅁䅁䅁䅯䅒䅳䅁䅕䅁䅁䱁㥂唯䭁䝁䉫䅁䭁䱁䅉䅁䭁䅁䅑潁䭁䍁䜸䅁䉁䅁䅁允䅁䅁䅕杓䍷⭡瑉お䵅䅉䅅䅁䥁䅁䅁睁䅁䅁䅁权䅁䅁䅁权䕂睃䅁兂䅁䅁䅁䡳㤳䅑䅯䅡䅅䅁䅯杵䅁䅁䅯䅂䍁䅧䅯睌䅙䅁䅅䅁䉁䅁䅁兂㍂灶愸㥓硔䅑杷允䅁䅁䅧䅁䑁䅁䅁䅁䭁䅁䅁䅁䭁䕁䱑䅁䙁䅁䅁䅁睃晦䄱权灂允䅁权䭄䅁䅁权䕁䅁䅋权癁杂䅁允䅁䅁䅅䅁䙁䅁䅁䅁䅁䅁䅁䍄䉁䅁䅁䅃䅁䅁䅍䅁䅁䅁䅯䅁䅁䅁䅯䅒䅳䅁䅕䅁䅁䱁㥂唯䭁䝁䉫䅁䭁䱁䅑䅁䭁䅁䅑潁䭁䍁䜸䅁䉁䅁䅁允䅁䅁䅕䅁䅁䅁䅁䅁䵁䅉䅅䅁䥁䅁䅁睁䅁䅁䅁权䅁䅁䅁权䕂睃䅁兂䅁䅁䅁䡳㤳䅑䅯兡䅅䅁䅯兙䅁䅁䅯䅂䍁䅧䅯睌䅙䅁䅅䅁䉁䅁䅁兂䅁䅁䅁䅁䅁䅁杷允䅁䅁䅧䅁䑁䅁䅁䅁䭁䅁䅁䅁䭁䕁䱑䅁䙁䅁䅁䅁睃晦䄱权灂允䅁权婂䅁䅁权䕁䅁䅋权癁杂䅁允䅁䅁䅅䅁䙁䅁䅁䅁䅁䅁䅁䍄䉁䅁䅁䅃䅁䅁䅍䅁䅁䅁䅯䅁䅁䅁䅯䅒䅳䅁䅕䅁䅁䱁㥂唯䭁䝁䉫䅁䭁䱁䅙䅁䭁䅁䅑潁䭁䍁䜸䅁䉁䅁䅁允䅁䅁䅕䅁䅁䅁䅁䅁䵁䅉䅅䅁䥁䅁䅁睁䅁䅁䅁权䅁䅁䅁权䕂睃䅁兂䅁䅁䅁䡳㤳䅑䅯兡䅅䅁䅯䅺䅁䅁䅯䅂䍁䅧䅯睌䅙䅁䅅䅁䉁䅁䅁权䕁䅁䅁䍄䉁䅁䅁䅃䅁䅁䅍䅁䅁䅁䅯䅁䅁䅁䅯䅒䅳䅁䅕䅁䅁䱁㥂唯䭁䝁䉫䅁䭁䭁䄴䅁䭁䅁䅑潁䭁䍁䜸䅁䉁䅁䅁允䅁䅁䅯䅂䅁䅁杷允䅁䅁䅧䅁䑁䅁䅁䅁䭁䅁䅁䅁䭁䕁䱑䅁䙁䅁䅁䅁睃晦䄱权灂允䅁权䩂䅁䅁权䕁䅁䅋权癁杂䅁允䅁䅁䅅䅁䙁䅁䅁䅁䅁䅁䅁䍄䉁䅁䅁䅃䅁䅁䅍䅁䅁䅁䅯䅁䅁䅁䅯䅒䅳䅁䅕䅁䅁䱁㥂唯䭁䝁䉫䅁䭁䵁䄴䅁䭁䅁䅑潁䭁䍁䜸䅁䉁䅁䅁允䅁䅁䅯䅂䅁䅁杷允䅁䅁䅧䅁䑁䅁䅁䅁䭁䅁䅁䅁䭁䕁䱑䅁䙁䅁䅁䅁睃晦䄱权潂允䅁权䅄䅁䅁权䕁䅁䅋权癁杂䅁允䅁䅁䅅䅁䙁䅁䅁䅁䅁䅁䅁䍄䉁䅁䅁䅃䅁䅁䅍䅁䅁䅁䅯䅁䅁䅁䅯䅒䅳䅁䅕䅁䅁䱁㥂唯䭁䝁䉧䅁䭁䵁䅙䅁䭁䅁䅑潁䭁䍁䜸䅁䉁䅁䅁允䅁䅁䅕䅁䅁䅁䅁䅁䵁䅉䅅䅁䥁䅁䅁睁䅁䅁䅁权䅁䅁䅁权䕂睃䅁兂䅁䅁䅁䡳㤳䅑䅯䅡䅅䅁䅯杷䅁䅁䅯䅂䍁䅧䅯睌䅙䅁䅅䅁䉁䅁䅁兂䅁䅁䅁䅁䅁䅁杷允䅁䅁䅧䅁䑁䅁䅁䅁䭁䅁䅁䅁䭁䕁䱑䅁䙁䅁䅁䅁睃晦䄱权潂允䅁权权䅁䅁权䕁䅁䅋权癁杂䅁允䅁䅁䅅䅁䙁䅁䅁䅁䅁䅁䅁䍄䉁䅁䅁䅃䅁䅁䅍䅁䅁䅁䅯䅁䅁䅁䅯䅒䅳䅁䅕䅁䅁䱁㥂唯䭁䝁䉧䅁䭁䵁䅧䅁䭁䅁䅑潁䭁䍁䜸䅁䉁䅁䅁允䅁䅁䅕㑋坣堲杩ぅ䵅䅉䅅䅁䥁䅁䅁睁䅁䅁䅁权䅁䅁䅁权䕂睃䅁兂䅁䅁䅁䡳㤳䅑䅯䅡䅅䅁䅯䅱䅁䅁䅯䅂䍁䅧䅯睌䅙䅁䅅䅁䉁䅁䅁兂䅁䅁䅁䅁䅁䅁杷允䅁䅁䅧䅁䑁䅁䅁䅁䭁䅁䅁䅁䭁䕁䱑䅁䙁䅁䅁䅁睃晦䄱权潂允䅁权桂䅁䅁权䕁䅁䅋权癁杂䅁允䅁䅁䅅䅁䙁䅁䅁䅁䅁䅁䅁䍄䉁䅁䅁䅃䅁䅁䅍䅁䅁䅁䅯䅁䅁䅁䅯䅒䅳䅁䅕䅁䅁䱁㥂唯䭁䝁䉧䅁䭁䙁䅫䅁䭁䅁䅑潁䭁䍁䜸䅁䉁䅁䅁允䅁䅁䅕䅁䅁䅁䅁䅁䵁䅉䅅䅁䥁䅁䅁睁䅁䅁䅁权䅁䅁䅁权䕂睃䅁兂䅁䅁䅁䡳㤳䅑䅯䅡䅅䅁䅯杴䅁䅁䅯䅂䍁䅧䅯睌䅙䅁䅅䅁䉁䅁䅁兂䅁䅁䅁䅁䅁䅁杷允䅁䅁䅧䅁䑁䅁䅁䅁䭁䅁䅁䅁䭁䕁䱑䅁䙁䅁䅁䅁睃晦䄱权潂允䅁权䵄䅁䅁权䕁䅁䅋权癁杂䅁允䅁䅁䅅䅁䙁䅁䅁䅁䅁䅁䅁䍄䉁䅁䅁䅃䅁䅁䅍䅁䅁䅁䅯䅁䅁䅁䅯䅒䅳䅁䅕䅁䅁䱁㥂唯䭁䝁䉧䅁䭁䭁䄴䅁䭁䅁䅑潁䭁䍁䜸䅁䉁䅁䅁允䅁䅁䅕䅁䅁䅁䅁䅁䵁䅉䅅䅁䥁䅁䅁睁䅁䅁䅁权䅁䅁䅁权䕂睃䅁兂䅁䅁䅁䡳㤳䅑䅯䅡䅅䅁䅯兓䅁䅁䅯䅂䍁䅧䅯睌䅙䅁䅅䅁䉁䅁䅁权䕁䅁䅁䍄䉁䅁䅁䅃䅁䅁䅍䅁䅁䅁䅯䅁䅁䅁䅯䅒䅳䅁䅕䅁䅁䱁㥂唯䭁䝁䉧䅁䭁䱁䄴䅁䭁䅁䅑潁䭁䍁䜸䅁䉁䅁䅁允䅁䅁䅕䅁䅁䅁䅁䅁䵁䅉䅅䅁䥁䅁䅁睁䅁䅁䅁权䅁䅁䅁权䕂睃䅁兂䅁䅁䅁䡳㤳䅑䅯䅡䅅䅁䅯䅸䅁䅁䅯䅂䍁䅧䅯睌䅙䅁䅅䅁䉁䅁䅁兂䅂噎愴奦㈸兑杷允䅁䅁䅧䅁䑁䅁䅁䅁䭁䅁䅁䅁䭁䕁䱑䅁䙁䅁䅁䅁睃晦䄱权睁䅁䅁权䅄䅁䅁权䕁䅁䅋权癁杂䅁允䅁䅁䅅䅁䙁䅁䅁䅁䅁䅁䅁䍄䉁䅁䅁䅃䅁䅁䅍䅁䅁䅁䅯䅁䅁䅁䅯䅒䅳䅁䅕䅁䅁䱁㥂唯䭁䑁䅁䅁䭁䩁䅯䅁䭁䅁䅑潁䭁䍁䜸䅁䉁䅁䅁允䅁䅁䅕䅁䅁䅁䅁䅁䵁䅉䅅䅁䥁䅁䅁睁䅁䅁䅁权䅁䅁䅁权䕂睃䅁兂䅁䅁䅁䡳㤳䅑䅯䅍䅁䅁䅯杸䅁䅁䅯䅂䍁䅧䅯睌䅙䅁䅅䅁䉁䅁䅁兂䅁䅁䅁䅁䅁䅁杷允䅁䅁䅧䅁䑁䅁䅁䅁䭁䅁䅁䅁䭁䕁䱑䅁䙁䅁䅁䅁睃晦䄱权睁䅁䅁权奃䅁䅁权䕁䅁䅋权癁杂䅁允䅁䅁䅅䅁䙁䅁䅁䅁䅁䅁䅁䍄䉁䅁䅁䅃䅁䅁䅍䅁䅁䅁䅯䅁䅁䅁䅯䅒䅳䅁䅕䅁䅁䱁㥂唯䭁䑁䅁䅁䭁䱁䅷䅁䭁䅁䅑潁䭁䍁䜸䅁䉁䅁䅁允䅁䅁䅕䅁䅁䅁䅁䅁䵁䅉䅅䅁䥁䅁䅁睁䅁䅁䅁权䅁䅁䅁权䕂睃䅁兂䅁䅁䅁䡳㤳䅑䅯䅍䅁䅁䅯䅱䅁䅁䅯䅂䍁䅧䅯睌䅙䅁䅅䅁䉁䅁䅁兂䅁䅁䅁䅁䅁䅁杷允䅁䅁䅧䅁䑁䅁䅁䅁䭁䅁䅁䅁䭁䕁䱑䅁䙁䅁䅁䅁睃晦䄱权睁䅁䅁权䭄䅁䅁权䕁䅁䅋权癁杂䅁允䅁䅁䅅䅁䙁䅁䅁䅁䅁䅁䅁䍄䉁䅁䅁䅃䅁䅁䅍䅁䅁䅁䅯䅁䅁䅁䅯䅒䅳䅁䅕䅁䅁䱁㥂唯䭁䑁䅁䅁䭁䱁䅙䅁䭁䅁䅑潁䭁䍁䜸䅁䉁䅁䅁允䅁䅁䅕䅁䅁䅁䅁䅁䵁䅉䅅䅁䥁䅁䅁睁䅁䅁䅁权䅁䅁䅁权䕂睃䅁兂䅁䅁䅁䡳㤳䅑䅯䅍䅁䅁䅯䅺䅁䅁䅯䅂䍁䅧䅯睌䅙䅁䅅䅁䉁䅁䅁兂䅁䅁䅁䅁䅁䅁杷允䅁䅁䅧䅁䑁䅁䅁䅁䭁䅁䅁䅁䭁䕁䱑䅁䙁䅁䅁䅁睃晦䄱权䝁䅁䅁权㑃䅁䅁权䕁䅁䅋权癁杂䅁允䅁䅁䅅䅁䙁䅁䅁䅁䅁䅁䅁䍄䉁䅁䅁䅃䅁䅁䅍䅁䅁䅁䅯䅁䅁䅁䅯䅒䅳䅁䅕䅁䅁䱁㥂唯䭁䑁䅁䅁䭁䱁䄴䅁䭁䅁䅑潁䭁䍁䜸䅁䉁䅁䅁允䅁䅁䅕䅁䅁䅁䅁䅁䵁䅉䅅䅁䥁䅁䅁睁䅁䅁䅁权䅁䅁䅁权䕂睃䅁兂䅁䅁䅁䡳㤳䅑䅯䅍䅁䅁䅯䅵䅁䅁䅯䅂䍁䅧䅯睌䅙䅁䅅䅁䉁䅁䅁兂䅁䅁䅁䅁䅁䅁杷允䅁䅁䅧䅁䑁䅁䅁䅁䭁䅁䅁䅁䭁䕁䱑䅁䙁䅁䅁䅁睃晦䄱权䝁䅁䅁权睃䅁䅁权䕁䅁䅋权癁杂䅁允䅁䅁䅅䅁䙁䅁䅁䅁䅁䅁䅁䍄䉁䅁䅁䅃䅁䅁䅍䅁䅁䅁䅯䅁䅁䅁䅯䅒䅳䅁䅕䅁䅁䱁㥂唯䭁䅁䅙䅁䭁䩁䅯䅁䭁䅁䅑潁䭁䍁䜸䅁䉁䅁䅁允䅁䅁䅕䅁䅁䅁䅁䅁䵁䅉䅅䅁䥁䅁䅁睁䅁䅁䅁权䅁䅁䅁权䕂睃䅁兂䅁䅁䅁䡳㤳䅑䅯杂䅁䅁䅯杸䅁䅁䅯䅂䍁䅧䅯睌䅙䅁䅅䅁䉁䅁䅁兂䅁䅁䅁䅁䅁䅁杷允䅁䅁䅧䅁䑁䅁䅁䅁䭁䅁䅁䅁䭁䕁䱑䅁䙁䅁䅁䅁睃晦䄱权䝁䅁䅁权奃䅁䅁权䕁䅁䅋权癁杂䅁允䅁䅁䅅䅁䙁䅁䅁䅁䅁䅁䅁䍄䉁䅁䅁䅃䅁䅁䅍䅁䅁䅁䅯䅁䅁䅁䅯䅒䅳䅁䅕䅁䅁䱁㥂唯䭁䅁䅙䅁䭁䵁䅉䅁䭁䅁䅑潁䭁䍁䜸䅁䉁䅁䅁允䅁䅁䅕䅁䅁䅁䅁䅁䵁䅉䅅䅁䥁䅁䅁睁䅁䅁䅁权䅁䅁䅁权䕂睃䅁兂䅁䅁䅁䡳㤳䅑䅯杂䅁䅁䅯䅶䅁䅁䅯䅂䍁䅧䅯睌䅙䅁䅅䅁䉁䅁䅁兂䅁䅁䅁䅁䅁䅁杷允䅁䅁䅧䅁䑁䅁䅁䅁䭁䅁䅁䅁䭁䕁䱑䅁䙁䅁䅁䅁睃晦䄱权䝁䅁䅁权权䅁䅁权䕁䅁䅋权癁杂䅁允䅁䅁䅅䅁䙁䅁䅁䅁䅁䅁䅁䍄䉁䅁䅁䅃䅁䅁䅍䅁䅁䅁䅯䅁䅁䅁䅯䅒䅳䅁䅕䅁䅁䱁㥂唯䭁䅁䅙䅁䭁䵁䅧䅁䭁䅁䅑潁䭁䍁䜸䅁䉁䅁䅁允䅁䅁䅕䅁䅁䅁䅁䅁䵁䅉䅅䅁䥁䅁䅁睁䅁䅁䅁权䅁䅁䅁权䕂睃䅁兂䅁䅁䅁䡳㤳䅑䅯杂䅁䅁䅯杳䅁䅁䅯䅂䍁䅧䅯睌䅙䅁䅅䅁䉁䅁䅁兂穁積呐䑈ㅳ兑杷允䅁䅁䅧䅁䑁䅁䅁䅁䭁䅁䅁䅁䭁䕁䱑䅁䙁䅁䅁䅁睃晦䄱权䝁䅁䅁权ぃ䅁䅁权䕁䅁䅋权癁杂䅁允䅁䅁䅅䅁䙁䅁䅁䅁䅁䅁䅁䍄䉁䅁䅁䅃䅁䅁䅍䅁䅁䅁䅯䅁䅁䅁䅯䅒䅳䅁䅕䅁䅁䱁㥂唯䭁䅁䅙䅁䭁䙁䅫䅁䭁䅁䅑潁䭁䍁䜸䅁䉁䅁䅁允䅁䅁䅕䅁䅁䅁䅁䅁䵁䅉䅅䅁䥁䅁䅁睁䅁䅁䅁权䅁䅁䅁权䕂睃䅁兂䅁䅁䅁䡳㤳䅑䅯杂䅁䅁䅯杴䅁䅁䅯䅂䍁䅧䅯睌䅙䅁䅅䅁䉁䅁䅁兂䅁䅁䅁䅁䅁䅁杷允䅁䅁䅧䅁䑁䅁䅁䅁䭁䅁䅁䅁䭁䕁䱑䅁䙁䅁䅁䅁睃晦䄱权䝁䅁䅁权䵄䅁䅁权䕁䅁䅋权癁杂䅁允䅁䅁䅅䅁䙁䅁䅁䅁䅁䅁䅁䍄䉁䅁䅁䅃䅁䅁䅍䅁䅁䅁䅯䅁䅁䅁䅯䅒䅳䅁䅕䅁䅁䱁㥂唯䭁䅁䅙䅁䭁䱁䄴䅁䭁䅁䅑潁䭁䍁䜸䅁䉁䅁䅁允䅁䅁䅕䅁䅁䅁䅁䅁䵁䅉䅅䅁䥁䅁䅁睁䅁䅁䅁权䅁䅁䅁权䕂睃䅁兂䅁䅁䅁䡳㤳䅑䅯兺䅣䅁䅯䄫䅁䅁䅯䅂䍁䅧䅯睌䅙䅁䅅䅁䉁䅁䅁兂㥃䩤奎桯ぁ兑杷允䅁䅁䅧䅁䑁䅁䅁䅁䭁䅁䅁䅁䭁䕁䱑䅁䙁䅁䅁䅁睃晦䄱权灂允䅁权㑄䅁䅁权䕁䅁䅋权癁杂䅁允䅁䅁䅅䅁䙁䡁潎卫夰呹䉊䍄䉁䅁䅁䅃䅁䅁䅍䅁䅁䅁䅯䅁䅁䅁䅯䅒䅳䅁䅕䅁䅁䱁㥂唯䭁䝁䉧䅁䭁佁䅷䅁䭁䅁䅑潁䭁䍁䜸䅁䉁䅁䅁允䅁䅁䅕䅁䅁䅁䅁䅁䵁䅉䅅䅁䙁䅁䅁睁䑁䅁䅁兂䅁䅁䅁偁硂䅑䅕䅁䅁䅁㥃唯䭁䑁䝑䅁䭁䡁䉯䅁䉁䅁䅁允䅁䅁䅯兎䅙䅁杷允䅁䅁䅕䅁䑁䅁䅍䅁䙁䅁䅁䅁䅁䠸䅆兂䅁䅁䅁䱁㤳䅑䅯兕䅙䅁䅯来䅅䅁䅅䅁䉁䅁䅁权卂杂䅁䍄䉁䅁䅁兂䅁䅁䅍睁䅁䅁䅕䅁䅁䅁睄啣䙁䅁䅁䅁䅁晶䄱权呂杂䅁权㙂允䅁允䅁䅁䅅䅁䭁䙁䝑䅁䵁䅉䅅䅁䑁䅁䅁睁䑁䅁䅁兂䅁䅁䅁偁硂䅑䅕䅁䅁䕁坂欯䉁䅁䅁允䅁䅁䅯桮䅑䅁杷允䅁䅁䅑䅁䑁䅁䅁䅁䙁䅁䅁䅁䅁䠸䅆权䕂睃䅁兂䅁䅁䅁䙕㡶䅑䅅䅁䉁䅁䅁权䕂睃䅁䍄䉁䅁䅁䅂䅁䅁䅍䅁䅁䅁䅕䅁䅁䅁睄啣䭁䕁䱑䅁䙁䅁䅁䅁䅃偶䄱允䅁䅁䅅䅁䭁䅁䅣䅁䵁䅉䅅䅁䕁䅁䅁睁䅁䅁䅁兂䅁䅁䅁偁硂䅑䅯䅒䅳䅁䅕䅁䅁䱁䝄唯䉁䅁䅁允䅁䅁䅯督䅫䅁杷允䅁䅁䅑䅁䑁䅁䅁䅁䙁䅁䅁䅁䅁䠸䅆权䕂睃䅁兂䅁䅁䅁䱳㥺䅑䅅䅁䉁䅁䅁权時允䅁䍄䉁䅁䅁䅂䅁䅁䅍䅁䅁䅁䅕䅁䅁䅁睄啣䭁䕁䱑䅁䙁䅁䅁䅁睂偰䄱允䅁䅁䅅䅁䭁䕁䱯䅁䵁䅉䅅䅁䕁䅁䅁睁䅁䅁䅁兂䅁䅁䅁偁硂䅑䅯䅒䅳䅁䅕䅁䅁䭁歃唯䉁䅁䅁允䅁䅁䅯睌䅧䅁杷允䅁䅁䅑䅁䑁䅁䅁䅁䙁䅁䅁䅁䅁䠸䅆权䕂睃䅁兂䅁䅁䅁䰴㥺䅑䅅䅁䉁䅁䅁权慃杂䅁䍄䉁䅁䅁䅂䅁䅁䅍䅁䅁䅁䅕䅁䅁䅁睄啣䭁䕁䱑䅁䙁䅁䅁䅁兄偰䄱允䅁䅁䅅䅁䭁䝁䉍䅁䵁䅉䅅䅁䕁䅁䅁睁䅁䅁䅁兂䅁䅁䅁偁硂䅑䅯䅒䅳䅁䅕䅁䅁䕁坂欯䉁䅁䅁允䅁䅁䅯䅂䅁䅁杷允䅁䅁䅕䅁䵁䅉䅅䅁䑁䅁䅁权㥃睂䅁权㝁䅆䅁权⭃睂䅁䅆佂睧䅁䅁䅁䉁䅑䍉䔳住潪䈵啙䝁䡈爫⬶儸剸䅆湃兑䅁䅁䅁䅁䅅䅁䉁䅁䅁权䕄杂䅁䍄䉁䅁䅁兂䅁䅁䅍䅁䅁䅁䅕䅁䅁䅁睄啣䭁䕁䱑䅁䙁䅁䅁䅁䅁晶䄱权慂杂䅁允䅁䅁䅅䅁䭁䕁䱷䅁䵁䅉䅅䅁䙁䅁䅁睁䅁䅁䅁兂䅁䅁䅁偁硂䅑䅯䅒䅳䅁䅕䅁䅁䅁㥃唯䭁䙁䝳䅁䉁䅁䅁允䅁䅁䅯杔䅳䅁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</si>
</sst>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7" formatCode="[h]:mm:ss;@"/>
  </numFmts>
  <fonts count="33"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1"/>
      <color theme="1"/>
      <name val="Calibri"/>
      <family val="2"/>
      <scheme val="minor"/>
    </font>
    <font>
      <sz val="10"/>
      <color theme="1"/>
      <name val="Calibri"/>
      <family val="2"/>
      <scheme val="minor"/>
    </font>
    <font>
      <sz val="10"/>
      <color theme="1"/>
      <name val="Arial"/>
      <family val="2"/>
    </font>
    <font>
      <sz val="11"/>
      <color theme="1"/>
      <name val="Arial"/>
      <family val="2"/>
    </font>
    <font>
      <b/>
      <sz val="10"/>
      <name val="Arial"/>
      <family val="2"/>
    </font>
    <font>
      <sz val="10"/>
      <color theme="0"/>
      <name val="Arial"/>
      <family val="2"/>
    </font>
    <font>
      <b/>
      <sz val="15"/>
      <color theme="1"/>
      <name val="Arial"/>
      <family val="2"/>
    </font>
    <font>
      <b/>
      <sz val="15"/>
      <color theme="0"/>
      <name val="Arial"/>
      <family val="2"/>
    </font>
    <font>
      <b/>
      <sz val="30"/>
      <color theme="0"/>
      <name val="Calibri"/>
      <family val="2"/>
      <scheme val="minor"/>
    </font>
    <font>
      <b/>
      <sz val="28"/>
      <color theme="1"/>
      <name val="Arial"/>
      <family val="2"/>
    </font>
    <font>
      <b/>
      <sz val="10"/>
      <color theme="0"/>
      <name val="Arial"/>
      <family val="2"/>
    </font>
    <font>
      <b/>
      <sz val="15"/>
      <color theme="0"/>
      <name val="Calibri"/>
      <family val="2"/>
      <scheme val="minor"/>
    </font>
    <font>
      <sz val="7"/>
      <color theme="1"/>
      <name val="Calibri"/>
      <family val="2"/>
      <scheme val="minor"/>
    </font>
    <font>
      <sz val="6"/>
      <color theme="1"/>
      <name val="Calibri"/>
      <family val="2"/>
      <scheme val="minor"/>
    </font>
    <font>
      <b/>
      <sz val="12"/>
      <color theme="1"/>
      <name val="Calibri"/>
      <family val="2"/>
      <scheme val="minor"/>
    </font>
    <font>
      <b/>
      <sz val="7"/>
      <color theme="1"/>
      <name val="Calibri"/>
      <family val="2"/>
      <scheme val="minor"/>
    </font>
    <font>
      <b/>
      <sz val="9"/>
      <color theme="1"/>
      <name val="Calibri"/>
      <family val="2"/>
      <scheme val="minor"/>
    </font>
    <font>
      <b/>
      <sz val="6"/>
      <color theme="1"/>
      <name val="Calibri"/>
      <family val="2"/>
      <scheme val="minor"/>
    </font>
    <font>
      <b/>
      <sz val="36"/>
      <color rgb="FF000000"/>
      <name val="Arial"/>
      <family val="2"/>
    </font>
    <font>
      <b/>
      <sz val="11"/>
      <color theme="1"/>
      <name val="Arial"/>
      <family val="2"/>
    </font>
    <font>
      <b/>
      <sz val="24"/>
      <color theme="0"/>
      <name val="Arial"/>
      <family val="2"/>
    </font>
    <font>
      <b/>
      <sz val="24"/>
      <name val="Arial"/>
      <family val="2"/>
    </font>
    <font>
      <b/>
      <sz val="11"/>
      <color theme="0"/>
      <name val="Arial"/>
      <family val="2"/>
    </font>
    <font>
      <sz val="11"/>
      <color theme="0"/>
      <name val="Arial"/>
      <family val="2"/>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EA7C04"/>
        <bgColor indexed="64"/>
      </patternFill>
    </fill>
    <fill>
      <patternFill patternType="solid">
        <fgColor rgb="FFC00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top/>
      <bottom style="thin">
        <color indexed="64"/>
      </bottom>
      <diagonal/>
    </border>
  </borders>
  <cellStyleXfs count="4">
    <xf numFmtId="0" fontId="0" fillId="0" borderId="0"/>
    <xf numFmtId="0" fontId="8" fillId="0" borderId="0"/>
    <xf numFmtId="43" fontId="9" fillId="0" borderId="0" applyFont="0" applyFill="0" applyBorder="0" applyAlignment="0" applyProtection="0"/>
    <xf numFmtId="9" fontId="9" fillId="0" borderId="0" applyFont="0" applyFill="0" applyBorder="0" applyAlignment="0" applyProtection="0"/>
  </cellStyleXfs>
  <cellXfs count="186">
    <xf numFmtId="0" fontId="0" fillId="0" borderId="0" xfId="0"/>
    <xf numFmtId="0" fontId="10" fillId="0" borderId="0" xfId="0" applyFont="1"/>
    <xf numFmtId="0" fontId="8" fillId="0" borderId="0" xfId="1" applyFont="1"/>
    <xf numFmtId="0" fontId="8" fillId="0" borderId="0" xfId="1" applyFont="1" applyAlignment="1">
      <alignment vertical="center"/>
    </xf>
    <xf numFmtId="3" fontId="8" fillId="0" borderId="0" xfId="1" applyNumberFormat="1" applyFont="1" applyAlignment="1">
      <alignment horizontal="right"/>
    </xf>
    <xf numFmtId="0" fontId="8" fillId="0" borderId="0" xfId="1" applyFont="1" applyFill="1" applyAlignment="1">
      <alignment vertical="center"/>
    </xf>
    <xf numFmtId="0" fontId="8" fillId="0" borderId="0" xfId="1" applyFont="1" applyFill="1"/>
    <xf numFmtId="0" fontId="11" fillId="0" borderId="0" xfId="0" applyFont="1"/>
    <xf numFmtId="3" fontId="11" fillId="0" borderId="0" xfId="0" applyNumberFormat="1" applyFont="1" applyAlignment="1">
      <alignment horizontal="right"/>
    </xf>
    <xf numFmtId="0" fontId="11" fillId="0" borderId="0" xfId="0" applyFont="1" applyAlignment="1">
      <alignment horizontal="left"/>
    </xf>
    <xf numFmtId="0" fontId="11" fillId="0" borderId="0" xfId="0" applyFont="1" applyAlignment="1">
      <alignment horizontal="right"/>
    </xf>
    <xf numFmtId="0" fontId="12" fillId="0" borderId="0" xfId="0" applyFont="1"/>
    <xf numFmtId="14" fontId="11" fillId="0" borderId="0" xfId="0" applyNumberFormat="1" applyFont="1"/>
    <xf numFmtId="0" fontId="13"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applyFont="1" applyFill="1" applyAlignment="1">
      <alignment horizontal="left"/>
    </xf>
    <xf numFmtId="1" fontId="8" fillId="0" borderId="0" xfId="0" applyNumberFormat="1" applyFont="1" applyAlignment="1">
      <alignment horizontal="left"/>
    </xf>
    <xf numFmtId="3" fontId="0" fillId="0" borderId="0" xfId="0" applyNumberFormat="1" applyAlignment="1">
      <alignment horizontal="right"/>
    </xf>
    <xf numFmtId="0" fontId="0" fillId="0" borderId="0" xfId="0" applyAlignment="1"/>
    <xf numFmtId="0" fontId="0" fillId="0" borderId="0" xfId="0" applyAlignment="1">
      <alignment horizontal="left"/>
    </xf>
    <xf numFmtId="0" fontId="0" fillId="0" borderId="0" xfId="0" applyAlignment="1">
      <alignment horizontal="right"/>
    </xf>
    <xf numFmtId="3" fontId="11" fillId="0" borderId="0" xfId="0" applyNumberFormat="1" applyFont="1"/>
    <xf numFmtId="0" fontId="7" fillId="0" borderId="0" xfId="0" applyFont="1"/>
    <xf numFmtId="10" fontId="11" fillId="0" borderId="0" xfId="3" applyNumberFormat="1" applyFont="1" applyAlignment="1">
      <alignment horizontal="right"/>
    </xf>
    <xf numFmtId="0" fontId="0" fillId="0" borderId="0" xfId="0" applyNumberFormat="1" applyAlignment="1">
      <alignment horizontal="left"/>
    </xf>
    <xf numFmtId="3" fontId="0" fillId="0" borderId="0" xfId="0" applyNumberFormat="1"/>
    <xf numFmtId="14" fontId="0" fillId="0" borderId="0" xfId="0" applyNumberFormat="1"/>
    <xf numFmtId="0" fontId="6" fillId="0" borderId="0" xfId="0" applyFont="1"/>
    <xf numFmtId="0" fontId="6" fillId="0" borderId="0" xfId="0" applyFont="1" applyAlignment="1">
      <alignment horizontal="right"/>
    </xf>
    <xf numFmtId="0" fontId="11" fillId="0" borderId="0" xfId="0" applyFont="1" applyAlignment="1">
      <alignment horizontal="center"/>
    </xf>
    <xf numFmtId="3" fontId="6" fillId="0" borderId="0" xfId="0" applyNumberFormat="1" applyFont="1" applyAlignment="1">
      <alignment horizontal="right"/>
    </xf>
    <xf numFmtId="0" fontId="11"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wrapText="1"/>
    </xf>
    <xf numFmtId="10" fontId="11" fillId="0" borderId="0" xfId="3" applyNumberFormat="1" applyFont="1"/>
    <xf numFmtId="0" fontId="11" fillId="0" borderId="0" xfId="0" applyFont="1" applyAlignment="1">
      <alignment horizontal="center" vertical="center" wrapText="1"/>
    </xf>
    <xf numFmtId="10" fontId="0" fillId="0" borderId="0" xfId="3" applyNumberFormat="1" applyFont="1"/>
    <xf numFmtId="0" fontId="15" fillId="2" borderId="1" xfId="0" applyFont="1" applyFill="1" applyBorder="1" applyAlignment="1">
      <alignment horizontal="center" vertical="center"/>
    </xf>
    <xf numFmtId="49" fontId="0" fillId="0" borderId="0" xfId="0" applyNumberFormat="1" applyAlignment="1">
      <alignment horizontal="left"/>
    </xf>
    <xf numFmtId="49" fontId="0" fillId="0" borderId="0" xfId="0" applyNumberFormat="1"/>
    <xf numFmtId="0" fontId="0" fillId="0" borderId="0" xfId="0" applyNumberFormat="1"/>
    <xf numFmtId="0" fontId="3" fillId="0" borderId="0" xfId="0" applyFont="1"/>
    <xf numFmtId="0" fontId="21" fillId="0" borderId="0" xfId="0" applyFont="1"/>
    <xf numFmtId="0" fontId="22" fillId="0" borderId="0" xfId="0" applyFont="1"/>
    <xf numFmtId="0" fontId="23" fillId="0" borderId="0" xfId="0" applyFont="1"/>
    <xf numFmtId="10" fontId="21" fillId="0" borderId="0" xfId="3" applyNumberFormat="1" applyFont="1"/>
    <xf numFmtId="3" fontId="21" fillId="6" borderId="13" xfId="0" applyNumberFormat="1" applyFont="1" applyFill="1" applyBorder="1"/>
    <xf numFmtId="10" fontId="21" fillId="6" borderId="14" xfId="0" applyNumberFormat="1" applyFont="1" applyFill="1" applyBorder="1"/>
    <xf numFmtId="10" fontId="21" fillId="6" borderId="0" xfId="0" applyNumberFormat="1" applyFont="1" applyFill="1" applyBorder="1"/>
    <xf numFmtId="0" fontId="22" fillId="7" borderId="19" xfId="0" applyFont="1" applyFill="1" applyBorder="1"/>
    <xf numFmtId="0" fontId="22" fillId="7" borderId="20" xfId="0" applyFont="1" applyFill="1" applyBorder="1"/>
    <xf numFmtId="0" fontId="21" fillId="7" borderId="19" xfId="0" applyFont="1" applyFill="1" applyBorder="1" applyAlignment="1">
      <alignment horizontal="center" vertical="center" wrapText="1"/>
    </xf>
    <xf numFmtId="0" fontId="21" fillId="7" borderId="20" xfId="0" applyFont="1" applyFill="1" applyBorder="1" applyAlignment="1">
      <alignment horizontal="center" vertical="center" wrapText="1"/>
    </xf>
    <xf numFmtId="0" fontId="21" fillId="7" borderId="11" xfId="0" applyFont="1" applyFill="1" applyBorder="1" applyAlignment="1">
      <alignment horizontal="center" vertical="center" wrapText="1"/>
    </xf>
    <xf numFmtId="3" fontId="21" fillId="6" borderId="0" xfId="0" applyNumberFormat="1" applyFont="1" applyFill="1" applyBorder="1"/>
    <xf numFmtId="10" fontId="21" fillId="6" borderId="0" xfId="3" applyNumberFormat="1" applyFont="1" applyFill="1" applyBorder="1"/>
    <xf numFmtId="3" fontId="21" fillId="8" borderId="0" xfId="0" applyNumberFormat="1" applyFont="1" applyFill="1" applyBorder="1"/>
    <xf numFmtId="10" fontId="21" fillId="8" borderId="0" xfId="3" applyNumberFormat="1" applyFont="1" applyFill="1" applyBorder="1"/>
    <xf numFmtId="0" fontId="21" fillId="7" borderId="12" xfId="0" applyFont="1" applyFill="1" applyBorder="1" applyAlignment="1">
      <alignment horizontal="center" vertical="center" wrapText="1"/>
    </xf>
    <xf numFmtId="10" fontId="21" fillId="6" borderId="14" xfId="3" applyNumberFormat="1" applyFont="1" applyFill="1" applyBorder="1"/>
    <xf numFmtId="10" fontId="21" fillId="8" borderId="14" xfId="3" applyNumberFormat="1" applyFont="1" applyFill="1" applyBorder="1"/>
    <xf numFmtId="3" fontId="21" fillId="8" borderId="13" xfId="0" applyNumberFormat="1" applyFont="1" applyFill="1" applyBorder="1"/>
    <xf numFmtId="3" fontId="21" fillId="8" borderId="18" xfId="0" applyNumberFormat="1" applyFont="1" applyFill="1" applyBorder="1"/>
    <xf numFmtId="10" fontId="21" fillId="8" borderId="20" xfId="3" applyNumberFormat="1" applyFont="1" applyFill="1" applyBorder="1"/>
    <xf numFmtId="3" fontId="21" fillId="8" borderId="19" xfId="0" applyNumberFormat="1" applyFont="1" applyFill="1" applyBorder="1"/>
    <xf numFmtId="10" fontId="21" fillId="8" borderId="19" xfId="3" applyNumberFormat="1" applyFont="1" applyFill="1" applyBorder="1"/>
    <xf numFmtId="0" fontId="24" fillId="6" borderId="13" xfId="0" applyFont="1" applyFill="1" applyBorder="1"/>
    <xf numFmtId="0" fontId="24" fillId="6" borderId="0" xfId="0" applyFont="1" applyFill="1" applyBorder="1"/>
    <xf numFmtId="0" fontId="26" fillId="6" borderId="0" xfId="0" applyFont="1" applyFill="1" applyBorder="1"/>
    <xf numFmtId="0" fontId="24" fillId="6" borderId="15" xfId="0" applyFont="1" applyFill="1" applyBorder="1"/>
    <xf numFmtId="0" fontId="21" fillId="6" borderId="16" xfId="0" applyFont="1" applyFill="1" applyBorder="1"/>
    <xf numFmtId="0" fontId="22" fillId="6" borderId="16" xfId="0" applyFont="1" applyFill="1" applyBorder="1"/>
    <xf numFmtId="0" fontId="22" fillId="6" borderId="17" xfId="0" applyFont="1" applyFill="1" applyBorder="1"/>
    <xf numFmtId="0" fontId="24" fillId="8" borderId="13" xfId="0" applyFont="1" applyFill="1" applyBorder="1"/>
    <xf numFmtId="0" fontId="24" fillId="8" borderId="0" xfId="0" applyFont="1" applyFill="1" applyBorder="1"/>
    <xf numFmtId="0" fontId="26" fillId="8" borderId="0" xfId="0" applyFont="1" applyFill="1" applyBorder="1"/>
    <xf numFmtId="3" fontId="21" fillId="8" borderId="10" xfId="0" applyNumberFormat="1" applyFont="1" applyFill="1" applyBorder="1"/>
    <xf numFmtId="10" fontId="21" fillId="8" borderId="12" xfId="0" applyNumberFormat="1" applyFont="1" applyFill="1" applyBorder="1"/>
    <xf numFmtId="10" fontId="21" fillId="8" borderId="11" xfId="0" applyNumberFormat="1" applyFont="1" applyFill="1" applyBorder="1"/>
    <xf numFmtId="10" fontId="21" fillId="8" borderId="14" xfId="0" applyNumberFormat="1" applyFont="1" applyFill="1" applyBorder="1"/>
    <xf numFmtId="10" fontId="21" fillId="8" borderId="0" xfId="0" applyNumberFormat="1" applyFont="1" applyFill="1" applyBorder="1"/>
    <xf numFmtId="10" fontId="21" fillId="8" borderId="20" xfId="0" applyNumberFormat="1" applyFont="1" applyFill="1" applyBorder="1"/>
    <xf numFmtId="10" fontId="21" fillId="8" borderId="19" xfId="0" applyNumberFormat="1" applyFont="1" applyFill="1" applyBorder="1"/>
    <xf numFmtId="164" fontId="21" fillId="8" borderId="10" xfId="2" applyNumberFormat="1" applyFont="1" applyFill="1" applyBorder="1"/>
    <xf numFmtId="10" fontId="21" fillId="8" borderId="12" xfId="3" applyNumberFormat="1" applyFont="1" applyFill="1" applyBorder="1"/>
    <xf numFmtId="164" fontId="21" fillId="8" borderId="11" xfId="2" applyNumberFormat="1" applyFont="1" applyFill="1" applyBorder="1"/>
    <xf numFmtId="10" fontId="21" fillId="8" borderId="11" xfId="3" applyNumberFormat="1" applyFont="1" applyFill="1" applyBorder="1"/>
    <xf numFmtId="0" fontId="19" fillId="5" borderId="0" xfId="0" applyFont="1" applyFill="1" applyBorder="1"/>
    <xf numFmtId="0" fontId="19" fillId="5" borderId="2" xfId="1" applyFont="1" applyFill="1" applyBorder="1"/>
    <xf numFmtId="0" fontId="19" fillId="5" borderId="4" xfId="1" applyFont="1" applyFill="1" applyBorder="1"/>
    <xf numFmtId="0" fontId="19" fillId="5" borderId="4" xfId="1" applyFont="1" applyFill="1" applyBorder="1" applyAlignment="1">
      <alignment vertical="center"/>
    </xf>
    <xf numFmtId="0" fontId="19" fillId="5" borderId="4" xfId="0" applyFont="1" applyFill="1" applyBorder="1"/>
    <xf numFmtId="3" fontId="11" fillId="0" borderId="0" xfId="0" applyNumberFormat="1" applyFont="1" applyAlignment="1">
      <alignment horizontal="left"/>
    </xf>
    <xf numFmtId="10" fontId="21" fillId="8" borderId="13" xfId="3" applyNumberFormat="1" applyFont="1" applyFill="1" applyBorder="1"/>
    <xf numFmtId="164" fontId="21" fillId="8" borderId="13" xfId="2" applyNumberFormat="1" applyFont="1" applyFill="1" applyBorder="1"/>
    <xf numFmtId="10" fontId="21" fillId="8" borderId="10" xfId="3" applyNumberFormat="1" applyFont="1" applyFill="1" applyBorder="1"/>
    <xf numFmtId="164" fontId="21" fillId="8" borderId="15" xfId="2" applyNumberFormat="1" applyFont="1" applyFill="1" applyBorder="1"/>
    <xf numFmtId="10" fontId="21" fillId="8" borderId="16" xfId="3" applyNumberFormat="1" applyFont="1" applyFill="1" applyBorder="1"/>
    <xf numFmtId="10" fontId="21" fillId="8" borderId="17" xfId="3" applyNumberFormat="1" applyFont="1" applyFill="1" applyBorder="1"/>
    <xf numFmtId="10" fontId="21" fillId="6" borderId="13" xfId="3" applyNumberFormat="1" applyFont="1" applyFill="1" applyBorder="1"/>
    <xf numFmtId="164" fontId="21" fillId="6" borderId="13" xfId="2" applyNumberFormat="1" applyFont="1" applyFill="1" applyBorder="1"/>
    <xf numFmtId="0" fontId="10" fillId="0" borderId="0" xfId="0" applyFont="1" applyAlignment="1">
      <alignment horizontal="left"/>
    </xf>
    <xf numFmtId="10" fontId="21" fillId="8" borderId="10" xfId="3" applyNumberFormat="1" applyFont="1" applyFill="1" applyBorder="1" applyAlignment="1">
      <alignment horizontal="right"/>
    </xf>
    <xf numFmtId="10" fontId="21" fillId="8" borderId="12" xfId="3" applyNumberFormat="1" applyFont="1" applyFill="1" applyBorder="1" applyAlignment="1">
      <alignment horizontal="right"/>
    </xf>
    <xf numFmtId="10" fontId="21" fillId="8" borderId="11" xfId="3" applyNumberFormat="1" applyFont="1" applyFill="1" applyBorder="1" applyAlignment="1">
      <alignment horizontal="right"/>
    </xf>
    <xf numFmtId="10" fontId="21" fillId="6" borderId="13" xfId="3" applyNumberFormat="1" applyFont="1" applyFill="1" applyBorder="1" applyAlignment="1">
      <alignment horizontal="right"/>
    </xf>
    <xf numFmtId="10" fontId="21" fillId="6" borderId="14" xfId="3" applyNumberFormat="1" applyFont="1" applyFill="1" applyBorder="1" applyAlignment="1">
      <alignment horizontal="right"/>
    </xf>
    <xf numFmtId="10" fontId="21" fillId="6" borderId="0" xfId="3" applyNumberFormat="1" applyFont="1" applyFill="1" applyBorder="1" applyAlignment="1">
      <alignment horizontal="right"/>
    </xf>
    <xf numFmtId="10" fontId="21" fillId="8" borderId="13" xfId="3" applyNumberFormat="1" applyFont="1" applyFill="1" applyBorder="1" applyAlignment="1">
      <alignment horizontal="right"/>
    </xf>
    <xf numFmtId="10" fontId="21" fillId="8" borderId="14" xfId="3" applyNumberFormat="1" applyFont="1" applyFill="1" applyBorder="1" applyAlignment="1">
      <alignment horizontal="right"/>
    </xf>
    <xf numFmtId="10" fontId="21" fillId="8" borderId="0" xfId="3" applyNumberFormat="1" applyFont="1" applyFill="1" applyBorder="1" applyAlignment="1">
      <alignment horizontal="right"/>
    </xf>
    <xf numFmtId="10" fontId="21" fillId="8" borderId="17" xfId="3" applyNumberFormat="1" applyFont="1" applyFill="1" applyBorder="1" applyAlignment="1">
      <alignment horizontal="right"/>
    </xf>
    <xf numFmtId="10" fontId="21" fillId="8" borderId="16" xfId="3" applyNumberFormat="1" applyFont="1" applyFill="1" applyBorder="1" applyAlignment="1">
      <alignment horizontal="right"/>
    </xf>
    <xf numFmtId="0" fontId="8" fillId="0" borderId="0" xfId="0" applyNumberFormat="1" applyFont="1" applyAlignment="1">
      <alignment horizontal="left" vertical="top"/>
    </xf>
    <xf numFmtId="0" fontId="0" fillId="0" borderId="0" xfId="0" applyNumberFormat="1" applyAlignment="1">
      <alignment horizontal="left" vertical="top"/>
    </xf>
    <xf numFmtId="0" fontId="3" fillId="0" borderId="0" xfId="0" applyNumberFormat="1" applyFont="1" applyAlignment="1">
      <alignment horizontal="left" vertical="top"/>
    </xf>
    <xf numFmtId="10" fontId="21" fillId="8" borderId="15" xfId="3" applyNumberFormat="1" applyFont="1" applyFill="1" applyBorder="1" applyAlignment="1">
      <alignment horizontal="right"/>
    </xf>
    <xf numFmtId="0" fontId="16" fillId="4" borderId="21" xfId="0" applyFont="1" applyFill="1" applyBorder="1" applyAlignment="1">
      <alignment horizontal="center" vertical="center" wrapText="1"/>
    </xf>
    <xf numFmtId="0" fontId="0" fillId="2" borderId="22" xfId="0" applyFill="1" applyBorder="1" applyAlignment="1"/>
    <xf numFmtId="0" fontId="14" fillId="5" borderId="23" xfId="1" applyFont="1" applyFill="1" applyBorder="1" applyAlignment="1">
      <alignment horizontal="left" vertical="center"/>
    </xf>
    <xf numFmtId="14" fontId="14" fillId="5" borderId="23" xfId="1" applyNumberFormat="1" applyFont="1" applyFill="1" applyBorder="1" applyAlignment="1">
      <alignment horizontal="left"/>
    </xf>
    <xf numFmtId="0" fontId="14" fillId="5" borderId="23" xfId="1" applyFont="1" applyFill="1" applyBorder="1" applyAlignment="1">
      <alignment horizontal="left"/>
    </xf>
    <xf numFmtId="164" fontId="5" fillId="2" borderId="23" xfId="2" applyNumberFormat="1" applyFont="1" applyFill="1" applyBorder="1"/>
    <xf numFmtId="0" fontId="4" fillId="2" borderId="23" xfId="0" applyFont="1" applyFill="1" applyBorder="1" applyAlignment="1">
      <alignment horizontal="right"/>
    </xf>
    <xf numFmtId="0" fontId="5" fillId="5" borderId="23" xfId="0" applyFont="1" applyFill="1" applyBorder="1"/>
    <xf numFmtId="0" fontId="14" fillId="4" borderId="23" xfId="0" applyFont="1" applyFill="1" applyBorder="1"/>
    <xf numFmtId="0" fontId="14" fillId="4" borderId="23" xfId="0" applyFont="1" applyFill="1" applyBorder="1" applyAlignment="1">
      <alignment horizontal="left"/>
    </xf>
    <xf numFmtId="0" fontId="14" fillId="4" borderId="24" xfId="0" applyFont="1" applyFill="1" applyBorder="1" applyAlignment="1">
      <alignment horizontal="left"/>
    </xf>
    <xf numFmtId="0" fontId="2" fillId="0" borderId="0" xfId="0" applyFont="1" applyAlignment="1">
      <alignment horizontal="left"/>
    </xf>
    <xf numFmtId="0" fontId="2" fillId="0" borderId="0" xfId="0" applyFont="1"/>
    <xf numFmtId="0" fontId="2" fillId="0" borderId="0" xfId="0" applyFont="1" applyAlignment="1">
      <alignment horizontal="right"/>
    </xf>
    <xf numFmtId="0" fontId="28" fillId="0" borderId="0" xfId="0" applyFont="1"/>
    <xf numFmtId="0" fontId="29" fillId="3" borderId="0" xfId="0" applyFont="1" applyFill="1" applyAlignment="1">
      <alignment horizontal="center"/>
    </xf>
    <xf numFmtId="0" fontId="30" fillId="8" borderId="0" xfId="0" applyFont="1" applyFill="1" applyAlignment="1">
      <alignment horizontal="center"/>
    </xf>
    <xf numFmtId="0" fontId="31" fillId="3" borderId="0" xfId="0" applyFont="1" applyFill="1" applyAlignment="1">
      <alignment horizontal="right"/>
    </xf>
    <xf numFmtId="0" fontId="31" fillId="3" borderId="0" xfId="0" applyFont="1" applyFill="1"/>
    <xf numFmtId="0" fontId="32" fillId="3" borderId="0" xfId="0" applyFont="1" applyFill="1"/>
    <xf numFmtId="49" fontId="31" fillId="3" borderId="0" xfId="0" applyNumberFormat="1" applyFont="1" applyFill="1" applyAlignment="1">
      <alignment horizontal="right"/>
    </xf>
    <xf numFmtId="10" fontId="32" fillId="3" borderId="0" xfId="3" applyNumberFormat="1" applyFont="1" applyFill="1"/>
    <xf numFmtId="22" fontId="32" fillId="3" borderId="0" xfId="0" applyNumberFormat="1" applyFont="1" applyFill="1"/>
    <xf numFmtId="167" fontId="32" fillId="3" borderId="0" xfId="0" applyNumberFormat="1" applyFont="1" applyFill="1"/>
    <xf numFmtId="0" fontId="19" fillId="5" borderId="28" xfId="0" applyFont="1" applyFill="1" applyBorder="1"/>
    <xf numFmtId="0" fontId="1" fillId="0" borderId="0" xfId="0" applyFont="1"/>
    <xf numFmtId="0" fontId="17" fillId="3" borderId="2" xfId="0" applyFont="1" applyFill="1" applyBorder="1" applyAlignment="1">
      <alignment horizontal="center" vertical="center"/>
    </xf>
    <xf numFmtId="0" fontId="17" fillId="3" borderId="3"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8" xfId="0" applyFont="1" applyFill="1" applyBorder="1" applyAlignment="1">
      <alignment horizontal="center" vertical="center"/>
    </xf>
    <xf numFmtId="0" fontId="18" fillId="2" borderId="3" xfId="0" applyFont="1" applyFill="1" applyBorder="1" applyAlignment="1">
      <alignment horizontal="center" vertical="center"/>
    </xf>
    <xf numFmtId="0" fontId="18" fillId="2" borderId="4" xfId="0" applyFont="1" applyFill="1" applyBorder="1" applyAlignment="1">
      <alignment horizontal="center" vertical="center"/>
    </xf>
    <xf numFmtId="0" fontId="18" fillId="2" borderId="0" xfId="0" applyFont="1" applyFill="1" applyBorder="1" applyAlignment="1">
      <alignment horizontal="center"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9" xfId="0" applyFont="1" applyFill="1" applyBorder="1" applyAlignment="1">
      <alignment horizontal="center" vertical="center"/>
    </xf>
    <xf numFmtId="0" fontId="18" fillId="2" borderId="7" xfId="0" applyFont="1" applyFill="1" applyBorder="1" applyAlignment="1">
      <alignment horizontal="center" vertical="center"/>
    </xf>
    <xf numFmtId="0" fontId="20" fillId="5" borderId="4" xfId="0" applyFont="1" applyFill="1" applyBorder="1" applyAlignment="1">
      <alignment horizontal="center" vertical="center"/>
    </xf>
    <xf numFmtId="0" fontId="20" fillId="5" borderId="5" xfId="0" applyFont="1" applyFill="1" applyBorder="1" applyAlignment="1">
      <alignment horizontal="center" vertical="center"/>
    </xf>
    <xf numFmtId="0" fontId="29" fillId="3" borderId="25" xfId="0" applyFont="1" applyFill="1" applyBorder="1" applyAlignment="1">
      <alignment horizontal="center"/>
    </xf>
    <xf numFmtId="0" fontId="29" fillId="3" borderId="26" xfId="0" applyFont="1" applyFill="1" applyBorder="1" applyAlignment="1">
      <alignment horizontal="center"/>
    </xf>
    <xf numFmtId="0" fontId="29" fillId="3" borderId="27" xfId="0" applyFont="1" applyFill="1" applyBorder="1" applyAlignment="1">
      <alignment horizontal="center"/>
    </xf>
    <xf numFmtId="0" fontId="21" fillId="8" borderId="13" xfId="0" applyFont="1" applyFill="1" applyBorder="1"/>
    <xf numFmtId="0" fontId="21" fillId="8" borderId="0" xfId="0" applyFont="1" applyFill="1" applyBorder="1"/>
    <xf numFmtId="0" fontId="21" fillId="8" borderId="14" xfId="0" applyFont="1" applyFill="1" applyBorder="1"/>
    <xf numFmtId="0" fontId="21" fillId="6" borderId="13" xfId="0" applyFont="1" applyFill="1" applyBorder="1"/>
    <xf numFmtId="0" fontId="21" fillId="6" borderId="0" xfId="0" applyFont="1" applyFill="1" applyBorder="1"/>
    <xf numFmtId="0" fontId="21" fillId="6" borderId="14" xfId="0" applyFont="1" applyFill="1" applyBorder="1"/>
    <xf numFmtId="0" fontId="25" fillId="7" borderId="18" xfId="0" applyFont="1" applyFill="1" applyBorder="1"/>
    <xf numFmtId="0" fontId="25" fillId="7" borderId="19" xfId="0" applyFont="1" applyFill="1" applyBorder="1"/>
    <xf numFmtId="0" fontId="21" fillId="8" borderId="10" xfId="0" applyFont="1" applyFill="1" applyBorder="1"/>
    <xf numFmtId="0" fontId="21" fillId="8" borderId="11" xfId="0" applyFont="1" applyFill="1" applyBorder="1"/>
    <xf numFmtId="0" fontId="21" fillId="8" borderId="12" xfId="0" applyFont="1" applyFill="1" applyBorder="1"/>
    <xf numFmtId="0" fontId="25" fillId="7" borderId="18" xfId="0" applyFont="1" applyFill="1" applyBorder="1" applyAlignment="1">
      <alignment horizontal="left"/>
    </xf>
    <xf numFmtId="0" fontId="25" fillId="7" borderId="19" xfId="0" applyFont="1" applyFill="1" applyBorder="1" applyAlignment="1">
      <alignment horizontal="left"/>
    </xf>
    <xf numFmtId="0" fontId="21" fillId="6" borderId="16" xfId="0" applyFont="1" applyFill="1" applyBorder="1"/>
    <xf numFmtId="0" fontId="21" fillId="8" borderId="18" xfId="0" applyFont="1" applyFill="1" applyBorder="1"/>
    <xf numFmtId="0" fontId="21" fillId="8" borderId="19" xfId="0" applyFont="1" applyFill="1" applyBorder="1"/>
    <xf numFmtId="0" fontId="21" fillId="8" borderId="20" xfId="0" applyFont="1" applyFill="1" applyBorder="1"/>
    <xf numFmtId="0" fontId="24" fillId="8" borderId="11" xfId="0" applyFont="1" applyFill="1" applyBorder="1"/>
    <xf numFmtId="0" fontId="24" fillId="6" borderId="0" xfId="0" applyFont="1" applyFill="1" applyBorder="1"/>
    <xf numFmtId="0" fontId="24" fillId="8" borderId="0" xfId="0" applyFont="1" applyFill="1" applyBorder="1"/>
    <xf numFmtId="0" fontId="24" fillId="6" borderId="16" xfId="0" applyFont="1" applyFill="1" applyBorder="1"/>
    <xf numFmtId="0" fontId="21" fillId="8" borderId="15" xfId="0" applyFont="1" applyFill="1" applyBorder="1"/>
    <xf numFmtId="0" fontId="21" fillId="8" borderId="16" xfId="0" applyFont="1" applyFill="1" applyBorder="1"/>
    <xf numFmtId="0" fontId="21" fillId="8" borderId="17" xfId="0" applyFont="1" applyFill="1" applyBorder="1"/>
    <xf numFmtId="0" fontId="6" fillId="0" borderId="0" xfId="0" applyFont="1" applyAlignment="1">
      <alignment horizontal="center"/>
    </xf>
    <xf numFmtId="0" fontId="11" fillId="0" borderId="0" xfId="0" applyFont="1" applyAlignment="1">
      <alignment horizontal="center"/>
    </xf>
  </cellXfs>
  <cellStyles count="4">
    <cellStyle name="Comma" xfId="2" builtinId="3"/>
    <cellStyle name="Normal" xfId="0" builtinId="0"/>
    <cellStyle name="Normal 2" xfId="1"/>
    <cellStyle name="Percent" xfId="3" builtinId="5"/>
  </cellStyles>
  <dxfs count="0"/>
  <tableStyles count="0" defaultTableStyle="TableStyleMedium2" defaultPivotStyle="PivotStyleLight16"/>
  <colors>
    <mruColors>
      <color rgb="FFF98F9C"/>
      <color rgb="FFDB8FF9"/>
      <color rgb="FF8FC1F9"/>
      <color rgb="FF32E760"/>
      <color rgb="FFB70909"/>
      <color rgb="FFEA7C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800"/>
              <a:t>Allocation Breakdown (Log Scale)</a:t>
            </a:r>
          </a:p>
        </c:rich>
      </c:tx>
      <c:layout>
        <c:manualLayout>
          <c:xMode val="edge"/>
          <c:yMode val="edge"/>
          <c:x val="0.33387095961391694"/>
          <c:y val="5.1773368147489769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247282995058872E-2"/>
          <c:y val="7.7469998200005927E-2"/>
          <c:w val="0.92421815113225947"/>
          <c:h val="0.69122734532772423"/>
        </c:manualLayout>
      </c:layout>
      <c:areaChart>
        <c:grouping val="percentStacked"/>
        <c:varyColors val="0"/>
        <c:ser>
          <c:idx val="2"/>
          <c:order val="0"/>
          <c:tx>
            <c:strRef>
              <c:f>Tear_Sheet!$B$27</c:f>
              <c:strCache>
                <c:ptCount val="1"/>
                <c:pt idx="0">
                  <c:v>Net Stock</c:v>
                </c:pt>
              </c:strCache>
            </c:strRef>
          </c:tx>
          <c:spPr>
            <a:solidFill>
              <a:schemeClr val="accent3"/>
            </a:solidFill>
            <a:ln>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(Tear_Sheet!$E$27,Tear_Sheet!$G$27,Tear_Sheet!$I$27,Tear_Sheet!$K$27,Tear_Sheet!$M$27)</c:f>
              <c:numCache>
                <c:formatCode>#,##0</c:formatCode>
                <c:ptCount val="5"/>
                <c:pt idx="0">
                  <c:v>692258.06599999999</c:v>
                </c:pt>
                <c:pt idx="1">
                  <c:v>730028.99800000002</c:v>
                </c:pt>
                <c:pt idx="2">
                  <c:v>1075693.3530000001</c:v>
                </c:pt>
                <c:pt idx="3">
                  <c:v>1868828.611</c:v>
                </c:pt>
                <c:pt idx="4">
                  <c:v>2046233.037</c:v>
                </c:pt>
              </c:numCache>
            </c:numRef>
          </c:val>
          <c:extLst>
            <c:ext xmlns:c16="http://schemas.microsoft.com/office/drawing/2014/chart" uri="{C3380CC4-5D6E-409C-BE32-E72D297353CC}">
              <c16:uniqueId val="{00000002-2298-4E0A-83BA-EB52A0B908A9}"/>
            </c:ext>
          </c:extLst>
        </c:ser>
        <c:ser>
          <c:idx val="4"/>
          <c:order val="1"/>
          <c:tx>
            <c:strRef>
              <c:f>Tear_Sheet!$B$36</c:f>
              <c:strCache>
                <c:ptCount val="1"/>
                <c:pt idx="0">
                  <c:v>Net Cash, Cash Equiv &amp; ST</c:v>
                </c:pt>
              </c:strCache>
            </c:strRef>
          </c:tx>
          <c:spPr>
            <a:solidFill>
              <a:schemeClr val="accent5"/>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(Tear_Sheet!$E$36,Tear_Sheet!$G$36,Tear_Sheet!$I$36,Tear_Sheet!$K$36,Tear_Sheet!$M$36)</c:f>
              <c:numCache>
                <c:formatCode>#,##0</c:formatCode>
                <c:ptCount val="5"/>
                <c:pt idx="0">
                  <c:v>230170.772</c:v>
                </c:pt>
                <c:pt idx="1">
                  <c:v>1123572.7920000001</c:v>
                </c:pt>
                <c:pt idx="2">
                  <c:v>548977.11100000003</c:v>
                </c:pt>
                <c:pt idx="3">
                  <c:v>1024731.39</c:v>
                </c:pt>
                <c:pt idx="4">
                  <c:v>690491.45200000005</c:v>
                </c:pt>
              </c:numCache>
            </c:numRef>
          </c:val>
          <c:extLst>
            <c:ext xmlns:c16="http://schemas.microsoft.com/office/drawing/2014/chart" uri="{C3380CC4-5D6E-409C-BE32-E72D297353CC}">
              <c16:uniqueId val="{00000004-2298-4E0A-83BA-EB52A0B908A9}"/>
            </c:ext>
          </c:extLst>
        </c:ser>
        <c:ser>
          <c:idx val="0"/>
          <c:order val="2"/>
          <c:tx>
            <c:strRef>
              <c:f>Tear_Sheet!$B$11</c:f>
              <c:strCache>
                <c:ptCount val="1"/>
                <c:pt idx="0">
                  <c:v>Net Derivatives</c:v>
                </c:pt>
              </c:strCache>
            </c:strRef>
          </c:tx>
          <c:spPr>
            <a:solidFill>
              <a:schemeClr val="accent1"/>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(Tear_Sheet!$E$11,Tear_Sheet!$G$11,Tear_Sheet!$I$11,Tear_Sheet!$K$11,Tear_Sheet!$M$11)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298-4E0A-83BA-EB52A0B908A9}"/>
            </c:ext>
          </c:extLst>
        </c:ser>
        <c:ser>
          <c:idx val="5"/>
          <c:order val="3"/>
          <c:tx>
            <c:strRef>
              <c:f>Tear_Sheet!$B$37</c:f>
              <c:strCache>
                <c:ptCount val="1"/>
                <c:pt idx="0">
                  <c:v>Net Other Investments</c:v>
                </c:pt>
              </c:strCache>
            </c:strRef>
          </c:tx>
          <c:spPr>
            <a:solidFill>
              <a:schemeClr val="accent6"/>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(Tear_Sheet!$E$37,Tear_Sheet!$G$37,Tear_Sheet!$I$37,Tear_Sheet!$K$37,Tear_Sheet!$M$37)</c:f>
              <c:numCache>
                <c:formatCode>#,##0</c:formatCode>
                <c:ptCount val="5"/>
                <c:pt idx="0">
                  <c:v>2690389.057</c:v>
                </c:pt>
                <c:pt idx="1">
                  <c:v>2904222.7409999999</c:v>
                </c:pt>
                <c:pt idx="2">
                  <c:v>3227670.7549999999</c:v>
                </c:pt>
                <c:pt idx="3">
                  <c:v>3112709.227</c:v>
                </c:pt>
                <c:pt idx="4">
                  <c:v>2792641.8790000002</c:v>
                </c:pt>
              </c:numCache>
            </c:numRef>
          </c:val>
          <c:extLst>
            <c:ext xmlns:c16="http://schemas.microsoft.com/office/drawing/2014/chart" uri="{C3380CC4-5D6E-409C-BE32-E72D297353CC}">
              <c16:uniqueId val="{00000005-2298-4E0A-83BA-EB52A0B908A9}"/>
            </c:ext>
          </c:extLst>
        </c:ser>
        <c:ser>
          <c:idx val="3"/>
          <c:order val="4"/>
          <c:tx>
            <c:strRef>
              <c:f>Tear_Sheet!$B$30</c:f>
              <c:strCache>
                <c:ptCount val="1"/>
                <c:pt idx="0">
                  <c:v>Net Real Estate</c:v>
                </c:pt>
              </c:strCache>
            </c:strRef>
          </c:tx>
          <c:spPr>
            <a:solidFill>
              <a:schemeClr val="accent4"/>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(Tear_Sheet!$E$30,Tear_Sheet!$G$30,Tear_Sheet!$I$30,Tear_Sheet!$K$30,Tear_Sheet!$M$30)</c:f>
              <c:numCache>
                <c:formatCode>#,##0</c:formatCode>
                <c:ptCount val="5"/>
                <c:pt idx="0">
                  <c:v>1816.9110000000001</c:v>
                </c:pt>
                <c:pt idx="1">
                  <c:v>0</c:v>
                </c:pt>
                <c:pt idx="2">
                  <c:v>0</c:v>
                </c:pt>
                <c:pt idx="3">
                  <c:v>0</c:v>
                </c:pt>
                <c:pt idx="4">
                  <c:v>743791.69099999999</c:v>
                </c:pt>
              </c:numCache>
            </c:numRef>
          </c:val>
          <c:extLst>
            <c:ext xmlns:c16="http://schemas.microsoft.com/office/drawing/2014/chart" uri="{C3380CC4-5D6E-409C-BE32-E72D297353CC}">
              <c16:uniqueId val="{00000003-2298-4E0A-83BA-EB52A0B908A9}"/>
            </c:ext>
          </c:extLst>
        </c:ser>
        <c:ser>
          <c:idx val="1"/>
          <c:order val="5"/>
          <c:tx>
            <c:strRef>
              <c:f>Tear_Sheet!$B$12</c:f>
              <c:strCache>
                <c:ptCount val="1"/>
                <c:pt idx="0">
                  <c:v>Net Bonds</c:v>
                </c:pt>
              </c:strCache>
            </c:strRef>
          </c:tx>
          <c:spPr>
            <a:solidFill>
              <a:schemeClr val="accent2"/>
            </a:solidFill>
            <a:ln w="25400">
              <a:noFill/>
            </a:ln>
            <a:effectLst/>
          </c:spPr>
          <c:cat>
            <c:strRef>
              <c:f>(Tear_Sheet!$E$10,Tear_Sheet!$G$10,Tear_Sheet!$I$10,Tear_Sheet!$K$10,Tear_Sheet!$M$10)</c:f>
              <c:strCache>
                <c:ptCount val="5"/>
                <c:pt idx="0">
                  <c:v>2011Y</c:v>
                </c:pt>
                <c:pt idx="1">
                  <c:v>2012Y</c:v>
                </c:pt>
                <c:pt idx="2">
                  <c:v>2013Y</c:v>
                </c:pt>
                <c:pt idx="3">
                  <c:v>2014Y</c:v>
                </c:pt>
                <c:pt idx="4">
                  <c:v>2015Y</c:v>
                </c:pt>
              </c:strCache>
            </c:strRef>
          </c:cat>
          <c:val>
            <c:numRef>
              <c:f>(Tear_Sheet!$E$12,Tear_Sheet!$G$12,Tear_Sheet!$I$12,Tear_Sheet!$K$12,Tear_Sheet!$M$12)</c:f>
              <c:numCache>
                <c:formatCode>#,##0</c:formatCode>
                <c:ptCount val="5"/>
                <c:pt idx="0">
                  <c:v>21866739.732999999</c:v>
                </c:pt>
                <c:pt idx="1">
                  <c:v>21776039.675000001</c:v>
                </c:pt>
                <c:pt idx="2">
                  <c:v>21800114.096999999</c:v>
                </c:pt>
                <c:pt idx="3">
                  <c:v>20724556.522</c:v>
                </c:pt>
                <c:pt idx="4">
                  <c:v>19408047.517999999</c:v>
                </c:pt>
              </c:numCache>
            </c:numRef>
          </c:val>
          <c:extLst>
            <c:ext xmlns:c16="http://schemas.microsoft.com/office/drawing/2014/chart" uri="{C3380CC4-5D6E-409C-BE32-E72D297353CC}">
              <c16:uniqueId val="{00000001-2298-4E0A-83BA-EB52A0B908A9}"/>
            </c:ext>
          </c:extLst>
        </c:ser>
        <c:dLbls>
          <c:showLegendKey val="0"/>
          <c:showVal val="0"/>
          <c:showCatName val="0"/>
          <c:showSerName val="0"/>
          <c:showPercent val="0"/>
          <c:showBubbleSize val="0"/>
        </c:dLbls>
        <c:axId val="1015521072"/>
        <c:axId val="1015517792"/>
      </c:areaChart>
      <c:catAx>
        <c:axId val="1015521072"/>
        <c:scaling>
          <c:orientation val="minMax"/>
        </c:scaling>
        <c:delete val="0"/>
        <c:axPos val="t"/>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17792"/>
        <c:crosses val="max"/>
        <c:auto val="1"/>
        <c:lblAlgn val="ctr"/>
        <c:lblOffset val="0"/>
        <c:noMultiLvlLbl val="0"/>
      </c:catAx>
      <c:valAx>
        <c:axId val="1015517792"/>
        <c:scaling>
          <c:logBase val="4"/>
          <c:orientation val="minMax"/>
        </c:scaling>
        <c:delete val="0"/>
        <c:axPos val="l"/>
        <c:majorGridlines>
          <c:spPr>
            <a:ln w="9525" cap="flat" cmpd="sng" algn="ctr">
              <a:noFill/>
              <a:round/>
            </a:ln>
            <a:effectLst/>
          </c:spPr>
        </c:majorGridlines>
        <c:numFmt formatCode="0.00%" sourceLinked="0"/>
        <c:majorTickMark val="none"/>
        <c:minorTickMark val="none"/>
        <c:tickLblPos val="low"/>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21072"/>
        <c:crossesAt val="1"/>
        <c:crossBetween val="midCat"/>
      </c:valAx>
      <c:spPr>
        <a:solidFill>
          <a:schemeClr val="bg2">
            <a:lumMod val="75000"/>
          </a:schemeClr>
        </a:solidFill>
        <a:ln>
          <a:noFill/>
        </a:ln>
        <a:effectLst/>
      </c:spPr>
    </c:plotArea>
    <c:legend>
      <c:legendPos val="b"/>
      <c:layout>
        <c:manualLayout>
          <c:xMode val="edge"/>
          <c:yMode val="edge"/>
          <c:x val="0.10485667123502741"/>
          <c:y val="0.84958453959323421"/>
          <c:w val="0.80693677997240343"/>
          <c:h val="0.125783649523266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r>
              <a:rPr lang="en-US" sz="800"/>
              <a:t>High Yield &amp; Investment Grade YoY % Chg</a:t>
            </a:r>
          </a:p>
        </c:rich>
      </c:tx>
      <c:layout>
        <c:manualLayout>
          <c:xMode val="edge"/>
          <c:yMode val="edge"/>
          <c:x val="0.23020720871217509"/>
          <c:y val="1.3079687850959589E-2"/>
        </c:manualLayout>
      </c:layout>
      <c:overlay val="0"/>
      <c:spPr>
        <a:noFill/>
        <a:ln>
          <a:noFill/>
        </a:ln>
        <a:effectLst/>
      </c:spPr>
      <c:txPr>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591523470629176"/>
          <c:y val="8.5558603196513802E-2"/>
          <c:w val="0.66017915484687062"/>
          <c:h val="0.67803558784864126"/>
        </c:manualLayout>
      </c:layout>
      <c:lineChart>
        <c:grouping val="standard"/>
        <c:varyColors val="0"/>
        <c:ser>
          <c:idx val="2"/>
          <c:order val="1"/>
          <c:tx>
            <c:v>HY Bonds</c:v>
          </c:tx>
          <c:spPr>
            <a:ln w="28575" cap="rnd">
              <a:solidFill>
                <a:schemeClr val="accent3"/>
              </a:solidFill>
              <a:round/>
            </a:ln>
            <a:effectLst/>
          </c:spPr>
          <c:marker>
            <c:symbol val="diamond"/>
            <c:size val="6"/>
            <c:spPr>
              <a:solidFill>
                <a:schemeClr val="bg2">
                  <a:lumMod val="75000"/>
                </a:schemeClr>
              </a:solidFill>
              <a:ln w="9525">
                <a:solidFill>
                  <a:schemeClr val="accent3"/>
                </a:solidFill>
              </a:ln>
              <a:effectLst/>
            </c:spPr>
          </c:marker>
          <c:cat>
            <c:strRef>
              <c:f>(Tear_Sheet!$E$10,Tear_Sheet!$G$10,Tear_Sheet!$I$10,Tear_Sheet!$K$10,Tear_Sheet!$M$10)</c:f>
              <c:strCache>
                <c:ptCount val="5"/>
                <c:pt idx="0">
                  <c:v>2011Y</c:v>
                </c:pt>
                <c:pt idx="1">
                  <c:v>2012Y</c:v>
                </c:pt>
                <c:pt idx="2">
                  <c:v>2013Y</c:v>
                </c:pt>
                <c:pt idx="3">
                  <c:v>2014Y</c:v>
                </c:pt>
                <c:pt idx="4">
                  <c:v>2015Y</c:v>
                </c:pt>
              </c:strCache>
            </c:strRef>
          </c:cat>
          <c:val>
            <c:numRef>
              <c:f>(Tear_Sheet!$F$26,Tear_Sheet!$H$26,Tear_Sheet!$J$26,Tear_Sheet!$L$26,Tear_Sheet!$N$26)</c:f>
              <c:numCache>
                <c:formatCode>0.00%</c:formatCode>
                <c:ptCount val="5"/>
                <c:pt idx="0">
                  <c:v>-0.86698808538550121</c:v>
                </c:pt>
                <c:pt idx="1">
                  <c:v>2.6542547330274493</c:v>
                </c:pt>
                <c:pt idx="2">
                  <c:v>-0.58633403326204214</c:v>
                </c:pt>
                <c:pt idx="3">
                  <c:v>0.97828707823384198</c:v>
                </c:pt>
                <c:pt idx="4">
                  <c:v>6.5927971929237401</c:v>
                </c:pt>
              </c:numCache>
            </c:numRef>
          </c:val>
          <c:smooth val="0"/>
          <c:extLst>
            <c:ext xmlns:c16="http://schemas.microsoft.com/office/drawing/2014/chart" uri="{C3380CC4-5D6E-409C-BE32-E72D297353CC}">
              <c16:uniqueId val="{00000003-4D68-4FB8-B833-55F2CDE02D31}"/>
            </c:ext>
          </c:extLst>
        </c:ser>
        <c:dLbls>
          <c:showLegendKey val="0"/>
          <c:showVal val="0"/>
          <c:showCatName val="0"/>
          <c:showSerName val="0"/>
          <c:showPercent val="0"/>
          <c:showBubbleSize val="0"/>
        </c:dLbls>
        <c:marker val="1"/>
        <c:smooth val="0"/>
        <c:axId val="544585808"/>
        <c:axId val="544586136"/>
      </c:lineChart>
      <c:lineChart>
        <c:grouping val="standard"/>
        <c:varyColors val="0"/>
        <c:ser>
          <c:idx val="1"/>
          <c:order val="0"/>
          <c:tx>
            <c:v>IG Bonds</c:v>
          </c:tx>
          <c:spPr>
            <a:ln w="28575" cap="rnd">
              <a:solidFill>
                <a:schemeClr val="accent2"/>
              </a:solidFill>
              <a:round/>
            </a:ln>
            <a:effectLst/>
          </c:spPr>
          <c:marker>
            <c:symbol val="square"/>
            <c:size val="5"/>
            <c:spPr>
              <a:solidFill>
                <a:schemeClr val="accent2"/>
              </a:solidFill>
              <a:ln w="9525">
                <a:solidFill>
                  <a:schemeClr val="accent2"/>
                </a:solidFill>
              </a:ln>
              <a:effectLst/>
            </c:spPr>
          </c:marker>
          <c:cat>
            <c:strRef>
              <c:f>(Tear_Sheet!$E$10,Tear_Sheet!$G$10,Tear_Sheet!$I$10,Tear_Sheet!$K$10,Tear_Sheet!$M$10)</c:f>
              <c:strCache>
                <c:ptCount val="5"/>
                <c:pt idx="0">
                  <c:v>2011Y</c:v>
                </c:pt>
                <c:pt idx="1">
                  <c:v>2012Y</c:v>
                </c:pt>
                <c:pt idx="2">
                  <c:v>2013Y</c:v>
                </c:pt>
                <c:pt idx="3">
                  <c:v>2014Y</c:v>
                </c:pt>
                <c:pt idx="4">
                  <c:v>2015Y</c:v>
                </c:pt>
              </c:strCache>
            </c:strRef>
          </c:cat>
          <c:val>
            <c:numRef>
              <c:f>(Tear_Sheet!$F$25,Tear_Sheet!$H$25,Tear_Sheet!$J$25,Tear_Sheet!$L$25,Tear_Sheet!$N$25)</c:f>
              <c:numCache>
                <c:formatCode>0.00%</c:formatCode>
                <c:ptCount val="5"/>
                <c:pt idx="0">
                  <c:v>1.6041364046350814E-3</c:v>
                </c:pt>
                <c:pt idx="1">
                  <c:v>-9.7202848767703465E-3</c:v>
                </c:pt>
                <c:pt idx="2">
                  <c:v>1.7503769242231071E-2</c:v>
                </c:pt>
                <c:pt idx="3">
                  <c:v>-3.2684820014123317E-2</c:v>
                </c:pt>
                <c:pt idx="4">
                  <c:v>-0.10500268448484129</c:v>
                </c:pt>
              </c:numCache>
            </c:numRef>
          </c:val>
          <c:smooth val="0"/>
          <c:extLst>
            <c:ext xmlns:c16="http://schemas.microsoft.com/office/drawing/2014/chart" uri="{C3380CC4-5D6E-409C-BE32-E72D297353CC}">
              <c16:uniqueId val="{00000002-4D68-4FB8-B833-55F2CDE02D31}"/>
            </c:ext>
          </c:extLst>
        </c:ser>
        <c:dLbls>
          <c:showLegendKey val="0"/>
          <c:showVal val="0"/>
          <c:showCatName val="0"/>
          <c:showSerName val="0"/>
          <c:showPercent val="0"/>
          <c:showBubbleSize val="0"/>
        </c:dLbls>
        <c:marker val="1"/>
        <c:smooth val="0"/>
        <c:axId val="671427752"/>
        <c:axId val="671429064"/>
      </c:lineChart>
      <c:catAx>
        <c:axId val="544585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6136"/>
        <c:crosses val="autoZero"/>
        <c:auto val="1"/>
        <c:lblAlgn val="ctr"/>
        <c:lblOffset val="0"/>
        <c:noMultiLvlLbl val="0"/>
      </c:catAx>
      <c:valAx>
        <c:axId val="544586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High</a:t>
                </a:r>
                <a:r>
                  <a:rPr lang="en-US" baseline="0"/>
                  <a:t> Yield</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5808"/>
        <c:crosses val="autoZero"/>
        <c:crossBetween val="between"/>
      </c:valAx>
      <c:valAx>
        <c:axId val="671429064"/>
        <c:scaling>
          <c:orientation val="minMax"/>
        </c:scaling>
        <c:delete val="0"/>
        <c:axPos val="r"/>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Investment</a:t>
                </a:r>
                <a:r>
                  <a:rPr lang="en-US" baseline="0"/>
                  <a:t> Grade</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71427752"/>
        <c:crosses val="max"/>
        <c:crossBetween val="between"/>
      </c:valAx>
      <c:catAx>
        <c:axId val="671427752"/>
        <c:scaling>
          <c:orientation val="minMax"/>
        </c:scaling>
        <c:delete val="1"/>
        <c:axPos val="b"/>
        <c:numFmt formatCode="General" sourceLinked="1"/>
        <c:majorTickMark val="out"/>
        <c:minorTickMark val="none"/>
        <c:tickLblPos val="nextTo"/>
        <c:crossAx val="671429064"/>
        <c:crosses val="autoZero"/>
        <c:auto val="1"/>
        <c:lblAlgn val="ctr"/>
        <c:lblOffset val="100"/>
        <c:noMultiLvlLbl val="0"/>
      </c:catAx>
      <c:spPr>
        <a:noFill/>
        <a:ln>
          <a:noFill/>
        </a:ln>
        <a:effectLst/>
      </c:spPr>
    </c:plotArea>
    <c:legend>
      <c:legendPos val="b"/>
      <c:layout>
        <c:manualLayout>
          <c:xMode val="edge"/>
          <c:yMode val="edge"/>
          <c:x val="0.20870495188101484"/>
          <c:y val="0.8738512756225868"/>
          <c:w val="0.65133755922672221"/>
          <c:h val="6.4657638622125244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700"/>
              <a:t>Schedule</a:t>
            </a:r>
            <a:r>
              <a:rPr lang="en-US" sz="700" baseline="0"/>
              <a:t> BA Assets &amp; YoY % Chg</a:t>
            </a:r>
          </a:p>
        </c:rich>
      </c:tx>
      <c:layout>
        <c:manualLayout>
          <c:xMode val="edge"/>
          <c:yMode val="edge"/>
          <c:x val="0.41184847227396848"/>
          <c:y val="3.51945816971547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537658062730444E-2"/>
          <c:y val="0.14957697221290783"/>
          <c:w val="0.85851888868967463"/>
          <c:h val="0.64375739571180346"/>
        </c:manualLayout>
      </c:layout>
      <c:lineChart>
        <c:grouping val="standard"/>
        <c:varyColors val="0"/>
        <c:ser>
          <c:idx val="0"/>
          <c:order val="0"/>
          <c:tx>
            <c:strRef>
              <c:f>Tear_Sheet!$B$81</c:f>
              <c:strCache>
                <c:ptCount val="1"/>
                <c:pt idx="0">
                  <c:v>Schedule BA Total</c:v>
                </c:pt>
              </c:strCache>
            </c:strRef>
          </c:tx>
          <c:spPr>
            <a:ln w="28575" cap="rnd">
              <a:solidFill>
                <a:schemeClr val="accent1"/>
              </a:solidFill>
              <a:round/>
            </a:ln>
            <a:effectLst/>
          </c:spPr>
          <c:marker>
            <c:symbol val="diamond"/>
            <c:size val="6"/>
            <c:spPr>
              <a:solidFill>
                <a:schemeClr val="accent1"/>
              </a:solidFill>
              <a:ln w="9525">
                <a:solidFill>
                  <a:schemeClr val="accent1"/>
                </a:solidFill>
              </a:ln>
              <a:effectLst/>
            </c:spPr>
          </c:marker>
          <c:cat>
            <c:strRef>
              <c:f>(Tear_Sheet!$E$54,Tear_Sheet!$G$54,Tear_Sheet!$I$54,Tear_Sheet!$K$54,Tear_Sheet!$M$54)</c:f>
              <c:strCache>
                <c:ptCount val="5"/>
                <c:pt idx="0">
                  <c:v>2011Y</c:v>
                </c:pt>
                <c:pt idx="1">
                  <c:v>2012Y</c:v>
                </c:pt>
                <c:pt idx="2">
                  <c:v>2013Y</c:v>
                </c:pt>
                <c:pt idx="3">
                  <c:v>2014Y</c:v>
                </c:pt>
                <c:pt idx="4">
                  <c:v>2015Y</c:v>
                </c:pt>
              </c:strCache>
            </c:strRef>
          </c:cat>
          <c:val>
            <c:numRef>
              <c:f>(Tear_Sheet!$E$81,Tear_Sheet!$G$81,Tear_Sheet!$I$81,Tear_Sheet!$K$81,Tear_Sheet!$M$81)</c:f>
              <c:numCache>
                <c:formatCode>#,##0</c:formatCode>
                <c:ptCount val="5"/>
                <c:pt idx="0">
                  <c:v>4889846.8120000008</c:v>
                </c:pt>
                <c:pt idx="1">
                  <c:v>4976091.1579999998</c:v>
                </c:pt>
                <c:pt idx="2">
                  <c:v>5483905.3020000001</c:v>
                </c:pt>
                <c:pt idx="3">
                  <c:v>5561486.9539999999</c:v>
                </c:pt>
                <c:pt idx="4">
                  <c:v>5099386.1380000003</c:v>
                </c:pt>
              </c:numCache>
            </c:numRef>
          </c:val>
          <c:smooth val="0"/>
          <c:extLst>
            <c:ext xmlns:c16="http://schemas.microsoft.com/office/drawing/2014/chart" uri="{C3380CC4-5D6E-409C-BE32-E72D297353CC}">
              <c16:uniqueId val="{00000000-3794-4FB4-8C26-67EEF9E0719D}"/>
            </c:ext>
          </c:extLst>
        </c:ser>
        <c:dLbls>
          <c:showLegendKey val="0"/>
          <c:showVal val="0"/>
          <c:showCatName val="0"/>
          <c:showSerName val="0"/>
          <c:showPercent val="0"/>
          <c:showBubbleSize val="0"/>
        </c:dLbls>
        <c:marker val="1"/>
        <c:smooth val="0"/>
        <c:axId val="444801232"/>
        <c:axId val="444796312"/>
      </c:lineChart>
      <c:lineChart>
        <c:grouping val="standard"/>
        <c:varyColors val="0"/>
        <c:ser>
          <c:idx val="1"/>
          <c:order val="1"/>
          <c:tx>
            <c:v>YoY % Chg</c:v>
          </c:tx>
          <c:spPr>
            <a:ln w="28575" cap="rnd">
              <a:solidFill>
                <a:schemeClr val="accent2"/>
              </a:solidFill>
              <a:round/>
            </a:ln>
            <a:effectLst/>
          </c:spPr>
          <c:marker>
            <c:symbol val="square"/>
            <c:size val="5"/>
            <c:spPr>
              <a:solidFill>
                <a:schemeClr val="accent2"/>
              </a:solidFill>
              <a:ln w="9525">
                <a:solidFill>
                  <a:schemeClr val="accent2"/>
                </a:solidFill>
              </a:ln>
              <a:effectLst/>
            </c:spPr>
          </c:marker>
          <c:cat>
            <c:strRef>
              <c:f>(Tear_Sheet!$E$54,Tear_Sheet!$G$54,Tear_Sheet!$I$54,Tear_Sheet!$K$54,Tear_Sheet!$M$54)</c:f>
              <c:strCache>
                <c:ptCount val="5"/>
                <c:pt idx="0">
                  <c:v>2011Y</c:v>
                </c:pt>
                <c:pt idx="1">
                  <c:v>2012Y</c:v>
                </c:pt>
                <c:pt idx="2">
                  <c:v>2013Y</c:v>
                </c:pt>
                <c:pt idx="3">
                  <c:v>2014Y</c:v>
                </c:pt>
                <c:pt idx="4">
                  <c:v>2015Y</c:v>
                </c:pt>
              </c:strCache>
            </c:strRef>
          </c:cat>
          <c:val>
            <c:numRef>
              <c:f>(Tear_Sheet!$F$81,Tear_Sheet!$H$81,Tear_Sheet!$J$81,Tear_Sheet!$L$81,Tear_Sheet!$N$81)</c:f>
              <c:numCache>
                <c:formatCode>0.00%</c:formatCode>
                <c:ptCount val="5"/>
                <c:pt idx="0">
                  <c:v>-4.934133576804034E-2</c:v>
                </c:pt>
                <c:pt idx="1">
                  <c:v>1.7637433096748589E-2</c:v>
                </c:pt>
                <c:pt idx="2">
                  <c:v>0.10205081214872713</c:v>
                </c:pt>
                <c:pt idx="3">
                  <c:v>1.4147153848864891E-2</c:v>
                </c:pt>
                <c:pt idx="4">
                  <c:v>-8.3089436300419983E-2</c:v>
                </c:pt>
              </c:numCache>
            </c:numRef>
          </c:val>
          <c:smooth val="0"/>
          <c:extLst>
            <c:ext xmlns:c16="http://schemas.microsoft.com/office/drawing/2014/chart" uri="{C3380CC4-5D6E-409C-BE32-E72D297353CC}">
              <c16:uniqueId val="{00000001-3794-4FB4-8C26-67EEF9E0719D}"/>
            </c:ext>
          </c:extLst>
        </c:ser>
        <c:dLbls>
          <c:showLegendKey val="0"/>
          <c:showVal val="0"/>
          <c:showCatName val="0"/>
          <c:showSerName val="0"/>
          <c:showPercent val="0"/>
          <c:showBubbleSize val="0"/>
        </c:dLbls>
        <c:marker val="1"/>
        <c:smooth val="0"/>
        <c:axId val="796608688"/>
        <c:axId val="796614592"/>
      </c:lineChart>
      <c:catAx>
        <c:axId val="44480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796312"/>
        <c:crosses val="autoZero"/>
        <c:auto val="1"/>
        <c:lblAlgn val="ctr"/>
        <c:lblOffset val="0"/>
        <c:noMultiLvlLbl val="0"/>
      </c:catAx>
      <c:valAx>
        <c:axId val="444796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801232"/>
        <c:crosses val="autoZero"/>
        <c:crossBetween val="between"/>
      </c:valAx>
      <c:valAx>
        <c:axId val="79661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96608688"/>
        <c:crosses val="max"/>
        <c:crossBetween val="between"/>
      </c:valAx>
      <c:catAx>
        <c:axId val="796608688"/>
        <c:scaling>
          <c:orientation val="minMax"/>
        </c:scaling>
        <c:delete val="1"/>
        <c:axPos val="b"/>
        <c:numFmt formatCode="General" sourceLinked="1"/>
        <c:majorTickMark val="out"/>
        <c:minorTickMark val="none"/>
        <c:tickLblPos val="nextTo"/>
        <c:crossAx val="796614592"/>
        <c:crosses val="autoZero"/>
        <c:auto val="1"/>
        <c:lblAlgn val="ctr"/>
        <c:lblOffset val="100"/>
        <c:noMultiLvlLbl val="0"/>
      </c:catAx>
      <c:spPr>
        <a:noFill/>
        <a:ln>
          <a:noFill/>
        </a:ln>
        <a:effectLst/>
      </c:spPr>
    </c:plotArea>
    <c:legend>
      <c:legendPos val="b"/>
      <c:layout>
        <c:manualLayout>
          <c:xMode val="edge"/>
          <c:yMode val="edge"/>
          <c:x val="0.36153189822779852"/>
          <c:y val="0.87277643681186967"/>
          <c:w val="0.2835402299914711"/>
          <c:h val="0.1005739729553582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14</xdr:row>
          <xdr:rowOff>133350</xdr:rowOff>
        </xdr:from>
        <xdr:to>
          <xdr:col>15</xdr:col>
          <xdr:colOff>600075</xdr:colOff>
          <xdr:row>23</xdr:row>
          <xdr:rowOff>95250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REFRESH</a:t>
              </a:r>
            </a:p>
            <a:p>
              <a:pPr algn="ctr" rtl="0">
                <a:defRPr sz="1000"/>
              </a:pPr>
              <a:r>
                <a:rPr lang="en-US" sz="3600" b="1" i="0" u="none" strike="noStrike" baseline="0">
                  <a:solidFill>
                    <a:srgbClr val="000000"/>
                  </a:solidFill>
                  <a:latin typeface="Arial"/>
                  <a:cs typeface="Arial"/>
                </a:rPr>
                <a:t>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16</xdr:col>
          <xdr:colOff>0</xdr:colOff>
          <xdr:row>14</xdr:row>
          <xdr:rowOff>114300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LOAD PROSPECT LIST TO NEW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xdr:colOff>
      <xdr:row>38</xdr:row>
      <xdr:rowOff>13606</xdr:rowOff>
    </xdr:from>
    <xdr:to>
      <xdr:col>15</xdr:col>
      <xdr:colOff>734</xdr:colOff>
      <xdr:row>51</xdr:row>
      <xdr:rowOff>170448</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58208</xdr:colOff>
      <xdr:row>38</xdr:row>
      <xdr:rowOff>21167</xdr:rowOff>
    </xdr:from>
    <xdr:to>
      <xdr:col>8</xdr:col>
      <xdr:colOff>6803</xdr:colOff>
      <xdr:row>51</xdr:row>
      <xdr:rowOff>175846</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81</xdr:row>
      <xdr:rowOff>21980</xdr:rowOff>
    </xdr:from>
    <xdr:to>
      <xdr:col>15</xdr:col>
      <xdr:colOff>0</xdr:colOff>
      <xdr:row>89</xdr:row>
      <xdr:rowOff>185487</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359833</xdr:colOff>
      <xdr:row>0</xdr:row>
      <xdr:rowOff>0</xdr:rowOff>
    </xdr:from>
    <xdr:to>
      <xdr:col>14</xdr:col>
      <xdr:colOff>440647</xdr:colOff>
      <xdr:row>2</xdr:row>
      <xdr:rowOff>2013</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6166" y="0"/>
          <a:ext cx="1690538" cy="38301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SNL%20Financial\SNLxl\SNLXLAddin.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NLData"/>
      <definedName name="SNLLabel"/>
      <definedName name="SNLQuery"/>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workbookViewId="0"/>
  </sheetViews>
  <sheetFormatPr defaultRowHeight="15" x14ac:dyDescent="0.25"/>
  <sheetData>
    <row r="1" spans="1:1" x14ac:dyDescent="0.25">
      <c r="A1" t="s">
        <v>314</v>
      </c>
    </row>
    <row r="2" spans="1:1" x14ac:dyDescent="0.25">
      <c r="A2" t="s">
        <v>315</v>
      </c>
    </row>
    <row r="3" spans="1:1" x14ac:dyDescent="0.25">
      <c r="A3" t="s">
        <v>316</v>
      </c>
    </row>
    <row r="4" spans="1:1" x14ac:dyDescent="0.25">
      <c r="A4" t="s">
        <v>317</v>
      </c>
    </row>
    <row r="5" spans="1:1" x14ac:dyDescent="0.25">
      <c r="A5" t="s">
        <v>318</v>
      </c>
    </row>
    <row r="6" spans="1:1" x14ac:dyDescent="0.25">
      <c r="A6" t="s">
        <v>319</v>
      </c>
    </row>
    <row r="7" spans="1:1" x14ac:dyDescent="0.25">
      <c r="A7" t="s">
        <v>320</v>
      </c>
    </row>
    <row r="8" spans="1:1" x14ac:dyDescent="0.25">
      <c r="A8" t="s">
        <v>327</v>
      </c>
    </row>
    <row r="9" spans="1:1" x14ac:dyDescent="0.25">
      <c r="A9" t="s">
        <v>328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tabSelected="1" workbookViewId="0">
      <selection activeCell="A24" sqref="A24"/>
    </sheetView>
  </sheetViews>
  <sheetFormatPr defaultColWidth="9.125" defaultRowHeight="12.75" x14ac:dyDescent="0.2"/>
  <cols>
    <col min="1" max="1" width="43.625" style="1" bestFit="1" customWidth="1"/>
    <col min="2" max="2" width="51" style="1" bestFit="1" customWidth="1"/>
    <col min="3" max="3" width="9.125" style="1"/>
    <col min="4" max="6" width="11.125" style="1" hidden="1" customWidth="1"/>
    <col min="7" max="7" width="7.375" style="1" hidden="1" customWidth="1"/>
    <col min="8" max="8" width="6.25" style="1" hidden="1" customWidth="1"/>
    <col min="9" max="16384" width="9.125" style="1"/>
  </cols>
  <sheetData>
    <row r="1" spans="1:16" ht="26.25" customHeight="1" x14ac:dyDescent="0.2">
      <c r="A1" s="144" t="s">
        <v>122</v>
      </c>
      <c r="B1" s="145"/>
      <c r="I1" s="146" t="s">
        <v>134</v>
      </c>
      <c r="J1" s="147"/>
      <c r="K1" s="147"/>
      <c r="L1" s="147"/>
      <c r="M1" s="147"/>
      <c r="N1" s="147"/>
      <c r="O1" s="147"/>
      <c r="P1" s="148"/>
    </row>
    <row r="2" spans="1:16" ht="26.25" customHeight="1" thickBot="1" x14ac:dyDescent="0.25">
      <c r="A2" s="155" t="s">
        <v>264</v>
      </c>
      <c r="B2" s="156"/>
      <c r="I2" s="149"/>
      <c r="J2" s="150"/>
      <c r="K2" s="150"/>
      <c r="L2" s="150"/>
      <c r="M2" s="150"/>
      <c r="N2" s="150"/>
      <c r="O2" s="150"/>
      <c r="P2" s="151"/>
    </row>
    <row r="3" spans="1:16" ht="81" customHeight="1" thickBot="1" x14ac:dyDescent="0.25">
      <c r="A3" s="38" t="s">
        <v>120</v>
      </c>
      <c r="B3" s="118" t="s">
        <v>121</v>
      </c>
      <c r="I3" s="152"/>
      <c r="J3" s="153"/>
      <c r="K3" s="153"/>
      <c r="L3" s="153"/>
      <c r="M3" s="153"/>
      <c r="N3" s="153"/>
      <c r="O3" s="153"/>
      <c r="P3" s="154"/>
    </row>
    <row r="4" spans="1:16" ht="15" x14ac:dyDescent="0.25">
      <c r="A4" s="89" t="s">
        <v>73</v>
      </c>
      <c r="B4" s="119" t="s">
        <v>249</v>
      </c>
      <c r="C4" s="2"/>
      <c r="D4" s="2" t="str">
        <f ca="1">CONCATENATE(B8-1,"Y")</f>
        <v>2015Y</v>
      </c>
      <c r="E4" s="2" t="str">
        <f ca="1">CONCATENATE($B$8,"Q1")</f>
        <v>2016Q1</v>
      </c>
      <c r="F4" s="2" t="str">
        <f ca="1">CONCATENATE($B$8,"Q2")</f>
        <v>2016Q2</v>
      </c>
      <c r="G4" s="2" t="str">
        <f ca="1">CONCATENATE($B$8,"Q3")</f>
        <v>2016Q3</v>
      </c>
      <c r="H4" s="2" t="str">
        <f ca="1">CONCATENATE($B$8,"Y")</f>
        <v>2016Y</v>
      </c>
    </row>
    <row r="5" spans="1:16" x14ac:dyDescent="0.2">
      <c r="A5" s="90" t="s">
        <v>0</v>
      </c>
      <c r="B5" s="120" t="str">
        <f>SUBSTITUTE(SUBSTITUTE(SUBSTITUTE(SUBSTITUTE([1]!SNLData("287", STAT_KEY, "116383"),"SNL ","")," (Life Group)"," (Life)")," (Health Group)"," (Health)")," (P&amp;C Group)"," (PC)")</f>
        <v>Zurich Insurance Group (PC)</v>
      </c>
      <c r="C5" s="3"/>
      <c r="D5" s="4">
        <f ca="1">IF([1]!SNLData("287", $B$4, "113963", D4)="NA",,[1]!SNLData("287", $B$4,"113963", D4))</f>
        <v>35406660.851999998</v>
      </c>
      <c r="E5" s="4">
        <f ca="1">IF([1]!SNLData("287", $B$4, "113963", E4)="NA",,[1]!SNLData("287", $B$4, "113963", E4))</f>
        <v>34015070.094999999</v>
      </c>
      <c r="F5" s="4">
        <f ca="1">IF([1]!SNLData("287", $B$4, "113963", F4)="NA",,[1]!SNLData("287", $B$4, "113963", F4))</f>
        <v>34984104.248000003</v>
      </c>
      <c r="G5" s="4">
        <f ca="1">IF([1]!SNLData("287", $B$4, "113963", G4)="NA",,[1]!SNLData("287", $B$4, "113963", G4))</f>
        <v>39003219.800999999</v>
      </c>
      <c r="H5" s="4">
        <f ca="1">IF([1]!SNLData("287", $B$4, "113963", H4)="NA",,[1]!SNLData("287", $B$4, "113963", H4))</f>
        <v>0</v>
      </c>
    </row>
    <row r="6" spans="1:16" x14ac:dyDescent="0.2">
      <c r="A6" s="90" t="s">
        <v>1</v>
      </c>
      <c r="B6" s="120" t="str">
        <f>SUBSTITUTE(SUBSTITUTE(SUBSTITUTE(SUBSTITUTE([1]!SNLData("287", STAT_KEY, "124459"),"SNL ","")," (Life Group)","")," (Health Group)","")," (P&amp;C Group)","")</f>
        <v>Zurich Insurance Group Ltd.</v>
      </c>
      <c r="C6" s="5"/>
      <c r="D6" s="3">
        <f ca="1">IF(D5=0,,1)</f>
        <v>1</v>
      </c>
      <c r="E6" s="3">
        <f ca="1">IF(E5=0,,2)</f>
        <v>2</v>
      </c>
      <c r="F6" s="3">
        <f ca="1">IF(F5=0,,3)</f>
        <v>3</v>
      </c>
      <c r="G6" s="3">
        <f ca="1">IF(G5=0,,4)</f>
        <v>4</v>
      </c>
      <c r="H6" s="3">
        <f ca="1">IF(H5=0,,5)</f>
        <v>0</v>
      </c>
    </row>
    <row r="7" spans="1:16" x14ac:dyDescent="0.2">
      <c r="A7" s="90" t="s">
        <v>2</v>
      </c>
      <c r="B7" s="121">
        <f ca="1">TODAY()</f>
        <v>42704</v>
      </c>
      <c r="C7" s="6"/>
      <c r="D7" s="3" t="str">
        <f ca="1">IF(MAX(D6:H6)=1,CONCATENATE(B8-1,"Y"),IF(MAX(D6:H6)=5,CONCATENATE(B8,"Y"),CONCATENATE(B8,"Q",MAX(D6:H6)-1)))</f>
        <v>2016Q3</v>
      </c>
      <c r="E7" s="3"/>
      <c r="F7" s="3"/>
      <c r="G7" s="3"/>
      <c r="H7" s="3"/>
    </row>
    <row r="8" spans="1:16" x14ac:dyDescent="0.2">
      <c r="A8" s="91" t="s">
        <v>3</v>
      </c>
      <c r="B8" s="122">
        <f ca="1">YEAR(B7)</f>
        <v>2016</v>
      </c>
    </row>
    <row r="9" spans="1:16" x14ac:dyDescent="0.2">
      <c r="A9" s="91" t="s">
        <v>7</v>
      </c>
      <c r="B9" s="122" t="str">
        <f ca="1">D7</f>
        <v>2016Q3</v>
      </c>
    </row>
    <row r="10" spans="1:16" x14ac:dyDescent="0.2">
      <c r="A10" s="90" t="s">
        <v>8</v>
      </c>
      <c r="B10" s="122" t="str">
        <f ca="1">IF(B9=CONCATENATE(B8,"Y"),B9,CONCATENATE(B8-1,"Y"))</f>
        <v>2015Y</v>
      </c>
    </row>
    <row r="11" spans="1:16" x14ac:dyDescent="0.2">
      <c r="A11" s="90" t="s">
        <v>69</v>
      </c>
      <c r="B11" s="120" t="str">
        <f>[1]!SNLData("287", B4, "119356")</f>
        <v>P&amp;C</v>
      </c>
    </row>
    <row r="12" spans="1:16" x14ac:dyDescent="0.2">
      <c r="A12" s="90" t="s">
        <v>70</v>
      </c>
      <c r="B12" s="122" t="str">
        <f>IF(FILER_TYPE="Health","true","false")</f>
        <v>false</v>
      </c>
    </row>
    <row r="13" spans="1:16" x14ac:dyDescent="0.2">
      <c r="A13" s="90" t="s">
        <v>71</v>
      </c>
      <c r="B13" s="122" t="str">
        <f>IF(FILER_TYPE="Life","true","false")</f>
        <v>false</v>
      </c>
    </row>
    <row r="14" spans="1:16" x14ac:dyDescent="0.2">
      <c r="A14" s="90" t="s">
        <v>72</v>
      </c>
      <c r="B14" s="122" t="str">
        <f>IF(FILER_TYPE="P&amp;C","true","false")</f>
        <v>true</v>
      </c>
    </row>
    <row r="15" spans="1:16" x14ac:dyDescent="0.2">
      <c r="A15" s="92" t="s">
        <v>79</v>
      </c>
      <c r="B15" s="123">
        <v>200000000</v>
      </c>
    </row>
    <row r="16" spans="1:16" x14ac:dyDescent="0.2">
      <c r="A16" s="92" t="s">
        <v>80</v>
      </c>
      <c r="B16" s="124" t="s">
        <v>266</v>
      </c>
    </row>
    <row r="17" spans="1:2" x14ac:dyDescent="0.2">
      <c r="A17" s="92"/>
      <c r="B17" s="125"/>
    </row>
    <row r="18" spans="1:2" x14ac:dyDescent="0.2">
      <c r="A18" s="92" t="s">
        <v>124</v>
      </c>
      <c r="B18" s="126" t="s">
        <v>310</v>
      </c>
    </row>
    <row r="19" spans="1:2" x14ac:dyDescent="0.2">
      <c r="A19" s="92" t="s">
        <v>125</v>
      </c>
      <c r="B19" s="127" t="s">
        <v>48</v>
      </c>
    </row>
    <row r="20" spans="1:2" x14ac:dyDescent="0.2">
      <c r="A20" s="92" t="s">
        <v>126</v>
      </c>
      <c r="B20" s="127" t="s">
        <v>313</v>
      </c>
    </row>
    <row r="21" spans="1:2" x14ac:dyDescent="0.2">
      <c r="A21" s="92" t="s">
        <v>127</v>
      </c>
      <c r="B21" s="127" t="s">
        <v>117</v>
      </c>
    </row>
    <row r="22" spans="1:2" x14ac:dyDescent="0.2">
      <c r="A22" s="92" t="s">
        <v>128</v>
      </c>
      <c r="B22" s="127">
        <v>1</v>
      </c>
    </row>
    <row r="23" spans="1:2" x14ac:dyDescent="0.2">
      <c r="A23" s="92" t="s">
        <v>123</v>
      </c>
      <c r="B23" s="127" t="s">
        <v>118</v>
      </c>
    </row>
    <row r="24" spans="1:2" x14ac:dyDescent="0.2">
      <c r="A24" s="92" t="s">
        <v>129</v>
      </c>
      <c r="B24" s="127" t="s">
        <v>49</v>
      </c>
    </row>
    <row r="25" spans="1:2" x14ac:dyDescent="0.2">
      <c r="A25" s="92" t="s">
        <v>130</v>
      </c>
      <c r="B25" s="127" t="s">
        <v>265</v>
      </c>
    </row>
    <row r="26" spans="1:2" x14ac:dyDescent="0.2">
      <c r="A26" s="92" t="s">
        <v>325</v>
      </c>
      <c r="B26" s="127">
        <v>1</v>
      </c>
    </row>
    <row r="27" spans="1:2" x14ac:dyDescent="0.2">
      <c r="A27" s="92" t="s">
        <v>326</v>
      </c>
      <c r="B27" s="127">
        <v>2</v>
      </c>
    </row>
    <row r="28" spans="1:2" x14ac:dyDescent="0.2">
      <c r="A28" s="92" t="s">
        <v>131</v>
      </c>
      <c r="B28" s="126" t="s">
        <v>119</v>
      </c>
    </row>
    <row r="29" spans="1:2" x14ac:dyDescent="0.2">
      <c r="A29" s="92" t="s">
        <v>132</v>
      </c>
      <c r="B29" s="126" t="s">
        <v>49</v>
      </c>
    </row>
    <row r="30" spans="1:2" x14ac:dyDescent="0.2">
      <c r="A30" s="88" t="s">
        <v>133</v>
      </c>
      <c r="B30" s="127">
        <v>4</v>
      </c>
    </row>
    <row r="31" spans="1:2" x14ac:dyDescent="0.2">
      <c r="A31" s="92" t="s">
        <v>292</v>
      </c>
      <c r="B31" s="127" t="s">
        <v>324</v>
      </c>
    </row>
    <row r="32" spans="1:2" x14ac:dyDescent="0.2">
      <c r="A32" s="142" t="s">
        <v>321</v>
      </c>
      <c r="B32" s="128">
        <v>0</v>
      </c>
    </row>
    <row r="39" spans="1:2" hidden="1" x14ac:dyDescent="0.2">
      <c r="A39" s="1" t="s">
        <v>293</v>
      </c>
      <c r="B39" s="102">
        <f>[1]!SNLData("287", STAT_KEY, "121411")</f>
        <v>4042156</v>
      </c>
    </row>
  </sheetData>
  <mergeCells count="3">
    <mergeCell ref="A1:B1"/>
    <mergeCell ref="I1:P3"/>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RefreshEntireWorkbook">
                <anchor moveWithCells="1" sizeWithCells="1">
                  <from>
                    <xdr:col>8</xdr:col>
                    <xdr:colOff>9525</xdr:colOff>
                    <xdr:row>14</xdr:row>
                    <xdr:rowOff>133350</xdr:rowOff>
                  </from>
                  <to>
                    <xdr:col>15</xdr:col>
                    <xdr:colOff>600075</xdr:colOff>
                    <xdr:row>23</xdr:row>
                    <xdr:rowOff>95250</xdr:rowOff>
                  </to>
                </anchor>
              </controlPr>
            </control>
          </mc:Choice>
        </mc:AlternateContent>
        <mc:AlternateContent xmlns:mc="http://schemas.openxmlformats.org/markup-compatibility/2006">
          <mc:Choice Requires="x14">
            <control shapeId="3082" r:id="rId5" name="Button 10">
              <controlPr defaultSize="0" print="0" autoFill="0" autoPict="0" macro="[0]!RunCompanyList">
                <anchor moveWithCells="1">
                  <from>
                    <xdr:col>3</xdr:col>
                    <xdr:colOff>0</xdr:colOff>
                    <xdr:row>3</xdr:row>
                    <xdr:rowOff>0</xdr:rowOff>
                  </from>
                  <to>
                    <xdr:col>16</xdr:col>
                    <xdr:colOff>0</xdr:colOff>
                    <xdr:row>14</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7"/>
  <sheetViews>
    <sheetView zoomScale="80" zoomScaleNormal="80" workbookViewId="0">
      <selection activeCell="L16" sqref="L16"/>
    </sheetView>
  </sheetViews>
  <sheetFormatPr defaultColWidth="9.125" defaultRowHeight="14.25" x14ac:dyDescent="0.2"/>
  <cols>
    <col min="1" max="1" width="24.875" style="11" bestFit="1" customWidth="1"/>
    <col min="2" max="2" width="19.125" style="11" bestFit="1" customWidth="1"/>
    <col min="3" max="3" width="4" style="11" customWidth="1"/>
    <col min="4" max="4" width="24.875" style="11" bestFit="1" customWidth="1"/>
    <col min="5" max="5" width="19.125" style="11" bestFit="1" customWidth="1"/>
    <col min="6" max="6" width="5" style="11" customWidth="1"/>
    <col min="7" max="7" width="20.875" style="11" bestFit="1" customWidth="1"/>
    <col min="8" max="8" width="18" style="11" customWidth="1"/>
    <col min="9" max="16384" width="9.125" style="11"/>
  </cols>
  <sheetData>
    <row r="1" spans="1:16" ht="30" x14ac:dyDescent="0.4">
      <c r="A1" s="157" t="s">
        <v>301</v>
      </c>
      <c r="B1" s="158"/>
      <c r="C1" s="158"/>
      <c r="D1" s="158"/>
      <c r="E1" s="158"/>
      <c r="F1" s="158"/>
      <c r="G1" s="158"/>
      <c r="H1" s="159"/>
      <c r="I1" s="134"/>
      <c r="J1" s="134"/>
      <c r="K1" s="134"/>
      <c r="L1" s="134"/>
      <c r="M1" s="134"/>
      <c r="N1" s="134"/>
      <c r="O1" s="134"/>
      <c r="P1" s="134"/>
    </row>
    <row r="2" spans="1:16" ht="10.5" customHeight="1" x14ac:dyDescent="0.4">
      <c r="A2" s="133"/>
      <c r="B2" s="133"/>
      <c r="C2" s="133"/>
      <c r="D2" s="133"/>
      <c r="E2" s="133"/>
      <c r="F2" s="133"/>
      <c r="G2" s="133"/>
      <c r="H2" s="133"/>
      <c r="I2" s="134"/>
      <c r="J2" s="134"/>
      <c r="K2" s="134"/>
      <c r="L2" s="134"/>
      <c r="M2" s="134"/>
      <c r="N2" s="134"/>
      <c r="O2" s="134"/>
      <c r="P2" s="134"/>
    </row>
    <row r="3" spans="1:16" ht="15" x14ac:dyDescent="0.25">
      <c r="A3" s="135" t="s">
        <v>303</v>
      </c>
      <c r="B3" s="140">
        <v>42703.688726851855</v>
      </c>
      <c r="C3" s="136"/>
      <c r="D3" s="135" t="s">
        <v>304</v>
      </c>
      <c r="E3" s="141">
        <v>4.1539351851851855E-2</v>
      </c>
      <c r="F3" s="137"/>
      <c r="G3" s="135" t="s">
        <v>302</v>
      </c>
      <c r="H3" s="141">
        <v>3.404864905889496E-4</v>
      </c>
      <c r="I3" s="132"/>
      <c r="J3" s="132"/>
      <c r="K3" s="132"/>
      <c r="L3" s="132"/>
      <c r="M3" s="132"/>
      <c r="N3" s="132"/>
    </row>
    <row r="4" spans="1:16" ht="15" x14ac:dyDescent="0.25">
      <c r="A4" s="135"/>
      <c r="B4" s="137"/>
      <c r="C4" s="137"/>
      <c r="D4" s="135"/>
      <c r="E4" s="137"/>
      <c r="F4" s="137"/>
      <c r="G4" s="135"/>
      <c r="H4" s="137"/>
    </row>
    <row r="5" spans="1:16" ht="15" x14ac:dyDescent="0.25">
      <c r="A5" s="138" t="s">
        <v>309</v>
      </c>
      <c r="B5" s="137">
        <v>122</v>
      </c>
      <c r="C5" s="137"/>
      <c r="D5" s="138" t="s">
        <v>308</v>
      </c>
      <c r="E5" s="137">
        <v>122</v>
      </c>
      <c r="F5" s="137"/>
      <c r="G5" s="135" t="s">
        <v>305</v>
      </c>
      <c r="H5" s="139">
        <v>1</v>
      </c>
    </row>
    <row r="6" spans="1:16" ht="15" x14ac:dyDescent="0.25">
      <c r="A6" s="136"/>
      <c r="B6" s="137"/>
      <c r="C6" s="137"/>
      <c r="D6" s="136"/>
      <c r="E6" s="137"/>
      <c r="F6" s="137"/>
      <c r="G6" s="136"/>
      <c r="H6" s="137"/>
    </row>
    <row r="7" spans="1:16" ht="15" x14ac:dyDescent="0.25">
      <c r="A7" s="135" t="s">
        <v>306</v>
      </c>
      <c r="B7" s="141">
        <v>0</v>
      </c>
      <c r="C7" s="137"/>
      <c r="D7" s="135" t="s">
        <v>307</v>
      </c>
      <c r="E7" s="140">
        <v>42703.730266203704</v>
      </c>
      <c r="F7" s="137"/>
      <c r="G7" s="137"/>
      <c r="H7" s="137"/>
    </row>
    <row r="8" spans="1:16" ht="15" x14ac:dyDescent="0.25">
      <c r="A8" s="137"/>
      <c r="B8" s="137"/>
      <c r="C8" s="137"/>
      <c r="D8" s="136"/>
      <c r="E8" s="137"/>
      <c r="F8" s="137"/>
      <c r="G8" s="137"/>
      <c r="H8" s="137"/>
    </row>
    <row r="9" spans="1:16" x14ac:dyDescent="0.2">
      <c r="A9" s="137"/>
      <c r="B9" s="137"/>
      <c r="C9" s="137"/>
      <c r="D9" s="137"/>
      <c r="E9" s="137"/>
      <c r="F9" s="137"/>
      <c r="G9" s="137"/>
      <c r="H9" s="137"/>
    </row>
    <row r="10" spans="1:16" x14ac:dyDescent="0.2">
      <c r="A10" s="137"/>
      <c r="B10" s="137"/>
      <c r="C10" s="137"/>
      <c r="D10" s="137"/>
      <c r="E10" s="137"/>
      <c r="F10" s="137"/>
      <c r="G10" s="137"/>
      <c r="H10" s="137"/>
    </row>
    <row r="11" spans="1:16" x14ac:dyDescent="0.2">
      <c r="A11" s="137"/>
      <c r="B11" s="137"/>
      <c r="C11" s="137"/>
      <c r="D11" s="137"/>
      <c r="E11" s="137"/>
      <c r="F11" s="137"/>
      <c r="G11" s="137"/>
      <c r="H11" s="137"/>
    </row>
    <row r="12" spans="1:16" x14ac:dyDescent="0.2">
      <c r="A12" s="137"/>
      <c r="B12" s="137"/>
      <c r="C12" s="137"/>
      <c r="D12" s="137"/>
      <c r="E12" s="137"/>
      <c r="F12" s="137"/>
      <c r="G12" s="137"/>
      <c r="H12" s="137"/>
    </row>
    <row r="13" spans="1:16" x14ac:dyDescent="0.2">
      <c r="A13" s="137"/>
      <c r="B13" s="137"/>
      <c r="C13" s="137"/>
      <c r="D13" s="137"/>
      <c r="E13" s="137"/>
      <c r="F13" s="137"/>
      <c r="G13" s="137"/>
      <c r="H13" s="137"/>
    </row>
    <row r="14" spans="1:16" x14ac:dyDescent="0.2">
      <c r="A14" s="137"/>
      <c r="B14" s="137"/>
      <c r="C14" s="137"/>
      <c r="D14" s="137"/>
      <c r="E14" s="137"/>
      <c r="F14" s="137"/>
      <c r="G14" s="137"/>
      <c r="H14" s="137"/>
    </row>
    <row r="15" spans="1:16" x14ac:dyDescent="0.2">
      <c r="A15" s="137"/>
      <c r="B15" s="137"/>
      <c r="C15" s="137"/>
      <c r="D15" s="137"/>
      <c r="E15" s="137"/>
      <c r="F15" s="137"/>
      <c r="G15" s="137"/>
      <c r="H15" s="137"/>
    </row>
    <row r="16" spans="1:16" x14ac:dyDescent="0.2">
      <c r="A16" s="137"/>
      <c r="B16" s="137"/>
      <c r="C16" s="137"/>
      <c r="D16" s="137"/>
      <c r="E16" s="137"/>
      <c r="F16" s="137"/>
      <c r="G16" s="137"/>
      <c r="H16" s="137"/>
    </row>
    <row r="17" spans="1:8" x14ac:dyDescent="0.2">
      <c r="A17" s="137"/>
      <c r="B17" s="137"/>
      <c r="C17" s="137"/>
      <c r="D17" s="137"/>
      <c r="E17" s="137"/>
      <c r="F17" s="137"/>
      <c r="G17" s="137"/>
      <c r="H17" s="137"/>
    </row>
    <row r="18" spans="1:8" x14ac:dyDescent="0.2">
      <c r="A18" s="137"/>
      <c r="B18" s="137"/>
      <c r="C18" s="137"/>
      <c r="D18" s="137"/>
      <c r="E18" s="137"/>
      <c r="F18" s="137"/>
      <c r="G18" s="137"/>
      <c r="H18" s="137"/>
    </row>
    <row r="19" spans="1:8" x14ac:dyDescent="0.2">
      <c r="A19" s="137"/>
      <c r="B19" s="137"/>
      <c r="C19" s="137"/>
      <c r="D19" s="137"/>
      <c r="E19" s="137"/>
      <c r="F19" s="137"/>
      <c r="G19" s="137"/>
      <c r="H19" s="137"/>
    </row>
    <row r="20" spans="1:8" x14ac:dyDescent="0.2">
      <c r="A20" s="137"/>
      <c r="B20" s="137"/>
      <c r="C20" s="137"/>
      <c r="D20" s="137"/>
      <c r="E20" s="137"/>
      <c r="F20" s="137"/>
      <c r="G20" s="137"/>
      <c r="H20" s="137"/>
    </row>
    <row r="21" spans="1:8" x14ac:dyDescent="0.2">
      <c r="A21" s="137"/>
      <c r="B21" s="137"/>
      <c r="C21" s="137"/>
      <c r="D21" s="137"/>
      <c r="E21" s="137"/>
      <c r="F21" s="137"/>
      <c r="G21" s="137"/>
      <c r="H21" s="137"/>
    </row>
    <row r="22" spans="1:8" x14ac:dyDescent="0.2">
      <c r="A22" s="137"/>
      <c r="B22" s="137"/>
      <c r="C22" s="137"/>
      <c r="D22" s="137"/>
      <c r="E22" s="137"/>
      <c r="F22" s="137"/>
      <c r="G22" s="137"/>
      <c r="H22" s="137"/>
    </row>
    <row r="23" spans="1:8" x14ac:dyDescent="0.2">
      <c r="A23" s="137"/>
      <c r="B23" s="137"/>
      <c r="C23" s="137"/>
      <c r="D23" s="137"/>
      <c r="E23" s="137"/>
      <c r="F23" s="137"/>
      <c r="G23" s="137"/>
      <c r="H23" s="137"/>
    </row>
    <row r="24" spans="1:8" x14ac:dyDescent="0.2">
      <c r="A24" s="137"/>
      <c r="B24" s="137"/>
      <c r="C24" s="137"/>
      <c r="D24" s="137"/>
      <c r="E24" s="137"/>
      <c r="F24" s="137"/>
      <c r="G24" s="137"/>
      <c r="H24" s="137"/>
    </row>
    <row r="25" spans="1:8" x14ac:dyDescent="0.2">
      <c r="A25" s="137"/>
      <c r="B25" s="137"/>
      <c r="C25" s="137"/>
      <c r="D25" s="137"/>
      <c r="E25" s="137"/>
      <c r="F25" s="137"/>
      <c r="G25" s="137"/>
      <c r="H25" s="137"/>
    </row>
    <row r="26" spans="1:8" x14ac:dyDescent="0.2">
      <c r="A26" s="137"/>
      <c r="B26" s="137"/>
      <c r="C26" s="137"/>
      <c r="D26" s="137"/>
      <c r="E26" s="137"/>
      <c r="F26" s="137"/>
      <c r="G26" s="137"/>
      <c r="H26" s="137"/>
    </row>
    <row r="27" spans="1:8" x14ac:dyDescent="0.2">
      <c r="A27" s="137"/>
      <c r="B27" s="137"/>
      <c r="C27" s="137"/>
      <c r="D27" s="137"/>
      <c r="E27" s="137"/>
      <c r="F27" s="137"/>
      <c r="G27" s="137"/>
      <c r="H27" s="137"/>
    </row>
  </sheetData>
  <mergeCells count="1">
    <mergeCell ref="A1: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108"/>
  <sheetViews>
    <sheetView workbookViewId="0"/>
  </sheetViews>
  <sheetFormatPr defaultColWidth="9.125" defaultRowHeight="12.75" x14ac:dyDescent="0.2"/>
  <cols>
    <col min="1" max="1" width="69.25" style="7" bestFit="1" customWidth="1"/>
    <col min="2" max="2" width="22.375" style="7" bestFit="1" customWidth="1"/>
    <col min="3" max="3" width="7.75" style="7" bestFit="1" customWidth="1"/>
    <col min="4" max="4" width="11.125" style="7" bestFit="1" customWidth="1"/>
    <col min="5" max="5" width="11.375" style="7" bestFit="1" customWidth="1"/>
    <col min="6" max="6" width="9" style="7" bestFit="1" customWidth="1"/>
    <col min="7" max="7" width="9.25" style="7" bestFit="1" customWidth="1"/>
    <col min="8" max="8" width="8.25" style="7" bestFit="1" customWidth="1"/>
    <col min="9" max="9" width="9.25" style="7" bestFit="1" customWidth="1"/>
    <col min="10" max="10" width="9" style="7" bestFit="1" customWidth="1"/>
    <col min="11" max="11" width="9.375" style="7" customWidth="1"/>
    <col min="12" max="12" width="9" style="7" bestFit="1" customWidth="1"/>
    <col min="13" max="13" width="9.25" style="7" bestFit="1" customWidth="1"/>
    <col min="14" max="14" width="9.375" style="7" bestFit="1" customWidth="1"/>
    <col min="15" max="15" width="10.625" style="7" bestFit="1" customWidth="1"/>
    <col min="16" max="16" width="10.125" style="7" bestFit="1" customWidth="1"/>
    <col min="17" max="16384" width="9.125" style="7"/>
  </cols>
  <sheetData>
    <row r="1" spans="1:16" x14ac:dyDescent="0.2">
      <c r="A1" s="28" t="s">
        <v>6</v>
      </c>
      <c r="B1" s="7" t="str">
        <f>STAT_KEY</f>
        <v>GP4042156</v>
      </c>
      <c r="E1" s="93"/>
    </row>
    <row r="4" spans="1:16" ht="25.5" x14ac:dyDescent="0.2">
      <c r="D4" s="32" t="str">
        <f ca="1">CONCATENATE(LEFT(Variables!$B$10,4)-5,"Y")</f>
        <v>2010Y</v>
      </c>
      <c r="E4" s="32" t="str">
        <f ca="1">CONCATENATE(LEFT(Variables!$B$10,4)-4,"Y")</f>
        <v>2011Y</v>
      </c>
      <c r="F4" s="34" t="str">
        <f ca="1">E4&amp;CHAR(10)&amp;"% Chg"</f>
        <v>2011Y
% Chg</v>
      </c>
      <c r="G4" s="32" t="str">
        <f ca="1">CONCATENATE(LEFT(Variables!$B$10,4)-3,"Y")</f>
        <v>2012Y</v>
      </c>
      <c r="H4" s="34" t="str">
        <f ca="1">G4&amp;CHAR(10)&amp;"% Chg"</f>
        <v>2012Y
% Chg</v>
      </c>
      <c r="I4" s="32" t="str">
        <f ca="1">CONCATENATE(LEFT(Variables!$B$10,4)-2,"Y")</f>
        <v>2013Y</v>
      </c>
      <c r="J4" s="34" t="str">
        <f ca="1">I4&amp;CHAR(10)&amp;"% Chg"</f>
        <v>2013Y
% Chg</v>
      </c>
      <c r="K4" s="32" t="str">
        <f ca="1">CONCATENATE(LEFT(Variables!$B$10,4)-1,"Y")</f>
        <v>2014Y</v>
      </c>
      <c r="L4" s="34" t="str">
        <f ca="1">K4&amp;CHAR(10)&amp;"% Chg"</f>
        <v>2014Y
% Chg</v>
      </c>
      <c r="M4" s="32" t="str">
        <f ca="1">CONCATENATE(LEFT(Variables!$B$10,4),"Y")</f>
        <v>2015Y</v>
      </c>
      <c r="N4" s="34" t="str">
        <f ca="1">M4&amp;CHAR(10)&amp;"% Chg"</f>
        <v>2015Y
% Chg</v>
      </c>
      <c r="O4" s="33" t="s">
        <v>107</v>
      </c>
      <c r="P4" s="34" t="s">
        <v>108</v>
      </c>
    </row>
    <row r="5" spans="1:16" x14ac:dyDescent="0.2">
      <c r="A5" s="28" t="s">
        <v>114</v>
      </c>
    </row>
    <row r="6" spans="1:16" x14ac:dyDescent="0.2">
      <c r="B6" s="143">
        <v>0</v>
      </c>
      <c r="C6" s="7">
        <v>119846</v>
      </c>
      <c r="D6" s="8">
        <f ca="1">IF(OR([1]!SNLData("287",STAT_KEY,$C6,D$4,$B6)="NA",[1]!SNLData("287",STAT_KEY,$C6,D$4,$B6)="NM"),0,[1]!SNLData("287",STAT_KEY,$C6,D$4,$B6))</f>
        <v>3645835.89</v>
      </c>
      <c r="E6" s="8">
        <f ca="1">IF(OR([1]!SNLData("287",STAT_KEY,$C6,E$4,$B6)="NA",[1]!SNLData("287",STAT_KEY,$C6,E$4,$B6)="NM"),0,[1]!SNLData("287",STAT_KEY,$C6,E$4,$B6))</f>
        <v>4524672.66</v>
      </c>
      <c r="F6" s="24">
        <f ca="1">IFERROR((E6/D6)-1,"")</f>
        <v>0.24105220216042134</v>
      </c>
      <c r="G6" s="8">
        <f ca="1">IF(OR([1]!SNLData("287",STAT_KEY,$C6,G$4,$B6)="NA",[1]!SNLData("287",STAT_KEY,$C6,G$4,$B6)="NM"),0,[1]!SNLData("287",STAT_KEY,$C6,G$4,$B6))</f>
        <v>5592718.0691999998</v>
      </c>
      <c r="H6" s="24">
        <f ca="1">IFERROR((G6/E6)-1,"")</f>
        <v>0.23604921050797056</v>
      </c>
      <c r="I6" s="8">
        <f ca="1">IF(OR([1]!SNLData("287",STAT_KEY,$C6,I$4,$B6)="NA",[1]!SNLData("287",STAT_KEY,$C6,I$4,$B6)="NM"),0,[1]!SNLData("287",STAT_KEY,$C6,I$4,$B6))</f>
        <v>5850148.8448999999</v>
      </c>
      <c r="J6" s="24">
        <f ca="1">IFERROR((I6/G6)-1,"")</f>
        <v>4.6029635771864363E-2</v>
      </c>
      <c r="K6" s="8">
        <f ca="1">IF(OR([1]!SNLData("287",STAT_KEY,$C6,K$4,$B6)="NA",[1]!SNLData("287",STAT_KEY,$C6,K$4,$B6)="NM"),0,[1]!SNLData("287",STAT_KEY,$C6,K$4,$B6))</f>
        <v>4823345.0090000005</v>
      </c>
      <c r="L6" s="24">
        <f ca="1">IFERROR((K6/I6)-1,"")</f>
        <v>-0.17551755743704522</v>
      </c>
      <c r="M6" s="8">
        <f ca="1">IF(OR([1]!SNLData("287",STAT_KEY,$C6,M$4,$B6)="NA",[1]!SNLData("287",STAT_KEY,$C6,M$4,$B6)="NM"),0,[1]!SNLData("287",STAT_KEY,$C6,M$4,$B6))</f>
        <v>4039807.2336500003</v>
      </c>
      <c r="N6" s="24">
        <f ca="1">IFERROR((M6/K6)-1,"")</f>
        <v>-0.16244696862612507</v>
      </c>
      <c r="O6" s="35">
        <f ca="1">IFERROR((M6/E6)-1,"")</f>
        <v>-0.10716033242280998</v>
      </c>
      <c r="P6" s="35">
        <f ca="1">IF(OR(O6="",ISBLANK(O6)),"",(1+O6)^(1/5)-1)</f>
        <v>-2.2414625761857154E-2</v>
      </c>
    </row>
    <row r="7" spans="1:16" x14ac:dyDescent="0.2">
      <c r="B7" s="7">
        <v>1</v>
      </c>
      <c r="C7" s="7">
        <v>119846</v>
      </c>
      <c r="D7" s="8">
        <f ca="1">IF(OR([1]!SNLData("287",STAT_KEY,$C7,D$4,$B7)="NA",[1]!SNLData("287",STAT_KEY,$C7,D$4,$B7)="NM"),0,[1]!SNLData("287",STAT_KEY,$C7,D$4,$B7))</f>
        <v>0</v>
      </c>
      <c r="E7" s="8">
        <f ca="1">IF(OR([1]!SNLData("287",STAT_KEY,$C7,E$4,$B7)="NA",[1]!SNLData("287",STAT_KEY,$C7,E$4,$B7)="NM"),0,[1]!SNLData("287",STAT_KEY,$C7,E$4,$B7))</f>
        <v>0</v>
      </c>
      <c r="F7" s="24" t="str">
        <f t="shared" ref="F7:F14" ca="1" si="0">IFERROR((E7/D7)-1,"")</f>
        <v/>
      </c>
      <c r="G7" s="8">
        <f ca="1">IF(OR([1]!SNLData("287",STAT_KEY,$C7,G$4,$B7)="NA",[1]!SNLData("287",STAT_KEY,$C7,G$4,$B7)="NM"),0,[1]!SNLData("287",STAT_KEY,$C7,G$4,$B7))</f>
        <v>0</v>
      </c>
      <c r="H7" s="24" t="str">
        <f t="shared" ref="H7:N14" ca="1" si="1">IFERROR((G7/E7)-1,"")</f>
        <v/>
      </c>
      <c r="I7" s="8">
        <f ca="1">IF(OR([1]!SNLData("287",STAT_KEY,$C7,I$4,$B7)="NA",[1]!SNLData("287",STAT_KEY,$C7,I$4,$B7)="NM"),0,[1]!SNLData("287",STAT_KEY,$C7,I$4,$B7))</f>
        <v>0</v>
      </c>
      <c r="J7" s="24" t="str">
        <f t="shared" ca="1" si="1"/>
        <v/>
      </c>
      <c r="K7" s="8">
        <f ca="1">IF(OR([1]!SNLData("287",STAT_KEY,$C7,K$4,$B7)="NA",[1]!SNLData("287",STAT_KEY,$C7,K$4,$B7)="NM"),0,[1]!SNLData("287",STAT_KEY,$C7,K$4,$B7))</f>
        <v>0</v>
      </c>
      <c r="L7" s="24" t="str">
        <f t="shared" ca="1" si="1"/>
        <v/>
      </c>
      <c r="M7" s="8">
        <f ca="1">IF(OR([1]!SNLData("287",STAT_KEY,$C7,M$4,$B7)="NA",[1]!SNLData("287",STAT_KEY,$C7,M$4,$B7)="NM"),0,[1]!SNLData("287",STAT_KEY,$C7,M$4,$B7))</f>
        <v>0</v>
      </c>
      <c r="N7" s="24" t="str">
        <f t="shared" ca="1" si="1"/>
        <v/>
      </c>
      <c r="O7" s="35" t="str">
        <f t="shared" ref="O7:O14" ca="1" si="2">IFERROR((M7/E7)-1,"")</f>
        <v/>
      </c>
      <c r="P7" s="35" t="str">
        <f t="shared" ref="P7:P14" ca="1" si="3">IF(OR(O7="",ISBLANK(O7)),"",(1+O7)^(1/5)-1)</f>
        <v/>
      </c>
    </row>
    <row r="8" spans="1:16" x14ac:dyDescent="0.2">
      <c r="B8" s="7">
        <v>2</v>
      </c>
      <c r="C8" s="7">
        <v>119846</v>
      </c>
      <c r="D8" s="8">
        <f ca="1">IF(OR([1]!SNLData("287",STAT_KEY,$C8,D$4,$B8)="NA",[1]!SNLData("287",STAT_KEY,$C8,D$4,$B8)="NM"),0,[1]!SNLData("287",STAT_KEY,$C8,D$4,$B8))</f>
        <v>0</v>
      </c>
      <c r="E8" s="8">
        <f ca="1">IF(OR([1]!SNLData("287",STAT_KEY,$C8,E$4,$B8)="NA",[1]!SNLData("287",STAT_KEY,$C8,E$4,$B8)="NM"),0,[1]!SNLData("287",STAT_KEY,$C8,E$4,$B8))</f>
        <v>0</v>
      </c>
      <c r="F8" s="24" t="str">
        <f t="shared" ca="1" si="0"/>
        <v/>
      </c>
      <c r="G8" s="8">
        <f ca="1">IF(OR([1]!SNLData("287",STAT_KEY,$C8,G$4,$B8)="NA",[1]!SNLData("287",STAT_KEY,$C8,G$4,$B8)="NM"),0,[1]!SNLData("287",STAT_KEY,$C8,G$4,$B8))</f>
        <v>0</v>
      </c>
      <c r="H8" s="24" t="str">
        <f t="shared" ca="1" si="1"/>
        <v/>
      </c>
      <c r="I8" s="8">
        <f ca="1">IF(OR([1]!SNLData("287",STAT_KEY,$C8,I$4,$B8)="NA",[1]!SNLData("287",STAT_KEY,$C8,I$4,$B8)="NM"),0,[1]!SNLData("287",STAT_KEY,$C8,I$4,$B8))</f>
        <v>0</v>
      </c>
      <c r="J8" s="24" t="str">
        <f t="shared" ca="1" si="1"/>
        <v/>
      </c>
      <c r="K8" s="8">
        <f ca="1">IF(OR([1]!SNLData("287",STAT_KEY,$C8,K$4,$B8)="NA",[1]!SNLData("287",STAT_KEY,$C8,K$4,$B8)="NM"),0,[1]!SNLData("287",STAT_KEY,$C8,K$4,$B8))</f>
        <v>0</v>
      </c>
      <c r="L8" s="24" t="str">
        <f t="shared" ca="1" si="1"/>
        <v/>
      </c>
      <c r="M8" s="8">
        <f ca="1">IF(OR([1]!SNLData("287",STAT_KEY,$C8,M$4,$B8)="NA",[1]!SNLData("287",STAT_KEY,$C8,M$4,$B8)="NM"),0,[1]!SNLData("287",STAT_KEY,$C8,M$4,$B8))</f>
        <v>0</v>
      </c>
      <c r="N8" s="24" t="str">
        <f t="shared" ca="1" si="1"/>
        <v/>
      </c>
      <c r="O8" s="35" t="str">
        <f t="shared" ca="1" si="2"/>
        <v/>
      </c>
      <c r="P8" s="35" t="str">
        <f t="shared" ca="1" si="3"/>
        <v/>
      </c>
    </row>
    <row r="9" spans="1:16" x14ac:dyDescent="0.2">
      <c r="B9" s="7">
        <v>3</v>
      </c>
      <c r="C9" s="7">
        <v>119846</v>
      </c>
      <c r="D9" s="8">
        <f ca="1">IF(OR([1]!SNLData("287",STAT_KEY,$C9,D$4,$B9)="NA",[1]!SNLData("287",STAT_KEY,$C9,D$4,$B9)="NM"),0,[1]!SNLData("287",STAT_KEY,$C9,D$4,$B9))</f>
        <v>0</v>
      </c>
      <c r="E9" s="8">
        <f ca="1">IF(OR([1]!SNLData("287",STAT_KEY,$C9,E$4,$B9)="NA",[1]!SNLData("287",STAT_KEY,$C9,E$4,$B9)="NM"),0,[1]!SNLData("287",STAT_KEY,$C9,E$4,$B9))</f>
        <v>0</v>
      </c>
      <c r="F9" s="24" t="str">
        <f t="shared" ca="1" si="0"/>
        <v/>
      </c>
      <c r="G9" s="8">
        <f ca="1">IF(OR([1]!SNLData("287",STAT_KEY,$C9,G$4,$B9)="NA",[1]!SNLData("287",STAT_KEY,$C9,G$4,$B9)="NM"),0,[1]!SNLData("287",STAT_KEY,$C9,G$4,$B9))</f>
        <v>0</v>
      </c>
      <c r="H9" s="24" t="str">
        <f t="shared" ca="1" si="1"/>
        <v/>
      </c>
      <c r="I9" s="8">
        <f ca="1">IF(OR([1]!SNLData("287",STAT_KEY,$C9,I$4,$B9)="NA",[1]!SNLData("287",STAT_KEY,$C9,I$4,$B9)="NM"),0,[1]!SNLData("287",STAT_KEY,$C9,I$4,$B9))</f>
        <v>0</v>
      </c>
      <c r="J9" s="24" t="str">
        <f t="shared" ca="1" si="1"/>
        <v/>
      </c>
      <c r="K9" s="8">
        <f ca="1">IF(OR([1]!SNLData("287",STAT_KEY,$C9,K$4,$B9)="NA",[1]!SNLData("287",STAT_KEY,$C9,K$4,$B9)="NM"),0,[1]!SNLData("287",STAT_KEY,$C9,K$4,$B9))</f>
        <v>0</v>
      </c>
      <c r="L9" s="24" t="str">
        <f t="shared" ca="1" si="1"/>
        <v/>
      </c>
      <c r="M9" s="8">
        <f ca="1">IF(OR([1]!SNLData("287",STAT_KEY,$C9,M$4,$B9)="NA",[1]!SNLData("287",STAT_KEY,$C9,M$4,$B9)="NM"),0,[1]!SNLData("287",STAT_KEY,$C9,M$4,$B9))</f>
        <v>0</v>
      </c>
      <c r="N9" s="24" t="str">
        <f t="shared" ca="1" si="1"/>
        <v/>
      </c>
      <c r="O9" s="35" t="str">
        <f t="shared" ca="1" si="2"/>
        <v/>
      </c>
      <c r="P9" s="35" t="str">
        <f t="shared" ca="1" si="3"/>
        <v/>
      </c>
    </row>
    <row r="10" spans="1:16" x14ac:dyDescent="0.2">
      <c r="B10" s="7">
        <v>4</v>
      </c>
      <c r="C10" s="7">
        <v>119846</v>
      </c>
      <c r="D10" s="8">
        <f ca="1">IF(OR([1]!SNLData("287",STAT_KEY,$C10,D$4,$B10)="NA",[1]!SNLData("287",STAT_KEY,$C10,D$4,$B10)="NM"),0,[1]!SNLData("287",STAT_KEY,$C10,D$4,$B10))</f>
        <v>0</v>
      </c>
      <c r="E10" s="8">
        <f ca="1">IF(OR([1]!SNLData("287",STAT_KEY,$C10,E$4,$B10)="NA",[1]!SNLData("287",STAT_KEY,$C10,E$4,$B10)="NM"),0,[1]!SNLData("287",STAT_KEY,$C10,E$4,$B10))</f>
        <v>0</v>
      </c>
      <c r="F10" s="24" t="str">
        <f t="shared" ca="1" si="0"/>
        <v/>
      </c>
      <c r="G10" s="8">
        <f ca="1">IF(OR([1]!SNLData("287",STAT_KEY,$C10,G$4,$B10)="NA",[1]!SNLData("287",STAT_KEY,$C10,G$4,$B10)="NM"),0,[1]!SNLData("287",STAT_KEY,$C10,G$4,$B10))</f>
        <v>0</v>
      </c>
      <c r="H10" s="24" t="str">
        <f t="shared" ca="1" si="1"/>
        <v/>
      </c>
      <c r="I10" s="8">
        <f ca="1">IF(OR([1]!SNLData("287",STAT_KEY,$C10,I$4,$B10)="NA",[1]!SNLData("287",STAT_KEY,$C10,I$4,$B10)="NM"),0,[1]!SNLData("287",STAT_KEY,$C10,I$4,$B10))</f>
        <v>0</v>
      </c>
      <c r="J10" s="24" t="str">
        <f t="shared" ca="1" si="1"/>
        <v/>
      </c>
      <c r="K10" s="8">
        <f ca="1">IF(OR([1]!SNLData("287",STAT_KEY,$C10,K$4,$B10)="NA",[1]!SNLData("287",STAT_KEY,$C10,K$4,$B10)="NM"),0,[1]!SNLData("287",STAT_KEY,$C10,K$4,$B10))</f>
        <v>0</v>
      </c>
      <c r="L10" s="24" t="str">
        <f t="shared" ca="1" si="1"/>
        <v/>
      </c>
      <c r="M10" s="8">
        <f ca="1">IF(OR([1]!SNLData("287",STAT_KEY,$C10,M$4,$B10)="NA",[1]!SNLData("287",STAT_KEY,$C10,M$4,$B10)="NM"),0,[1]!SNLData("287",STAT_KEY,$C10,M$4,$B10))</f>
        <v>0</v>
      </c>
      <c r="N10" s="24" t="str">
        <f t="shared" ca="1" si="1"/>
        <v/>
      </c>
      <c r="O10" s="35" t="str">
        <f t="shared" ca="1" si="2"/>
        <v/>
      </c>
      <c r="P10" s="35" t="str">
        <f t="shared" ca="1" si="3"/>
        <v/>
      </c>
    </row>
    <row r="11" spans="1:16" x14ac:dyDescent="0.2">
      <c r="B11" s="7">
        <v>5</v>
      </c>
      <c r="C11" s="7">
        <v>119846</v>
      </c>
      <c r="D11" s="8">
        <f ca="1">IF(OR([1]!SNLData("287",STAT_KEY,$C11,D$4,$B11)="NA",[1]!SNLData("287",STAT_KEY,$C11,D$4,$B11)="NM"),0,[1]!SNLData("287",STAT_KEY,$C11,D$4,$B11))</f>
        <v>0</v>
      </c>
      <c r="E11" s="8">
        <f ca="1">IF(OR([1]!SNLData("287",STAT_KEY,$C11,E$4,$B11)="NA",[1]!SNLData("287",STAT_KEY,$C11,E$4,$B11)="NM"),0,[1]!SNLData("287",STAT_KEY,$C11,E$4,$B11))</f>
        <v>0</v>
      </c>
      <c r="F11" s="24" t="str">
        <f t="shared" ca="1" si="0"/>
        <v/>
      </c>
      <c r="G11" s="8">
        <f ca="1">IF(OR([1]!SNLData("287",STAT_KEY,$C11,G$4,$B11)="NA",[1]!SNLData("287",STAT_KEY,$C11,G$4,$B11)="NM"),0,[1]!SNLData("287",STAT_KEY,$C11,G$4,$B11))</f>
        <v>0</v>
      </c>
      <c r="H11" s="24" t="str">
        <f t="shared" ca="1" si="1"/>
        <v/>
      </c>
      <c r="I11" s="8">
        <f ca="1">IF(OR([1]!SNLData("287",STAT_KEY,$C11,I$4,$B11)="NA",[1]!SNLData("287",STAT_KEY,$C11,I$4,$B11)="NM"),0,[1]!SNLData("287",STAT_KEY,$C11,I$4,$B11))</f>
        <v>0</v>
      </c>
      <c r="J11" s="24" t="str">
        <f t="shared" ca="1" si="1"/>
        <v/>
      </c>
      <c r="K11" s="8">
        <f ca="1">IF(OR([1]!SNLData("287",STAT_KEY,$C11,K$4,$B11)="NA",[1]!SNLData("287",STAT_KEY,$C11,K$4,$B11)="NM"),0,[1]!SNLData("287",STAT_KEY,$C11,K$4,$B11))</f>
        <v>0</v>
      </c>
      <c r="L11" s="24" t="str">
        <f t="shared" ca="1" si="1"/>
        <v/>
      </c>
      <c r="M11" s="8">
        <f ca="1">IF(OR([1]!SNLData("287",STAT_KEY,$C11,M$4,$B11)="NA",[1]!SNLData("287",STAT_KEY,$C11,M$4,$B11)="NM"),0,[1]!SNLData("287",STAT_KEY,$C11,M$4,$B11))</f>
        <v>0</v>
      </c>
      <c r="N11" s="24" t="str">
        <f t="shared" ca="1" si="1"/>
        <v/>
      </c>
      <c r="O11" s="35" t="str">
        <f t="shared" ca="1" si="2"/>
        <v/>
      </c>
      <c r="P11" s="35" t="str">
        <f t="shared" ca="1" si="3"/>
        <v/>
      </c>
    </row>
    <row r="12" spans="1:16" x14ac:dyDescent="0.2">
      <c r="B12" s="42" t="s">
        <v>51</v>
      </c>
      <c r="D12" s="8">
        <f ca="1">SUM(D6:D8)</f>
        <v>3645835.89</v>
      </c>
      <c r="E12" s="8">
        <f ca="1">SUM(E6:E8)</f>
        <v>4524672.66</v>
      </c>
      <c r="F12" s="24">
        <f t="shared" ca="1" si="0"/>
        <v>0.24105220216042134</v>
      </c>
      <c r="G12" s="8">
        <f t="shared" ref="G12:M12" ca="1" si="4">SUM(G6:G8)</f>
        <v>5592718.0691999998</v>
      </c>
      <c r="H12" s="24">
        <f t="shared" ca="1" si="1"/>
        <v>0.23604921050797056</v>
      </c>
      <c r="I12" s="8">
        <f t="shared" ca="1" si="4"/>
        <v>5850148.8448999999</v>
      </c>
      <c r="J12" s="24">
        <f t="shared" ca="1" si="1"/>
        <v>4.6029635771864363E-2</v>
      </c>
      <c r="K12" s="8">
        <f t="shared" ca="1" si="4"/>
        <v>4823345.0090000005</v>
      </c>
      <c r="L12" s="24">
        <f t="shared" ca="1" si="1"/>
        <v>-0.17551755743704522</v>
      </c>
      <c r="M12" s="8">
        <f t="shared" ca="1" si="4"/>
        <v>4039807.2336500003</v>
      </c>
      <c r="N12" s="24">
        <f t="shared" ca="1" si="1"/>
        <v>-0.16244696862612507</v>
      </c>
      <c r="O12" s="35">
        <f t="shared" ca="1" si="2"/>
        <v>-0.10716033242280998</v>
      </c>
      <c r="P12" s="35">
        <f t="shared" ca="1" si="3"/>
        <v>-2.2414625761857154E-2</v>
      </c>
    </row>
    <row r="13" spans="1:16" x14ac:dyDescent="0.2">
      <c r="B13" s="28" t="s">
        <v>52</v>
      </c>
      <c r="D13" s="31">
        <f ca="1">SUM(D9:D11)</f>
        <v>0</v>
      </c>
      <c r="E13" s="31">
        <f ca="1">SUM(E9:E11)</f>
        <v>0</v>
      </c>
      <c r="F13" s="24" t="str">
        <f t="shared" ca="1" si="0"/>
        <v/>
      </c>
      <c r="G13" s="31">
        <f t="shared" ref="G13:M13" ca="1" si="5">SUM(G9:G11)</f>
        <v>0</v>
      </c>
      <c r="H13" s="24" t="str">
        <f t="shared" ca="1" si="1"/>
        <v/>
      </c>
      <c r="I13" s="31">
        <f t="shared" ca="1" si="5"/>
        <v>0</v>
      </c>
      <c r="J13" s="24" t="str">
        <f t="shared" ca="1" si="1"/>
        <v/>
      </c>
      <c r="K13" s="31">
        <f t="shared" ca="1" si="5"/>
        <v>0</v>
      </c>
      <c r="L13" s="24" t="str">
        <f t="shared" ca="1" si="1"/>
        <v/>
      </c>
      <c r="M13" s="31">
        <f t="shared" ca="1" si="5"/>
        <v>0</v>
      </c>
      <c r="N13" s="24" t="str">
        <f t="shared" ca="1" si="1"/>
        <v/>
      </c>
      <c r="O13" s="35" t="str">
        <f t="shared" ca="1" si="2"/>
        <v/>
      </c>
      <c r="P13" s="35" t="str">
        <f t="shared" ca="1" si="3"/>
        <v/>
      </c>
    </row>
    <row r="14" spans="1:16" x14ac:dyDescent="0.2">
      <c r="B14" s="7" t="s">
        <v>4</v>
      </c>
      <c r="C14" s="7">
        <v>119846</v>
      </c>
      <c r="D14" s="8">
        <f ca="1">IF(OR([1]!SNLData("287",STAT_KEY,$C14,D$4,$B14)="NA",[1]!SNLData("287",STAT_KEY,$C14,D$4,$B14)="NM"),0,[1]!SNLData("287",STAT_KEY,$C14,D$4,$B14))</f>
        <v>3645835.89</v>
      </c>
      <c r="E14" s="8">
        <f ca="1">IF(OR([1]!SNLData("287",STAT_KEY,$C14,E$4,$B14)="NA",[1]!SNLData("287",STAT_KEY,$C14,E$4,$B14)="NM"),0,[1]!SNLData("287",STAT_KEY,$C14,E$4,$B14))</f>
        <v>4524672.66</v>
      </c>
      <c r="F14" s="24">
        <f t="shared" ca="1" si="0"/>
        <v>0.24105220216042134</v>
      </c>
      <c r="G14" s="8">
        <f ca="1">IF(OR([1]!SNLData("287",STAT_KEY,$C14,G$4,$B14)="NA",[1]!SNLData("287",STAT_KEY,$C14,G$4,$B14)="NM"),0,[1]!SNLData("287",STAT_KEY,$C14,G$4,$B14))</f>
        <v>5592718.0691999998</v>
      </c>
      <c r="H14" s="24">
        <f t="shared" ca="1" si="1"/>
        <v>0.23604921050797056</v>
      </c>
      <c r="I14" s="8">
        <f ca="1">IF(OR([1]!SNLData("287",STAT_KEY,$C14,I$4,$B14)="NA",[1]!SNLData("287",STAT_KEY,$C14,I$4,$B14)="NM"),0,[1]!SNLData("287",STAT_KEY,$C14,I$4,$B14))</f>
        <v>5850148.8448999999</v>
      </c>
      <c r="J14" s="24">
        <f t="shared" ca="1" si="1"/>
        <v>4.6029635771864363E-2</v>
      </c>
      <c r="K14" s="8">
        <f ca="1">IF(OR([1]!SNLData("287",STAT_KEY,$C14,K$4,$B14)="NA",[1]!SNLData("287",STAT_KEY,$C14,K$4,$B14)="NM"),0,[1]!SNLData("287",STAT_KEY,$C14,K$4,$B14))</f>
        <v>4823345.0090000005</v>
      </c>
      <c r="L14" s="24">
        <f t="shared" ca="1" si="1"/>
        <v>-0.17551755743704522</v>
      </c>
      <c r="M14" s="8">
        <f ca="1">IF(OR([1]!SNLData("287",STAT_KEY,$C14,M$4,$B14)="NA",[1]!SNLData("287",STAT_KEY,$C14,M$4,$B14)="NM"),0,[1]!SNLData("287",STAT_KEY,$C14,M$4,$B14))</f>
        <v>4039807.2336500003</v>
      </c>
      <c r="N14" s="24">
        <f t="shared" ca="1" si="1"/>
        <v>-0.16244696862612507</v>
      </c>
      <c r="O14" s="35">
        <f t="shared" ca="1" si="2"/>
        <v>-0.10716033242280998</v>
      </c>
      <c r="P14" s="35">
        <f t="shared" ca="1" si="3"/>
        <v>-2.2414625761857154E-2</v>
      </c>
    </row>
    <row r="15" spans="1:16" x14ac:dyDescent="0.2">
      <c r="A15" s="28" t="s">
        <v>113</v>
      </c>
      <c r="E15" s="7" t="str">
        <f ca="1">[1]!SNLData("287",STAT_KEY,$C15,E$4,$B15)</f>
        <v/>
      </c>
      <c r="G15" s="7" t="str">
        <f ca="1">[1]!SNLData("287",STAT_KEY,$C15,G$4,$B15)</f>
        <v/>
      </c>
      <c r="I15" s="7" t="str">
        <f ca="1">[1]!SNLData("287",STAT_KEY,$C15,I$4,$B15)</f>
        <v/>
      </c>
      <c r="K15" s="7" t="str">
        <f ca="1">[1]!SNLData("287",STAT_KEY,$C15,K$4,$B15)</f>
        <v/>
      </c>
      <c r="M15" s="7" t="str">
        <f ca="1">[1]!SNLData("287",STAT_KEY,$C15,M$4,$B15)</f>
        <v/>
      </c>
    </row>
    <row r="16" spans="1:16" x14ac:dyDescent="0.2">
      <c r="B16" s="7">
        <v>0</v>
      </c>
      <c r="C16" s="7">
        <v>119855</v>
      </c>
      <c r="D16" s="8">
        <f ca="1">IF(OR([1]!SNLData("287",STAT_KEY,$C16,D$4,$B16)="NA",[1]!SNLData("287",STAT_KEY,$C16,D$4,$B16)="NM"),0,[1]!SNLData("287",STAT_KEY,$C16,D$4,$B16))</f>
        <v>515389.53399999999</v>
      </c>
      <c r="E16" s="8">
        <f ca="1">IF(OR([1]!SNLData("287",STAT_KEY,$C16,E$4,$B16)="NA",[1]!SNLData("287",STAT_KEY,$C16,E$4,$B16)="NM"),0,[1]!SNLData("287",STAT_KEY,$C16,E$4,$B16))</f>
        <v>643527.05500000005</v>
      </c>
      <c r="F16" s="24">
        <f ca="1">IFERROR((E16/D16)-1,"")</f>
        <v>0.24862266799542754</v>
      </c>
      <c r="G16" s="8">
        <f ca="1">IF(OR([1]!SNLData("287",STAT_KEY,$C16,G$4,$B16)="NA",[1]!SNLData("287",STAT_KEY,$C16,G$4,$B16)="NM"),0,[1]!SNLData("287",STAT_KEY,$C16,G$4,$B16))</f>
        <v>689454.05299999996</v>
      </c>
      <c r="H16" s="24">
        <f ca="1">IFERROR((G16/E16)-1,"")</f>
        <v>7.1367625716994842E-2</v>
      </c>
      <c r="I16" s="8">
        <f ca="1">IF(OR([1]!SNLData("287",STAT_KEY,$C16,I$4,$B16)="NA",[1]!SNLData("287",STAT_KEY,$C16,I$4,$B16)="NM"),0,[1]!SNLData("287",STAT_KEY,$C16,I$4,$B16))</f>
        <v>720210.48100000003</v>
      </c>
      <c r="J16" s="24">
        <f ca="1">IFERROR((I16/G16)-1,"")</f>
        <v>4.4609829859104666E-2</v>
      </c>
      <c r="K16" s="8">
        <f ca="1">IF(OR([1]!SNLData("287",STAT_KEY,$C16,K$4,$B16)="NA",[1]!SNLData("287",STAT_KEY,$C16,K$4,$B16)="NM"),0,[1]!SNLData("287",STAT_KEY,$C16,K$4,$B16))</f>
        <v>507601.05200000003</v>
      </c>
      <c r="L16" s="24">
        <f ca="1">IFERROR((K16/I16)-1,"")</f>
        <v>-0.29520457506366116</v>
      </c>
      <c r="M16" s="8">
        <f ca="1">IF(OR([1]!SNLData("287",STAT_KEY,$C16,M$4,$B16)="NA",[1]!SNLData("287",STAT_KEY,$C16,M$4,$B16)="NM"),0,[1]!SNLData("287",STAT_KEY,$C16,M$4,$B16))</f>
        <v>470680.67</v>
      </c>
      <c r="N16" s="24">
        <f ca="1">IFERROR((M16/K16)-1,"")</f>
        <v>-7.2735038382071848E-2</v>
      </c>
      <c r="O16" s="35">
        <f ca="1">IFERROR((M16/E16)-1,"")</f>
        <v>-0.26859225833170297</v>
      </c>
      <c r="P16" s="35">
        <f t="shared" ref="P16:P24" ca="1" si="6">IF(OR(O16="",ISBLANK(O16)),"",(1+O16)^(1/5)-1)</f>
        <v>-6.0640329765271783E-2</v>
      </c>
    </row>
    <row r="17" spans="1:16" x14ac:dyDescent="0.2">
      <c r="B17" s="7">
        <v>1</v>
      </c>
      <c r="C17" s="7">
        <v>119855</v>
      </c>
      <c r="D17" s="8">
        <f ca="1">IF(OR([1]!SNLData("287",STAT_KEY,$C17,D$4,$B17)="NA",[1]!SNLData("287",STAT_KEY,$C17,D$4,$B17)="NM"),0,[1]!SNLData("287",STAT_KEY,$C17,D$4,$B17))</f>
        <v>0</v>
      </c>
      <c r="E17" s="8">
        <f ca="1">IF(OR([1]!SNLData("287",STAT_KEY,$C17,E$4,$B17)="NA",[1]!SNLData("287",STAT_KEY,$C17,E$4,$B17)="NM"),0,[1]!SNLData("287",STAT_KEY,$C17,E$4,$B17))</f>
        <v>0</v>
      </c>
      <c r="F17" s="24" t="str">
        <f t="shared" ref="F17:F24" ca="1" si="7">IFERROR((E17/D17)-1,"")</f>
        <v/>
      </c>
      <c r="G17" s="8">
        <f ca="1">IF(OR([1]!SNLData("287",STAT_KEY,$C17,G$4,$B17)="NA",[1]!SNLData("287",STAT_KEY,$C17,G$4,$B17)="NM"),0,[1]!SNLData("287",STAT_KEY,$C17,G$4,$B17))</f>
        <v>0</v>
      </c>
      <c r="H17" s="24" t="str">
        <f t="shared" ref="H17:H24" ca="1" si="8">IFERROR((G17/E17)-1,"")</f>
        <v/>
      </c>
      <c r="I17" s="8">
        <f ca="1">IF(OR([1]!SNLData("287",STAT_KEY,$C17,I$4,$B17)="NA",[1]!SNLData("287",STAT_KEY,$C17,I$4,$B17)="NM"),0,[1]!SNLData("287",STAT_KEY,$C17,I$4,$B17))</f>
        <v>0</v>
      </c>
      <c r="J17" s="24" t="str">
        <f t="shared" ref="J17:J24" ca="1" si="9">IFERROR((I17/G17)-1,"")</f>
        <v/>
      </c>
      <c r="K17" s="8">
        <f ca="1">IF(OR([1]!SNLData("287",STAT_KEY,$C17,K$4,$B17)="NA",[1]!SNLData("287",STAT_KEY,$C17,K$4,$B17)="NM"),0,[1]!SNLData("287",STAT_KEY,$C17,K$4,$B17))</f>
        <v>0</v>
      </c>
      <c r="L17" s="24" t="str">
        <f t="shared" ref="L17:L24" ca="1" si="10">IFERROR((K17/I17)-1,"")</f>
        <v/>
      </c>
      <c r="M17" s="8">
        <f ca="1">IF(OR([1]!SNLData("287",STAT_KEY,$C17,M$4,$B17)="NA",[1]!SNLData("287",STAT_KEY,$C17,M$4,$B17)="NM"),0,[1]!SNLData("287",STAT_KEY,$C17,M$4,$B17))</f>
        <v>0</v>
      </c>
      <c r="N17" s="24" t="str">
        <f t="shared" ref="N17:N24" ca="1" si="11">IFERROR((M17/K17)-1,"")</f>
        <v/>
      </c>
      <c r="O17" s="35" t="str">
        <f t="shared" ref="O17:O24" ca="1" si="12">IFERROR((M17/E17)-1,"")</f>
        <v/>
      </c>
      <c r="P17" s="35" t="str">
        <f t="shared" ca="1" si="6"/>
        <v/>
      </c>
    </row>
    <row r="18" spans="1:16" x14ac:dyDescent="0.2">
      <c r="B18" s="7">
        <v>2</v>
      </c>
      <c r="C18" s="7">
        <v>119855</v>
      </c>
      <c r="D18" s="8">
        <f ca="1">IF(OR([1]!SNLData("287",STAT_KEY,$C18,D$4,$B18)="NA",[1]!SNLData("287",STAT_KEY,$C18,D$4,$B18)="NM"),0,[1]!SNLData("287",STAT_KEY,$C18,D$4,$B18))</f>
        <v>0</v>
      </c>
      <c r="E18" s="8">
        <f ca="1">IF(OR([1]!SNLData("287",STAT_KEY,$C18,E$4,$B18)="NA",[1]!SNLData("287",STAT_KEY,$C18,E$4,$B18)="NM"),0,[1]!SNLData("287",STAT_KEY,$C18,E$4,$B18))</f>
        <v>0</v>
      </c>
      <c r="F18" s="24" t="str">
        <f t="shared" ca="1" si="7"/>
        <v/>
      </c>
      <c r="G18" s="8">
        <f ca="1">IF(OR([1]!SNLData("287",STAT_KEY,$C18,G$4,$B18)="NA",[1]!SNLData("287",STAT_KEY,$C18,G$4,$B18)="NM"),0,[1]!SNLData("287",STAT_KEY,$C18,G$4,$B18))</f>
        <v>0</v>
      </c>
      <c r="H18" s="24" t="str">
        <f t="shared" ca="1" si="8"/>
        <v/>
      </c>
      <c r="I18" s="8">
        <f ca="1">IF(OR([1]!SNLData("287",STAT_KEY,$C18,I$4,$B18)="NA",[1]!SNLData("287",STAT_KEY,$C18,I$4,$B18)="NM"),0,[1]!SNLData("287",STAT_KEY,$C18,I$4,$B18))</f>
        <v>0</v>
      </c>
      <c r="J18" s="24" t="str">
        <f t="shared" ca="1" si="9"/>
        <v/>
      </c>
      <c r="K18" s="8">
        <f ca="1">IF(OR([1]!SNLData("287",STAT_KEY,$C18,K$4,$B18)="NA",[1]!SNLData("287",STAT_KEY,$C18,K$4,$B18)="NM"),0,[1]!SNLData("287",STAT_KEY,$C18,K$4,$B18))</f>
        <v>0</v>
      </c>
      <c r="L18" s="24" t="str">
        <f t="shared" ca="1" si="10"/>
        <v/>
      </c>
      <c r="M18" s="8">
        <f ca="1">IF(OR([1]!SNLData("287",STAT_KEY,$C18,M$4,$B18)="NA",[1]!SNLData("287",STAT_KEY,$C18,M$4,$B18)="NM"),0,[1]!SNLData("287",STAT_KEY,$C18,M$4,$B18))</f>
        <v>0</v>
      </c>
      <c r="N18" s="24" t="str">
        <f t="shared" ca="1" si="11"/>
        <v/>
      </c>
      <c r="O18" s="35" t="str">
        <f t="shared" ca="1" si="12"/>
        <v/>
      </c>
      <c r="P18" s="35" t="str">
        <f t="shared" ca="1" si="6"/>
        <v/>
      </c>
    </row>
    <row r="19" spans="1:16" x14ac:dyDescent="0.2">
      <c r="B19" s="7">
        <v>3</v>
      </c>
      <c r="C19" s="7">
        <v>119855</v>
      </c>
      <c r="D19" s="8">
        <f ca="1">IF(OR([1]!SNLData("287",STAT_KEY,$C19,D$4,$B19)="NA",[1]!SNLData("287",STAT_KEY,$C19,D$4,$B19)="NM"),0,[1]!SNLData("287",STAT_KEY,$C19,D$4,$B19))</f>
        <v>0</v>
      </c>
      <c r="E19" s="8">
        <f ca="1">IF(OR([1]!SNLData("287",STAT_KEY,$C19,E$4,$B19)="NA",[1]!SNLData("287",STAT_KEY,$C19,E$4,$B19)="NM"),0,[1]!SNLData("287",STAT_KEY,$C19,E$4,$B19))</f>
        <v>0</v>
      </c>
      <c r="F19" s="24" t="str">
        <f t="shared" ca="1" si="7"/>
        <v/>
      </c>
      <c r="G19" s="8">
        <f ca="1">IF(OR([1]!SNLData("287",STAT_KEY,$C19,G$4,$B19)="NA",[1]!SNLData("287",STAT_KEY,$C19,G$4,$B19)="NM"),0,[1]!SNLData("287",STAT_KEY,$C19,G$4,$B19))</f>
        <v>0</v>
      </c>
      <c r="H19" s="24" t="str">
        <f t="shared" ca="1" si="8"/>
        <v/>
      </c>
      <c r="I19" s="8">
        <f ca="1">IF(OR([1]!SNLData("287",STAT_KEY,$C19,I$4,$B19)="NA",[1]!SNLData("287",STAT_KEY,$C19,I$4,$B19)="NM"),0,[1]!SNLData("287",STAT_KEY,$C19,I$4,$B19))</f>
        <v>0</v>
      </c>
      <c r="J19" s="24" t="str">
        <f t="shared" ca="1" si="9"/>
        <v/>
      </c>
      <c r="K19" s="8">
        <f ca="1">IF(OR([1]!SNLData("287",STAT_KEY,$C19,K$4,$B19)="NA",[1]!SNLData("287",STAT_KEY,$C19,K$4,$B19)="NM"),0,[1]!SNLData("287",STAT_KEY,$C19,K$4,$B19))</f>
        <v>18586</v>
      </c>
      <c r="L19" s="24" t="str">
        <f t="shared" ca="1" si="10"/>
        <v/>
      </c>
      <c r="M19" s="8">
        <f ca="1">IF(OR([1]!SNLData("287",STAT_KEY,$C19,M$4,$B19)="NA",[1]!SNLData("287",STAT_KEY,$C19,M$4,$B19)="NM"),0,[1]!SNLData("287",STAT_KEY,$C19,M$4,$B19))</f>
        <v>0</v>
      </c>
      <c r="N19" s="24">
        <f t="shared" ca="1" si="11"/>
        <v>-1</v>
      </c>
      <c r="O19" s="35" t="str">
        <f t="shared" ca="1" si="12"/>
        <v/>
      </c>
      <c r="P19" s="35" t="str">
        <f t="shared" ca="1" si="6"/>
        <v/>
      </c>
    </row>
    <row r="20" spans="1:16" x14ac:dyDescent="0.2">
      <c r="B20" s="7">
        <v>4</v>
      </c>
      <c r="C20" s="7">
        <v>119855</v>
      </c>
      <c r="D20" s="8">
        <f ca="1">IF(OR([1]!SNLData("287",STAT_KEY,$C20,D$4,$B20)="NA",[1]!SNLData("287",STAT_KEY,$C20,D$4,$B20)="NM"),0,[1]!SNLData("287",STAT_KEY,$C20,D$4,$B20))</f>
        <v>0</v>
      </c>
      <c r="E20" s="8">
        <f ca="1">IF(OR([1]!SNLData("287",STAT_KEY,$C20,E$4,$B20)="NA",[1]!SNLData("287",STAT_KEY,$C20,E$4,$B20)="NM"),0,[1]!SNLData("287",STAT_KEY,$C20,E$4,$B20))</f>
        <v>0</v>
      </c>
      <c r="F20" s="24" t="str">
        <f t="shared" ca="1" si="7"/>
        <v/>
      </c>
      <c r="G20" s="8">
        <f ca="1">IF(OR([1]!SNLData("287",STAT_KEY,$C20,G$4,$B20)="NA",[1]!SNLData("287",STAT_KEY,$C20,G$4,$B20)="NM"),0,[1]!SNLData("287",STAT_KEY,$C20,G$4,$B20))</f>
        <v>0</v>
      </c>
      <c r="H20" s="24" t="str">
        <f t="shared" ca="1" si="8"/>
        <v/>
      </c>
      <c r="I20" s="8">
        <f ca="1">IF(OR([1]!SNLData("287",STAT_KEY,$C20,I$4,$B20)="NA",[1]!SNLData("287",STAT_KEY,$C20,I$4,$B20)="NM"),0,[1]!SNLData("287",STAT_KEY,$C20,I$4,$B20))</f>
        <v>0</v>
      </c>
      <c r="J20" s="24" t="str">
        <f t="shared" ca="1" si="9"/>
        <v/>
      </c>
      <c r="K20" s="8">
        <f ca="1">IF(OR([1]!SNLData("287",STAT_KEY,$C20,K$4,$B20)="NA",[1]!SNLData("287",STAT_KEY,$C20,K$4,$B20)="NM"),0,[1]!SNLData("287",STAT_KEY,$C20,K$4,$B20))</f>
        <v>0</v>
      </c>
      <c r="L20" s="24" t="str">
        <f t="shared" ca="1" si="10"/>
        <v/>
      </c>
      <c r="M20" s="8">
        <f ca="1">IF(OR([1]!SNLData("287",STAT_KEY,$C20,M$4,$B20)="NA",[1]!SNLData("287",STAT_KEY,$C20,M$4,$B20)="NM"),0,[1]!SNLData("287",STAT_KEY,$C20,M$4,$B20))</f>
        <v>0</v>
      </c>
      <c r="N20" s="24" t="str">
        <f t="shared" ca="1" si="11"/>
        <v/>
      </c>
      <c r="O20" s="35" t="str">
        <f t="shared" ca="1" si="12"/>
        <v/>
      </c>
      <c r="P20" s="35" t="str">
        <f t="shared" ca="1" si="6"/>
        <v/>
      </c>
    </row>
    <row r="21" spans="1:16" x14ac:dyDescent="0.2">
      <c r="B21" s="7">
        <v>5</v>
      </c>
      <c r="C21" s="7">
        <v>119855</v>
      </c>
      <c r="D21" s="8">
        <f ca="1">IF(OR([1]!SNLData("287",STAT_KEY,$C21,D$4,$B21)="NA",[1]!SNLData("287",STAT_KEY,$C21,D$4,$B21)="NM"),0,[1]!SNLData("287",STAT_KEY,$C21,D$4,$B21))</f>
        <v>0</v>
      </c>
      <c r="E21" s="8">
        <f ca="1">IF(OR([1]!SNLData("287",STAT_KEY,$C21,E$4,$B21)="NA",[1]!SNLData("287",STAT_KEY,$C21,E$4,$B21)="NM"),0,[1]!SNLData("287",STAT_KEY,$C21,E$4,$B21))</f>
        <v>0</v>
      </c>
      <c r="F21" s="24" t="str">
        <f t="shared" ca="1" si="7"/>
        <v/>
      </c>
      <c r="G21" s="8">
        <f ca="1">IF(OR([1]!SNLData("287",STAT_KEY,$C21,G$4,$B21)="NA",[1]!SNLData("287",STAT_KEY,$C21,G$4,$B21)="NM"),0,[1]!SNLData("287",STAT_KEY,$C21,G$4,$B21))</f>
        <v>0</v>
      </c>
      <c r="H21" s="24" t="str">
        <f t="shared" ca="1" si="8"/>
        <v/>
      </c>
      <c r="I21" s="8">
        <f ca="1">IF(OR([1]!SNLData("287",STAT_KEY,$C21,I$4,$B21)="NA",[1]!SNLData("287",STAT_KEY,$C21,I$4,$B21)="NM"),0,[1]!SNLData("287",STAT_KEY,$C21,I$4,$B21))</f>
        <v>0</v>
      </c>
      <c r="J21" s="24" t="str">
        <f t="shared" ca="1" si="9"/>
        <v/>
      </c>
      <c r="K21" s="8">
        <f ca="1">IF(OR([1]!SNLData("287",STAT_KEY,$C21,K$4,$B21)="NA",[1]!SNLData("287",STAT_KEY,$C21,K$4,$B21)="NM"),0,[1]!SNLData("287",STAT_KEY,$C21,K$4,$B21))</f>
        <v>0</v>
      </c>
      <c r="L21" s="24" t="str">
        <f t="shared" ca="1" si="10"/>
        <v/>
      </c>
      <c r="M21" s="8">
        <f ca="1">IF(OR([1]!SNLData("287",STAT_KEY,$C21,M$4,$B21)="NA",[1]!SNLData("287",STAT_KEY,$C21,M$4,$B21)="NM"),0,[1]!SNLData("287",STAT_KEY,$C21,M$4,$B21))</f>
        <v>0</v>
      </c>
      <c r="N21" s="24" t="str">
        <f t="shared" ca="1" si="11"/>
        <v/>
      </c>
      <c r="O21" s="35" t="str">
        <f t="shared" ca="1" si="12"/>
        <v/>
      </c>
      <c r="P21" s="35" t="str">
        <f t="shared" ca="1" si="6"/>
        <v/>
      </c>
    </row>
    <row r="22" spans="1:16" x14ac:dyDescent="0.2">
      <c r="B22" s="28" t="s">
        <v>51</v>
      </c>
      <c r="D22" s="8">
        <f ca="1">SUM(D16:D18)</f>
        <v>515389.53399999999</v>
      </c>
      <c r="E22" s="8">
        <f ca="1">SUM(E16:E18)</f>
        <v>643527.05500000005</v>
      </c>
      <c r="F22" s="24">
        <f t="shared" ca="1" si="7"/>
        <v>0.24862266799542754</v>
      </c>
      <c r="G22" s="8">
        <f ca="1">SUM(G16:G18)</f>
        <v>689454.05299999996</v>
      </c>
      <c r="H22" s="24">
        <f t="shared" ca="1" si="8"/>
        <v>7.1367625716994842E-2</v>
      </c>
      <c r="I22" s="8">
        <f ca="1">SUM(I16:I18)</f>
        <v>720210.48100000003</v>
      </c>
      <c r="J22" s="24">
        <f t="shared" ca="1" si="9"/>
        <v>4.4609829859104666E-2</v>
      </c>
      <c r="K22" s="8">
        <f ca="1">SUM(K16:K18)</f>
        <v>507601.05200000003</v>
      </c>
      <c r="L22" s="24">
        <f t="shared" ca="1" si="10"/>
        <v>-0.29520457506366116</v>
      </c>
      <c r="M22" s="8">
        <f ca="1">SUM(M16:M18)</f>
        <v>470680.67</v>
      </c>
      <c r="N22" s="24">
        <f t="shared" ca="1" si="11"/>
        <v>-7.2735038382071848E-2</v>
      </c>
      <c r="O22" s="35">
        <f t="shared" ca="1" si="12"/>
        <v>-0.26859225833170297</v>
      </c>
      <c r="P22" s="35">
        <f t="shared" ca="1" si="6"/>
        <v>-6.0640329765271783E-2</v>
      </c>
    </row>
    <row r="23" spans="1:16" x14ac:dyDescent="0.2">
      <c r="B23" s="28" t="s">
        <v>52</v>
      </c>
      <c r="D23" s="31">
        <f ca="1">SUM(D19:D21)</f>
        <v>0</v>
      </c>
      <c r="E23" s="31">
        <f ca="1">SUM(E19:E21)</f>
        <v>0</v>
      </c>
      <c r="F23" s="24" t="str">
        <f t="shared" ca="1" si="7"/>
        <v/>
      </c>
      <c r="G23" s="31">
        <f ca="1">SUM(G19:G21)</f>
        <v>0</v>
      </c>
      <c r="H23" s="24" t="str">
        <f t="shared" ca="1" si="8"/>
        <v/>
      </c>
      <c r="I23" s="31">
        <f ca="1">SUM(I19:I21)</f>
        <v>0</v>
      </c>
      <c r="J23" s="24" t="str">
        <f t="shared" ca="1" si="9"/>
        <v/>
      </c>
      <c r="K23" s="31">
        <f ca="1">SUM(K19:K21)</f>
        <v>18586</v>
      </c>
      <c r="L23" s="24" t="str">
        <f t="shared" ca="1" si="10"/>
        <v/>
      </c>
      <c r="M23" s="31">
        <f ca="1">SUM(M19:M21)</f>
        <v>0</v>
      </c>
      <c r="N23" s="24">
        <f t="shared" ca="1" si="11"/>
        <v>-1</v>
      </c>
      <c r="O23" s="35" t="str">
        <f t="shared" ca="1" si="12"/>
        <v/>
      </c>
      <c r="P23" s="35" t="str">
        <f t="shared" ca="1" si="6"/>
        <v/>
      </c>
    </row>
    <row r="24" spans="1:16" x14ac:dyDescent="0.2">
      <c r="B24" s="7" t="s">
        <v>9</v>
      </c>
      <c r="C24" s="7">
        <v>119855</v>
      </c>
      <c r="D24" s="8">
        <f ca="1">IF(OR([1]!SNLData("287",STAT_KEY,$C24,D$4,$B24)="NA",[1]!SNLData("287",STAT_KEY,$C24,D$4,$B24)="NM"),0,[1]!SNLData("287",STAT_KEY,$C24,D$4,$B24))</f>
        <v>515389.53399999999</v>
      </c>
      <c r="E24" s="8">
        <f ca="1">IF(OR([1]!SNLData("287",STAT_KEY,$C24,E$4,$B24)="NA",[1]!SNLData("287",STAT_KEY,$C24,E$4,$B24)="NM"),0,[1]!SNLData("287",STAT_KEY,$C24,E$4,$B24))</f>
        <v>643527.05500000005</v>
      </c>
      <c r="F24" s="24">
        <f t="shared" ca="1" si="7"/>
        <v>0.24862266799542754</v>
      </c>
      <c r="G24" s="8">
        <f ca="1">IF(OR([1]!SNLData("287",STAT_KEY,$C24,G$4,$B24)="NA",[1]!SNLData("287",STAT_KEY,$C24,G$4,$B24)="NM"),0,[1]!SNLData("287",STAT_KEY,$C24,G$4,$B24))</f>
        <v>689454.05299999996</v>
      </c>
      <c r="H24" s="24">
        <f t="shared" ca="1" si="8"/>
        <v>7.1367625716994842E-2</v>
      </c>
      <c r="I24" s="8">
        <f ca="1">IF(OR([1]!SNLData("287",STAT_KEY,$C24,I$4,$B24)="NA",[1]!SNLData("287",STAT_KEY,$C24,I$4,$B24)="NM"),0,[1]!SNLData("287",STAT_KEY,$C24,I$4,$B24))</f>
        <v>720210.48100000003</v>
      </c>
      <c r="J24" s="24">
        <f t="shared" ca="1" si="9"/>
        <v>4.4609829859104666E-2</v>
      </c>
      <c r="K24" s="8">
        <f ca="1">IF(OR([1]!SNLData("287",STAT_KEY,$C24,K$4,$B24)="NA",[1]!SNLData("287",STAT_KEY,$C24,K$4,$B24)="NM"),0,[1]!SNLData("287",STAT_KEY,$C24,K$4,$B24))</f>
        <v>526187.05200000003</v>
      </c>
      <c r="L24" s="24">
        <f t="shared" ca="1" si="10"/>
        <v>-0.26939823026541043</v>
      </c>
      <c r="M24" s="8">
        <f ca="1">IF(OR([1]!SNLData("287",STAT_KEY,$C24,M$4,$B24)="NA",[1]!SNLData("287",STAT_KEY,$C24,M$4,$B24)="NM"),0,[1]!SNLData("287",STAT_KEY,$C24,M$4,$B24))</f>
        <v>470680.67</v>
      </c>
      <c r="N24" s="24">
        <f t="shared" ca="1" si="11"/>
        <v>-0.10548792827384135</v>
      </c>
      <c r="O24" s="35">
        <f t="shared" ca="1" si="12"/>
        <v>-0.26859225833170297</v>
      </c>
      <c r="P24" s="35">
        <f t="shared" ca="1" si="6"/>
        <v>-6.0640329765271783E-2</v>
      </c>
    </row>
    <row r="25" spans="1:16" x14ac:dyDescent="0.2">
      <c r="A25" s="7" t="str">
        <f>SUBSTITUTE([1]!SNLLabel("287",C26),": Bonds: Carrying Value ($000)","")</f>
        <v>US St, Poss</v>
      </c>
      <c r="E25" s="7" t="str">
        <f ca="1">[1]!SNLData("287",STAT_KEY,$C25,E$4,$B25)</f>
        <v/>
      </c>
      <c r="G25" s="7" t="str">
        <f ca="1">[1]!SNLData("287",STAT_KEY,$C25,G$4,$B25)</f>
        <v/>
      </c>
      <c r="I25" s="7" t="str">
        <f ca="1">[1]!SNLData("287",STAT_KEY,$C25,I$4,$B25)</f>
        <v/>
      </c>
      <c r="K25" s="7" t="str">
        <f ca="1">[1]!SNLData("287",STAT_KEY,$C25,K$4,$B25)</f>
        <v/>
      </c>
      <c r="M25" s="7" t="str">
        <f ca="1">[1]!SNLData("287",STAT_KEY,$C25,M$4,$B25)</f>
        <v/>
      </c>
    </row>
    <row r="26" spans="1:16" x14ac:dyDescent="0.2">
      <c r="B26" s="7">
        <v>0</v>
      </c>
      <c r="C26" s="7">
        <v>119864</v>
      </c>
      <c r="D26" s="8">
        <f ca="1">IF(OR([1]!SNLData("287",STAT_KEY,$C26,D$4,$B26)="NA",[1]!SNLData("287",STAT_KEY,$C26,D$4,$B26)="NM"),0,[1]!SNLData("287",STAT_KEY,$C26,D$4,$B26))</f>
        <v>79642.464999999997</v>
      </c>
      <c r="E26" s="8">
        <f ca="1">IF(OR([1]!SNLData("287",STAT_KEY,$C26,E$4,$B26)="NA",[1]!SNLData("287",STAT_KEY,$C26,E$4,$B26)="NM"),0,[1]!SNLData("287",STAT_KEY,$C26,E$4,$B26))</f>
        <v>123159.193</v>
      </c>
      <c r="F26" s="24">
        <f ca="1">IFERROR((E26/D26)-1,"")</f>
        <v>0.5464010688267873</v>
      </c>
      <c r="G26" s="8">
        <f ca="1">IF(OR([1]!SNLData("287",STAT_KEY,$C26,G$4,$B26)="NA",[1]!SNLData("287",STAT_KEY,$C26,G$4,$B26)="NM"),0,[1]!SNLData("287",STAT_KEY,$C26,G$4,$B26))</f>
        <v>116713.598</v>
      </c>
      <c r="H26" s="24">
        <f ca="1">IFERROR((G26/E26)-1,"")</f>
        <v>-5.233547608581679E-2</v>
      </c>
      <c r="I26" s="8">
        <f ca="1">IF(OR([1]!SNLData("287",STAT_KEY,$C26,I$4,$B26)="NA",[1]!SNLData("287",STAT_KEY,$C26,I$4,$B26)="NM"),0,[1]!SNLData("287",STAT_KEY,$C26,I$4,$B26))</f>
        <v>113891.837</v>
      </c>
      <c r="J26" s="24">
        <f ca="1">IFERROR((I26/G26)-1,"")</f>
        <v>-2.4176797291434737E-2</v>
      </c>
      <c r="K26" s="8">
        <f ca="1">IF(OR([1]!SNLData("287",STAT_KEY,$C26,K$4,$B26)="NA",[1]!SNLData("287",STAT_KEY,$C26,K$4,$B26)="NM"),0,[1]!SNLData("287",STAT_KEY,$C26,K$4,$B26))</f>
        <v>319041.52</v>
      </c>
      <c r="L26" s="24">
        <f ca="1">IFERROR((K26/I26)-1,"")</f>
        <v>1.8012676624049888</v>
      </c>
      <c r="M26" s="8">
        <f ca="1">IF(OR([1]!SNLData("287",STAT_KEY,$C26,M$4,$B26)="NA",[1]!SNLData("287",STAT_KEY,$C26,M$4,$B26)="NM"),0,[1]!SNLData("287",STAT_KEY,$C26,M$4,$B26))</f>
        <v>424988.79000000004</v>
      </c>
      <c r="N26" s="24">
        <f ca="1">IFERROR((M26/K26)-1,"")</f>
        <v>0.33207988101360608</v>
      </c>
      <c r="O26" s="35">
        <f ca="1">IFERROR((M26/E26)-1,"")</f>
        <v>2.4507273038075206</v>
      </c>
      <c r="P26" s="35">
        <f t="shared" ref="P26:P89" ca="1" si="13">IF(OR(O26="",ISBLANK(O26)),"",(1+O26)^(1/5)-1)</f>
        <v>0.28109733585846164</v>
      </c>
    </row>
    <row r="27" spans="1:16" x14ac:dyDescent="0.2">
      <c r="B27" s="7">
        <v>1</v>
      </c>
      <c r="C27" s="7">
        <v>119864</v>
      </c>
      <c r="D27" s="8">
        <f ca="1">IF(OR([1]!SNLData("287",STAT_KEY,$C27,D$4,$B27)="NA",[1]!SNLData("287",STAT_KEY,$C27,D$4,$B27)="NM"),0,[1]!SNLData("287",STAT_KEY,$C27,D$4,$B27))</f>
        <v>452.96600000000001</v>
      </c>
      <c r="E27" s="8">
        <f ca="1">IF(OR([1]!SNLData("287",STAT_KEY,$C27,E$4,$B27)="NA",[1]!SNLData("287",STAT_KEY,$C27,E$4,$B27)="NM"),0,[1]!SNLData("287",STAT_KEY,$C27,E$4,$B27))</f>
        <v>1028.1600000000001</v>
      </c>
      <c r="F27" s="24">
        <f t="shared" ref="F27:F34" ca="1" si="14">IFERROR((E27/D27)-1,"")</f>
        <v>1.2698392373820555</v>
      </c>
      <c r="G27" s="8">
        <f ca="1">IF(OR([1]!SNLData("287",STAT_KEY,$C27,G$4,$B27)="NA",[1]!SNLData("287",STAT_KEY,$C27,G$4,$B27)="NM"),0,[1]!SNLData("287",STAT_KEY,$C27,G$4,$B27))</f>
        <v>1022.8670000000001</v>
      </c>
      <c r="H27" s="24">
        <f t="shared" ref="H27:H34" ca="1" si="15">IFERROR((G27/E27)-1,"")</f>
        <v>-5.1480314347961409E-3</v>
      </c>
      <c r="I27" s="8">
        <f ca="1">IF(OR([1]!SNLData("287",STAT_KEY,$C27,I$4,$B27)="NA",[1]!SNLData("287",STAT_KEY,$C27,I$4,$B27)="NM"),0,[1]!SNLData("287",STAT_KEY,$C27,I$4,$B27))</f>
        <v>1017.487</v>
      </c>
      <c r="J27" s="24">
        <f t="shared" ref="J27:J34" ca="1" si="16">IFERROR((I27/G27)-1,"")</f>
        <v>-5.259725849010799E-3</v>
      </c>
      <c r="K27" s="8">
        <f ca="1">IF(OR([1]!SNLData("287",STAT_KEY,$C27,K$4,$B27)="NA",[1]!SNLData("287",STAT_KEY,$C27,K$4,$B27)="NM"),0,[1]!SNLData("287",STAT_KEY,$C27,K$4,$B27))</f>
        <v>0</v>
      </c>
      <c r="L27" s="24">
        <f t="shared" ref="L27:L34" ca="1" si="17">IFERROR((K27/I27)-1,"")</f>
        <v>-1</v>
      </c>
      <c r="M27" s="8">
        <f ca="1">IF(OR([1]!SNLData("287",STAT_KEY,$C27,M$4,$B27)="NA",[1]!SNLData("287",STAT_KEY,$C27,M$4,$B27)="NM"),0,[1]!SNLData("287",STAT_KEY,$C27,M$4,$B27))</f>
        <v>0</v>
      </c>
      <c r="N27" s="24" t="str">
        <f t="shared" ref="N27:N34" ca="1" si="18">IFERROR((M27/K27)-1,"")</f>
        <v/>
      </c>
      <c r="O27" s="35">
        <f t="shared" ref="O27:O34" ca="1" si="19">IFERROR((M27/E27)-1,"")</f>
        <v>-1</v>
      </c>
      <c r="P27" s="35">
        <f t="shared" ca="1" si="13"/>
        <v>-1</v>
      </c>
    </row>
    <row r="28" spans="1:16" x14ac:dyDescent="0.2">
      <c r="B28" s="7">
        <v>2</v>
      </c>
      <c r="C28" s="7">
        <v>119864</v>
      </c>
      <c r="D28" s="8">
        <f ca="1">IF(OR([1]!SNLData("287",STAT_KEY,$C28,D$4,$B28)="NA",[1]!SNLData("287",STAT_KEY,$C28,D$4,$B28)="NM"),0,[1]!SNLData("287",STAT_KEY,$C28,D$4,$B28))</f>
        <v>0</v>
      </c>
      <c r="E28" s="8">
        <f ca="1">IF(OR([1]!SNLData("287",STAT_KEY,$C28,E$4,$B28)="NA",[1]!SNLData("287",STAT_KEY,$C28,E$4,$B28)="NM"),0,[1]!SNLData("287",STAT_KEY,$C28,E$4,$B28))</f>
        <v>0</v>
      </c>
      <c r="F28" s="24" t="str">
        <f t="shared" ca="1" si="14"/>
        <v/>
      </c>
      <c r="G28" s="8">
        <f ca="1">IF(OR([1]!SNLData("287",STAT_KEY,$C28,G$4,$B28)="NA",[1]!SNLData("287",STAT_KEY,$C28,G$4,$B28)="NM"),0,[1]!SNLData("287",STAT_KEY,$C28,G$4,$B28))</f>
        <v>0</v>
      </c>
      <c r="H28" s="24" t="str">
        <f t="shared" ca="1" si="15"/>
        <v/>
      </c>
      <c r="I28" s="8">
        <f ca="1">IF(OR([1]!SNLData("287",STAT_KEY,$C28,I$4,$B28)="NA",[1]!SNLData("287",STAT_KEY,$C28,I$4,$B28)="NM"),0,[1]!SNLData("287",STAT_KEY,$C28,I$4,$B28))</f>
        <v>0</v>
      </c>
      <c r="J28" s="24" t="str">
        <f t="shared" ca="1" si="16"/>
        <v/>
      </c>
      <c r="K28" s="8">
        <f ca="1">IF(OR([1]!SNLData("287",STAT_KEY,$C28,K$4,$B28)="NA",[1]!SNLData("287",STAT_KEY,$C28,K$4,$B28)="NM"),0,[1]!SNLData("287",STAT_KEY,$C28,K$4,$B28))</f>
        <v>403.84000000000003</v>
      </c>
      <c r="L28" s="24" t="str">
        <f t="shared" ca="1" si="17"/>
        <v/>
      </c>
      <c r="M28" s="8">
        <f ca="1">IF(OR([1]!SNLData("287",STAT_KEY,$C28,M$4,$B28)="NA",[1]!SNLData("287",STAT_KEY,$C28,M$4,$B28)="NM"),0,[1]!SNLData("287",STAT_KEY,$C28,M$4,$B28))</f>
        <v>0</v>
      </c>
      <c r="N28" s="24">
        <f t="shared" ca="1" si="18"/>
        <v>-1</v>
      </c>
      <c r="O28" s="35" t="str">
        <f t="shared" ca="1" si="19"/>
        <v/>
      </c>
      <c r="P28" s="35" t="str">
        <f t="shared" ca="1" si="13"/>
        <v/>
      </c>
    </row>
    <row r="29" spans="1:16" x14ac:dyDescent="0.2">
      <c r="B29" s="7">
        <v>3</v>
      </c>
      <c r="C29" s="7">
        <v>119864</v>
      </c>
      <c r="D29" s="8">
        <f ca="1">IF(OR([1]!SNLData("287",STAT_KEY,$C29,D$4,$B29)="NA",[1]!SNLData("287",STAT_KEY,$C29,D$4,$B29)="NM"),0,[1]!SNLData("287",STAT_KEY,$C29,D$4,$B29))</f>
        <v>0</v>
      </c>
      <c r="E29" s="8">
        <f ca="1">IF(OR([1]!SNLData("287",STAT_KEY,$C29,E$4,$B29)="NA",[1]!SNLData("287",STAT_KEY,$C29,E$4,$B29)="NM"),0,[1]!SNLData("287",STAT_KEY,$C29,E$4,$B29))</f>
        <v>0</v>
      </c>
      <c r="F29" s="24" t="str">
        <f t="shared" ca="1" si="14"/>
        <v/>
      </c>
      <c r="G29" s="8">
        <f ca="1">IF(OR([1]!SNLData("287",STAT_KEY,$C29,G$4,$B29)="NA",[1]!SNLData("287",STAT_KEY,$C29,G$4,$B29)="NM"),0,[1]!SNLData("287",STAT_KEY,$C29,G$4,$B29))</f>
        <v>0</v>
      </c>
      <c r="H29" s="24" t="str">
        <f t="shared" ca="1" si="15"/>
        <v/>
      </c>
      <c r="I29" s="8">
        <f ca="1">IF(OR([1]!SNLData("287",STAT_KEY,$C29,I$4,$B29)="NA",[1]!SNLData("287",STAT_KEY,$C29,I$4,$B29)="NM"),0,[1]!SNLData("287",STAT_KEY,$C29,I$4,$B29))</f>
        <v>0</v>
      </c>
      <c r="J29" s="24" t="str">
        <f t="shared" ca="1" si="16"/>
        <v/>
      </c>
      <c r="K29" s="8">
        <f ca="1">IF(OR([1]!SNLData("287",STAT_KEY,$C29,K$4,$B29)="NA",[1]!SNLData("287",STAT_KEY,$C29,K$4,$B29)="NM"),0,[1]!SNLData("287",STAT_KEY,$C29,K$4,$B29))</f>
        <v>0</v>
      </c>
      <c r="L29" s="24" t="str">
        <f t="shared" ca="1" si="17"/>
        <v/>
      </c>
      <c r="M29" s="8">
        <f ca="1">IF(OR([1]!SNLData("287",STAT_KEY,$C29,M$4,$B29)="NA",[1]!SNLData("287",STAT_KEY,$C29,M$4,$B29)="NM"),0,[1]!SNLData("287",STAT_KEY,$C29,M$4,$B29))</f>
        <v>0</v>
      </c>
      <c r="N29" s="24" t="str">
        <f t="shared" ca="1" si="18"/>
        <v/>
      </c>
      <c r="O29" s="35" t="str">
        <f t="shared" ca="1" si="19"/>
        <v/>
      </c>
      <c r="P29" s="35" t="str">
        <f t="shared" ca="1" si="13"/>
        <v/>
      </c>
    </row>
    <row r="30" spans="1:16" x14ac:dyDescent="0.2">
      <c r="B30" s="7">
        <v>4</v>
      </c>
      <c r="C30" s="7">
        <v>119864</v>
      </c>
      <c r="D30" s="8">
        <f ca="1">IF(OR([1]!SNLData("287",STAT_KEY,$C30,D$4,$B30)="NA",[1]!SNLData("287",STAT_KEY,$C30,D$4,$B30)="NM"),0,[1]!SNLData("287",STAT_KEY,$C30,D$4,$B30))</f>
        <v>0</v>
      </c>
      <c r="E30" s="8">
        <f ca="1">IF(OR([1]!SNLData("287",STAT_KEY,$C30,E$4,$B30)="NA",[1]!SNLData("287",STAT_KEY,$C30,E$4,$B30)="NM"),0,[1]!SNLData("287",STAT_KEY,$C30,E$4,$B30))</f>
        <v>0</v>
      </c>
      <c r="F30" s="24" t="str">
        <f t="shared" ca="1" si="14"/>
        <v/>
      </c>
      <c r="G30" s="8">
        <f ca="1">IF(OR([1]!SNLData("287",STAT_KEY,$C30,G$4,$B30)="NA",[1]!SNLData("287",STAT_KEY,$C30,G$4,$B30)="NM"),0,[1]!SNLData("287",STAT_KEY,$C30,G$4,$B30))</f>
        <v>0</v>
      </c>
      <c r="H30" s="24" t="str">
        <f t="shared" ca="1" si="15"/>
        <v/>
      </c>
      <c r="I30" s="8">
        <f ca="1">IF(OR([1]!SNLData("287",STAT_KEY,$C30,I$4,$B30)="NA",[1]!SNLData("287",STAT_KEY,$C30,I$4,$B30)="NM"),0,[1]!SNLData("287",STAT_KEY,$C30,I$4,$B30))</f>
        <v>0</v>
      </c>
      <c r="J30" s="24" t="str">
        <f t="shared" ca="1" si="16"/>
        <v/>
      </c>
      <c r="K30" s="8">
        <f ca="1">IF(OR([1]!SNLData("287",STAT_KEY,$C30,K$4,$B30)="NA",[1]!SNLData("287",STAT_KEY,$C30,K$4,$B30)="NM"),0,[1]!SNLData("287",STAT_KEY,$C30,K$4,$B30))</f>
        <v>0</v>
      </c>
      <c r="L30" s="24" t="str">
        <f t="shared" ca="1" si="17"/>
        <v/>
      </c>
      <c r="M30" s="8">
        <f ca="1">IF(OR([1]!SNLData("287",STAT_KEY,$C30,M$4,$B30)="NA",[1]!SNLData("287",STAT_KEY,$C30,M$4,$B30)="NM"),0,[1]!SNLData("287",STAT_KEY,$C30,M$4,$B30))</f>
        <v>0</v>
      </c>
      <c r="N30" s="24" t="str">
        <f t="shared" ca="1" si="18"/>
        <v/>
      </c>
      <c r="O30" s="35" t="str">
        <f t="shared" ca="1" si="19"/>
        <v/>
      </c>
      <c r="P30" s="35" t="str">
        <f t="shared" ca="1" si="13"/>
        <v/>
      </c>
    </row>
    <row r="31" spans="1:16" x14ac:dyDescent="0.2">
      <c r="B31" s="7">
        <v>5</v>
      </c>
      <c r="C31" s="7">
        <v>119864</v>
      </c>
      <c r="D31" s="8">
        <f ca="1">IF(OR([1]!SNLData("287",STAT_KEY,$C31,D$4,$B31)="NA",[1]!SNLData("287",STAT_KEY,$C31,D$4,$B31)="NM"),0,[1]!SNLData("287",STAT_KEY,$C31,D$4,$B31))</f>
        <v>0</v>
      </c>
      <c r="E31" s="8">
        <f ca="1">IF(OR([1]!SNLData("287",STAT_KEY,$C31,E$4,$B31)="NA",[1]!SNLData("287",STAT_KEY,$C31,E$4,$B31)="NM"),0,[1]!SNLData("287",STAT_KEY,$C31,E$4,$B31))</f>
        <v>0</v>
      </c>
      <c r="F31" s="24" t="str">
        <f t="shared" ca="1" si="14"/>
        <v/>
      </c>
      <c r="G31" s="8">
        <f ca="1">IF(OR([1]!SNLData("287",STAT_KEY,$C31,G$4,$B31)="NA",[1]!SNLData("287",STAT_KEY,$C31,G$4,$B31)="NM"),0,[1]!SNLData("287",STAT_KEY,$C31,G$4,$B31))</f>
        <v>0</v>
      </c>
      <c r="H31" s="24" t="str">
        <f t="shared" ca="1" si="15"/>
        <v/>
      </c>
      <c r="I31" s="8">
        <f ca="1">IF(OR([1]!SNLData("287",STAT_KEY,$C31,I$4,$B31)="NA",[1]!SNLData("287",STAT_KEY,$C31,I$4,$B31)="NM"),0,[1]!SNLData("287",STAT_KEY,$C31,I$4,$B31))</f>
        <v>0</v>
      </c>
      <c r="J31" s="24" t="str">
        <f t="shared" ca="1" si="16"/>
        <v/>
      </c>
      <c r="K31" s="8">
        <f ca="1">IF(OR([1]!SNLData("287",STAT_KEY,$C31,K$4,$B31)="NA",[1]!SNLData("287",STAT_KEY,$C31,K$4,$B31)="NM"),0,[1]!SNLData("287",STAT_KEY,$C31,K$4,$B31))</f>
        <v>0</v>
      </c>
      <c r="L31" s="24" t="str">
        <f t="shared" ca="1" si="17"/>
        <v/>
      </c>
      <c r="M31" s="8">
        <f ca="1">IF(OR([1]!SNLData("287",STAT_KEY,$C31,M$4,$B31)="NA",[1]!SNLData("287",STAT_KEY,$C31,M$4,$B31)="NM"),0,[1]!SNLData("287",STAT_KEY,$C31,M$4,$B31))</f>
        <v>314.08499999999998</v>
      </c>
      <c r="N31" s="24" t="str">
        <f t="shared" ca="1" si="18"/>
        <v/>
      </c>
      <c r="O31" s="35" t="str">
        <f t="shared" ca="1" si="19"/>
        <v/>
      </c>
      <c r="P31" s="35" t="str">
        <f t="shared" ca="1" si="13"/>
        <v/>
      </c>
    </row>
    <row r="32" spans="1:16" x14ac:dyDescent="0.2">
      <c r="B32" s="28" t="s">
        <v>51</v>
      </c>
      <c r="D32" s="8">
        <f ca="1">SUM(D26:D28)</f>
        <v>80095.430999999997</v>
      </c>
      <c r="E32" s="8">
        <f ca="1">SUM(E26:E28)</f>
        <v>124187.353</v>
      </c>
      <c r="F32" s="24">
        <f t="shared" ca="1" si="14"/>
        <v>0.55049234955736748</v>
      </c>
      <c r="G32" s="8">
        <f ca="1">SUM(G26:G28)</f>
        <v>117736.465</v>
      </c>
      <c r="H32" s="24">
        <f t="shared" ca="1" si="15"/>
        <v>-5.1944806328225734E-2</v>
      </c>
      <c r="I32" s="8">
        <f ca="1">SUM(I26:I28)</f>
        <v>114909.32399999999</v>
      </c>
      <c r="J32" s="24">
        <f t="shared" ca="1" si="16"/>
        <v>-2.4012450178455769E-2</v>
      </c>
      <c r="K32" s="8">
        <f ca="1">SUM(K26:K28)</f>
        <v>319445.36000000004</v>
      </c>
      <c r="L32" s="24">
        <f t="shared" ca="1" si="17"/>
        <v>1.7799777152983691</v>
      </c>
      <c r="M32" s="8">
        <f ca="1">SUM(M26:M28)</f>
        <v>424988.79000000004</v>
      </c>
      <c r="N32" s="24">
        <f t="shared" ca="1" si="18"/>
        <v>0.33039587740451126</v>
      </c>
      <c r="O32" s="35">
        <f t="shared" ca="1" si="19"/>
        <v>2.4221583738885233</v>
      </c>
      <c r="P32" s="35">
        <f t="shared" ca="1" si="13"/>
        <v>0.27896900828829674</v>
      </c>
    </row>
    <row r="33" spans="1:16" x14ac:dyDescent="0.2">
      <c r="B33" s="28" t="s">
        <v>52</v>
      </c>
      <c r="D33" s="31">
        <f ca="1">SUM(D29:D31)</f>
        <v>0</v>
      </c>
      <c r="E33" s="31">
        <f ca="1">SUM(E29:E31)</f>
        <v>0</v>
      </c>
      <c r="F33" s="24" t="str">
        <f t="shared" ca="1" si="14"/>
        <v/>
      </c>
      <c r="G33" s="31">
        <f ca="1">SUM(G29:G31)</f>
        <v>0</v>
      </c>
      <c r="H33" s="24" t="str">
        <f t="shared" ca="1" si="15"/>
        <v/>
      </c>
      <c r="I33" s="31">
        <f ca="1">SUM(I29:I31)</f>
        <v>0</v>
      </c>
      <c r="J33" s="24" t="str">
        <f t="shared" ca="1" si="16"/>
        <v/>
      </c>
      <c r="K33" s="31">
        <f ca="1">SUM(K29:K31)</f>
        <v>0</v>
      </c>
      <c r="L33" s="24" t="str">
        <f t="shared" ca="1" si="17"/>
        <v/>
      </c>
      <c r="M33" s="31">
        <f ca="1">SUM(M29:M31)</f>
        <v>314.08499999999998</v>
      </c>
      <c r="N33" s="24" t="str">
        <f t="shared" ca="1" si="18"/>
        <v/>
      </c>
      <c r="O33" s="35" t="str">
        <f t="shared" ca="1" si="19"/>
        <v/>
      </c>
      <c r="P33" s="35" t="str">
        <f t="shared" ca="1" si="13"/>
        <v/>
      </c>
    </row>
    <row r="34" spans="1:16" x14ac:dyDescent="0.2">
      <c r="B34" s="7" t="s">
        <v>9</v>
      </c>
      <c r="C34" s="7">
        <v>119864</v>
      </c>
      <c r="D34" s="8">
        <f ca="1">IF(OR([1]!SNLData("287",STAT_KEY,$C34,D$4,$B34)="NA",[1]!SNLData("287",STAT_KEY,$C34,D$4,$B34)="NM"),0,[1]!SNLData("287",STAT_KEY,$C34,D$4,$B34))</f>
        <v>80095.430999999997</v>
      </c>
      <c r="E34" s="8">
        <f ca="1">IF(OR([1]!SNLData("287",STAT_KEY,$C34,E$4,$B34)="NA",[1]!SNLData("287",STAT_KEY,$C34,E$4,$B34)="NM"),0,[1]!SNLData("287",STAT_KEY,$C34,E$4,$B34))</f>
        <v>124187.353</v>
      </c>
      <c r="F34" s="24">
        <f t="shared" ca="1" si="14"/>
        <v>0.55049234955736748</v>
      </c>
      <c r="G34" s="8">
        <f ca="1">IF(OR([1]!SNLData("287",STAT_KEY,$C34,G$4,$B34)="NA",[1]!SNLData("287",STAT_KEY,$C34,G$4,$B34)="NM"),0,[1]!SNLData("287",STAT_KEY,$C34,G$4,$B34))</f>
        <v>117736.465</v>
      </c>
      <c r="H34" s="24">
        <f t="shared" ca="1" si="15"/>
        <v>-5.1944806328225734E-2</v>
      </c>
      <c r="I34" s="8">
        <f ca="1">IF(OR([1]!SNLData("287",STAT_KEY,$C34,I$4,$B34)="NA",[1]!SNLData("287",STAT_KEY,$C34,I$4,$B34)="NM"),0,[1]!SNLData("287",STAT_KEY,$C34,I$4,$B34))</f>
        <v>114909.32400000001</v>
      </c>
      <c r="J34" s="24">
        <f t="shared" ca="1" si="16"/>
        <v>-2.4012450178455658E-2</v>
      </c>
      <c r="K34" s="8">
        <f ca="1">IF(OR([1]!SNLData("287",STAT_KEY,$C34,K$4,$B34)="NA",[1]!SNLData("287",STAT_KEY,$C34,K$4,$B34)="NM"),0,[1]!SNLData("287",STAT_KEY,$C34,K$4,$B34))</f>
        <v>319445.36</v>
      </c>
      <c r="L34" s="24">
        <f t="shared" ca="1" si="17"/>
        <v>1.7799777152983682</v>
      </c>
      <c r="M34" s="8">
        <f ca="1">IF(OR([1]!SNLData("287",STAT_KEY,$C34,M$4,$B34)="NA",[1]!SNLData("287",STAT_KEY,$C34,M$4,$B34)="NM"),0,[1]!SNLData("287",STAT_KEY,$C34,M$4,$B34))</f>
        <v>425302.875</v>
      </c>
      <c r="N34" s="24">
        <f t="shared" ca="1" si="18"/>
        <v>0.33137909719521375</v>
      </c>
      <c r="O34" s="35">
        <f t="shared" ca="1" si="19"/>
        <v>2.4246874961575191</v>
      </c>
      <c r="P34" s="35">
        <f t="shared" ca="1" si="13"/>
        <v>0.2791579950531915</v>
      </c>
    </row>
    <row r="35" spans="1:16" x14ac:dyDescent="0.2">
      <c r="A35" s="7" t="str">
        <f>SUBSTITUTE([1]!SNLLabel("287",C36),": Bonds: Carrying Value ($000)","")</f>
        <v>Subdiv US St</v>
      </c>
      <c r="E35" s="7" t="str">
        <f ca="1">[1]!SNLData("287",STAT_KEY,$C35,E$4,$B35)</f>
        <v/>
      </c>
      <c r="G35" s="7" t="str">
        <f ca="1">[1]!SNLData("287",STAT_KEY,$C35,G$4,$B35)</f>
        <v/>
      </c>
      <c r="I35" s="7" t="str">
        <f ca="1">[1]!SNLData("287",STAT_KEY,$C35,I$4,$B35)</f>
        <v/>
      </c>
      <c r="K35" s="7" t="str">
        <f ca="1">[1]!SNLData("287",STAT_KEY,$C35,K$4,$B35)</f>
        <v/>
      </c>
      <c r="M35" s="7" t="str">
        <f ca="1">[1]!SNLData("287",STAT_KEY,$C35,M$4,$B35)</f>
        <v/>
      </c>
    </row>
    <row r="36" spans="1:16" x14ac:dyDescent="0.2">
      <c r="B36" s="7">
        <v>0</v>
      </c>
      <c r="C36" s="7">
        <v>119873</v>
      </c>
      <c r="D36" s="8">
        <f ca="1">IF(OR([1]!SNLData("287",STAT_KEY,$C36,D$4,$B36)="NA",[1]!SNLData("287",STAT_KEY,$C36,D$4,$B36)="NM"),0,[1]!SNLData("287",STAT_KEY,$C36,D$4,$B36))</f>
        <v>80006.259999999995</v>
      </c>
      <c r="E36" s="8">
        <f ca="1">IF(OR([1]!SNLData("287",STAT_KEY,$C36,E$4,$B36)="NA",[1]!SNLData("287",STAT_KEY,$C36,E$4,$B36)="NM"),0,[1]!SNLData("287",STAT_KEY,$C36,E$4,$B36))</f>
        <v>84812.937000000005</v>
      </c>
      <c r="F36" s="24">
        <f ca="1">IFERROR((E36/D36)-1,"")</f>
        <v>6.0078761336925579E-2</v>
      </c>
      <c r="G36" s="8">
        <f ca="1">IF(OR([1]!SNLData("287",STAT_KEY,$C36,G$4,$B36)="NA",[1]!SNLData("287",STAT_KEY,$C36,G$4,$B36)="NM"),0,[1]!SNLData("287",STAT_KEY,$C36,G$4,$B36))</f>
        <v>66346.41</v>
      </c>
      <c r="H36" s="24">
        <f ca="1">IFERROR((G36/E36)-1,"")</f>
        <v>-0.21773243155109701</v>
      </c>
      <c r="I36" s="8">
        <f ca="1">IF(OR([1]!SNLData("287",STAT_KEY,$C36,I$4,$B36)="NA",[1]!SNLData("287",STAT_KEY,$C36,I$4,$B36)="NM"),0,[1]!SNLData("287",STAT_KEY,$C36,I$4,$B36))</f>
        <v>117227.261</v>
      </c>
      <c r="J36" s="24">
        <f ca="1">IFERROR((I36/G36)-1,"")</f>
        <v>0.76689682229980471</v>
      </c>
      <c r="K36" s="8">
        <f ca="1">IF(OR([1]!SNLData("287",STAT_KEY,$C36,K$4,$B36)="NA",[1]!SNLData("287",STAT_KEY,$C36,K$4,$B36)="NM"),0,[1]!SNLData("287",STAT_KEY,$C36,K$4,$B36))</f>
        <v>180276.30499999999</v>
      </c>
      <c r="L36" s="24">
        <f ca="1">IFERROR((K36/I36)-1,"")</f>
        <v>0.53783602433567057</v>
      </c>
      <c r="M36" s="8">
        <f ca="1">IF(OR([1]!SNLData("287",STAT_KEY,$C36,M$4,$B36)="NA",[1]!SNLData("287",STAT_KEY,$C36,M$4,$B36)="NM"),0,[1]!SNLData("287",STAT_KEY,$C36,M$4,$B36))</f>
        <v>348418.33199999999</v>
      </c>
      <c r="N36" s="24">
        <f ca="1">IFERROR((M36/K36)-1,"")</f>
        <v>0.93269066614162077</v>
      </c>
      <c r="O36" s="35">
        <f ca="1">IFERROR((M36/E36)-1,"")</f>
        <v>3.1080800208581385</v>
      </c>
      <c r="P36" s="35">
        <f t="shared" ca="1" si="13"/>
        <v>0.32656269138652272</v>
      </c>
    </row>
    <row r="37" spans="1:16" x14ac:dyDescent="0.2">
      <c r="B37" s="7">
        <v>1</v>
      </c>
      <c r="C37" s="7">
        <v>119873</v>
      </c>
      <c r="D37" s="8">
        <f ca="1">IF(OR([1]!SNLData("287",STAT_KEY,$C37,D$4,$B37)="NA",[1]!SNLData("287",STAT_KEY,$C37,D$4,$B37)="NM"),0,[1]!SNLData("287",STAT_KEY,$C37,D$4,$B37))</f>
        <v>5513.8980000000001</v>
      </c>
      <c r="E37" s="8">
        <f ca="1">IF(OR([1]!SNLData("287",STAT_KEY,$C37,E$4,$B37)="NA",[1]!SNLData("287",STAT_KEY,$C37,E$4,$B37)="NM"),0,[1]!SNLData("287",STAT_KEY,$C37,E$4,$B37))</f>
        <v>13719.058000000001</v>
      </c>
      <c r="F37" s="24">
        <f t="shared" ref="F37:F44" ca="1" si="20">IFERROR((E37/D37)-1,"")</f>
        <v>1.4880870121282621</v>
      </c>
      <c r="G37" s="8">
        <f ca="1">IF(OR([1]!SNLData("287",STAT_KEY,$C37,G$4,$B37)="NA",[1]!SNLData("287",STAT_KEY,$C37,G$4,$B37)="NM"),0,[1]!SNLData("287",STAT_KEY,$C37,G$4,$B37))</f>
        <v>0</v>
      </c>
      <c r="H37" s="24">
        <f t="shared" ref="H37:H44" ca="1" si="21">IFERROR((G37/E37)-1,"")</f>
        <v>-1</v>
      </c>
      <c r="I37" s="8">
        <f ca="1">IF(OR([1]!SNLData("287",STAT_KEY,$C37,I$4,$B37)="NA",[1]!SNLData("287",STAT_KEY,$C37,I$4,$B37)="NM"),0,[1]!SNLData("287",STAT_KEY,$C37,I$4,$B37))</f>
        <v>0</v>
      </c>
      <c r="J37" s="24" t="str">
        <f t="shared" ref="J37:J44" ca="1" si="22">IFERROR((I37/G37)-1,"")</f>
        <v/>
      </c>
      <c r="K37" s="8">
        <f ca="1">IF(OR([1]!SNLData("287",STAT_KEY,$C37,K$4,$B37)="NA",[1]!SNLData("287",STAT_KEY,$C37,K$4,$B37)="NM"),0,[1]!SNLData("287",STAT_KEY,$C37,K$4,$B37))</f>
        <v>0</v>
      </c>
      <c r="L37" s="24" t="str">
        <f t="shared" ref="L37:L44" ca="1" si="23">IFERROR((K37/I37)-1,"")</f>
        <v/>
      </c>
      <c r="M37" s="8">
        <f ca="1">IF(OR([1]!SNLData("287",STAT_KEY,$C37,M$4,$B37)="NA",[1]!SNLData("287",STAT_KEY,$C37,M$4,$B37)="NM"),0,[1]!SNLData("287",STAT_KEY,$C37,M$4,$B37))</f>
        <v>0</v>
      </c>
      <c r="N37" s="24" t="str">
        <f t="shared" ref="N37:N44" ca="1" si="24">IFERROR((M37/K37)-1,"")</f>
        <v/>
      </c>
      <c r="O37" s="35">
        <f t="shared" ref="O37:O44" ca="1" si="25">IFERROR((M37/E37)-1,"")</f>
        <v>-1</v>
      </c>
      <c r="P37" s="35">
        <f t="shared" ca="1" si="13"/>
        <v>-1</v>
      </c>
    </row>
    <row r="38" spans="1:16" x14ac:dyDescent="0.2">
      <c r="B38" s="7">
        <v>2</v>
      </c>
      <c r="C38" s="7">
        <v>119873</v>
      </c>
      <c r="D38" s="8">
        <f ca="1">IF(OR([1]!SNLData("287",STAT_KEY,$C38,D$4,$B38)="NA",[1]!SNLData("287",STAT_KEY,$C38,D$4,$B38)="NM"),0,[1]!SNLData("287",STAT_KEY,$C38,D$4,$B38))</f>
        <v>0</v>
      </c>
      <c r="E38" s="8">
        <f ca="1">IF(OR([1]!SNLData("287",STAT_KEY,$C38,E$4,$B38)="NA",[1]!SNLData("287",STAT_KEY,$C38,E$4,$B38)="NM"),0,[1]!SNLData("287",STAT_KEY,$C38,E$4,$B38))</f>
        <v>0</v>
      </c>
      <c r="F38" s="24" t="str">
        <f t="shared" ca="1" si="20"/>
        <v/>
      </c>
      <c r="G38" s="8">
        <f ca="1">IF(OR([1]!SNLData("287",STAT_KEY,$C38,G$4,$B38)="NA",[1]!SNLData("287",STAT_KEY,$C38,G$4,$B38)="NM"),0,[1]!SNLData("287",STAT_KEY,$C38,G$4,$B38))</f>
        <v>0</v>
      </c>
      <c r="H38" s="24" t="str">
        <f t="shared" ca="1" si="21"/>
        <v/>
      </c>
      <c r="I38" s="8">
        <f ca="1">IF(OR([1]!SNLData("287",STAT_KEY,$C38,I$4,$B38)="NA",[1]!SNLData("287",STAT_KEY,$C38,I$4,$B38)="NM"),0,[1]!SNLData("287",STAT_KEY,$C38,I$4,$B38))</f>
        <v>0</v>
      </c>
      <c r="J38" s="24" t="str">
        <f t="shared" ca="1" si="22"/>
        <v/>
      </c>
      <c r="K38" s="8">
        <f ca="1">IF(OR([1]!SNLData("287",STAT_KEY,$C38,K$4,$B38)="NA",[1]!SNLData("287",STAT_KEY,$C38,K$4,$B38)="NM"),0,[1]!SNLData("287",STAT_KEY,$C38,K$4,$B38))</f>
        <v>0</v>
      </c>
      <c r="L38" s="24" t="str">
        <f t="shared" ca="1" si="23"/>
        <v/>
      </c>
      <c r="M38" s="8">
        <f ca="1">IF(OR([1]!SNLData("287",STAT_KEY,$C38,M$4,$B38)="NA",[1]!SNLData("287",STAT_KEY,$C38,M$4,$B38)="NM"),0,[1]!SNLData("287",STAT_KEY,$C38,M$4,$B38))</f>
        <v>0</v>
      </c>
      <c r="N38" s="24" t="str">
        <f t="shared" ca="1" si="24"/>
        <v/>
      </c>
      <c r="O38" s="35" t="str">
        <f t="shared" ca="1" si="25"/>
        <v/>
      </c>
      <c r="P38" s="35" t="str">
        <f t="shared" ca="1" si="13"/>
        <v/>
      </c>
    </row>
    <row r="39" spans="1:16" x14ac:dyDescent="0.2">
      <c r="B39" s="7">
        <v>3</v>
      </c>
      <c r="C39" s="7">
        <v>119873</v>
      </c>
      <c r="D39" s="8">
        <f ca="1">IF(OR([1]!SNLData("287",STAT_KEY,$C39,D$4,$B39)="NA",[1]!SNLData("287",STAT_KEY,$C39,D$4,$B39)="NM"),0,[1]!SNLData("287",STAT_KEY,$C39,D$4,$B39))</f>
        <v>0</v>
      </c>
      <c r="E39" s="8">
        <f ca="1">IF(OR([1]!SNLData("287",STAT_KEY,$C39,E$4,$B39)="NA",[1]!SNLData("287",STAT_KEY,$C39,E$4,$B39)="NM"),0,[1]!SNLData("287",STAT_KEY,$C39,E$4,$B39))</f>
        <v>0</v>
      </c>
      <c r="F39" s="24" t="str">
        <f t="shared" ca="1" si="20"/>
        <v/>
      </c>
      <c r="G39" s="8">
        <f ca="1">IF(OR([1]!SNLData("287",STAT_KEY,$C39,G$4,$B39)="NA",[1]!SNLData("287",STAT_KEY,$C39,G$4,$B39)="NM"),0,[1]!SNLData("287",STAT_KEY,$C39,G$4,$B39))</f>
        <v>0</v>
      </c>
      <c r="H39" s="24" t="str">
        <f t="shared" ca="1" si="21"/>
        <v/>
      </c>
      <c r="I39" s="8">
        <f ca="1">IF(OR([1]!SNLData("287",STAT_KEY,$C39,I$4,$B39)="NA",[1]!SNLData("287",STAT_KEY,$C39,I$4,$B39)="NM"),0,[1]!SNLData("287",STAT_KEY,$C39,I$4,$B39))</f>
        <v>0</v>
      </c>
      <c r="J39" s="24" t="str">
        <f t="shared" ca="1" si="22"/>
        <v/>
      </c>
      <c r="K39" s="8">
        <f ca="1">IF(OR([1]!SNLData("287",STAT_KEY,$C39,K$4,$B39)="NA",[1]!SNLData("287",STAT_KEY,$C39,K$4,$B39)="NM"),0,[1]!SNLData("287",STAT_KEY,$C39,K$4,$B39))</f>
        <v>0</v>
      </c>
      <c r="L39" s="24" t="str">
        <f t="shared" ca="1" si="23"/>
        <v/>
      </c>
      <c r="M39" s="8">
        <f ca="1">IF(OR([1]!SNLData("287",STAT_KEY,$C39,M$4,$B39)="NA",[1]!SNLData("287",STAT_KEY,$C39,M$4,$B39)="NM"),0,[1]!SNLData("287",STAT_KEY,$C39,M$4,$B39))</f>
        <v>0</v>
      </c>
      <c r="N39" s="24" t="str">
        <f t="shared" ca="1" si="24"/>
        <v/>
      </c>
      <c r="O39" s="35" t="str">
        <f t="shared" ca="1" si="25"/>
        <v/>
      </c>
      <c r="P39" s="35" t="str">
        <f t="shared" ca="1" si="13"/>
        <v/>
      </c>
    </row>
    <row r="40" spans="1:16" x14ac:dyDescent="0.2">
      <c r="B40" s="7">
        <v>4</v>
      </c>
      <c r="C40" s="7">
        <v>119873</v>
      </c>
      <c r="D40" s="8">
        <f ca="1">IF(OR([1]!SNLData("287",STAT_KEY,$C40,D$4,$B40)="NA",[1]!SNLData("287",STAT_KEY,$C40,D$4,$B40)="NM"),0,[1]!SNLData("287",STAT_KEY,$C40,D$4,$B40))</f>
        <v>0</v>
      </c>
      <c r="E40" s="8">
        <f ca="1">IF(OR([1]!SNLData("287",STAT_KEY,$C40,E$4,$B40)="NA",[1]!SNLData("287",STAT_KEY,$C40,E$4,$B40)="NM"),0,[1]!SNLData("287",STAT_KEY,$C40,E$4,$B40))</f>
        <v>0</v>
      </c>
      <c r="F40" s="24" t="str">
        <f t="shared" ca="1" si="20"/>
        <v/>
      </c>
      <c r="G40" s="8">
        <f ca="1">IF(OR([1]!SNLData("287",STAT_KEY,$C40,G$4,$B40)="NA",[1]!SNLData("287",STAT_KEY,$C40,G$4,$B40)="NM"),0,[1]!SNLData("287",STAT_KEY,$C40,G$4,$B40))</f>
        <v>0</v>
      </c>
      <c r="H40" s="24" t="str">
        <f t="shared" ca="1" si="21"/>
        <v/>
      </c>
      <c r="I40" s="8">
        <f ca="1">IF(OR([1]!SNLData("287",STAT_KEY,$C40,I$4,$B40)="NA",[1]!SNLData("287",STAT_KEY,$C40,I$4,$B40)="NM"),0,[1]!SNLData("287",STAT_KEY,$C40,I$4,$B40))</f>
        <v>0</v>
      </c>
      <c r="J40" s="24" t="str">
        <f t="shared" ca="1" si="22"/>
        <v/>
      </c>
      <c r="K40" s="8">
        <f ca="1">IF(OR([1]!SNLData("287",STAT_KEY,$C40,K$4,$B40)="NA",[1]!SNLData("287",STAT_KEY,$C40,K$4,$B40)="NM"),0,[1]!SNLData("287",STAT_KEY,$C40,K$4,$B40))</f>
        <v>0</v>
      </c>
      <c r="L40" s="24" t="str">
        <f t="shared" ca="1" si="23"/>
        <v/>
      </c>
      <c r="M40" s="8">
        <f ca="1">IF(OR([1]!SNLData("287",STAT_KEY,$C40,M$4,$B40)="NA",[1]!SNLData("287",STAT_KEY,$C40,M$4,$B40)="NM"),0,[1]!SNLData("287",STAT_KEY,$C40,M$4,$B40))</f>
        <v>0</v>
      </c>
      <c r="N40" s="24" t="str">
        <f t="shared" ca="1" si="24"/>
        <v/>
      </c>
      <c r="O40" s="35" t="str">
        <f t="shared" ca="1" si="25"/>
        <v/>
      </c>
      <c r="P40" s="35" t="str">
        <f t="shared" ca="1" si="13"/>
        <v/>
      </c>
    </row>
    <row r="41" spans="1:16" x14ac:dyDescent="0.2">
      <c r="B41" s="7">
        <v>5</v>
      </c>
      <c r="C41" s="7">
        <v>119873</v>
      </c>
      <c r="D41" s="8">
        <f ca="1">IF(OR([1]!SNLData("287",STAT_KEY,$C41,D$4,$B41)="NA",[1]!SNLData("287",STAT_KEY,$C41,D$4,$B41)="NM"),0,[1]!SNLData("287",STAT_KEY,$C41,D$4,$B41))</f>
        <v>0</v>
      </c>
      <c r="E41" s="8">
        <f ca="1">IF(OR([1]!SNLData("287",STAT_KEY,$C41,E$4,$B41)="NA",[1]!SNLData("287",STAT_KEY,$C41,E$4,$B41)="NM"),0,[1]!SNLData("287",STAT_KEY,$C41,E$4,$B41))</f>
        <v>0</v>
      </c>
      <c r="F41" s="24" t="str">
        <f t="shared" ca="1" si="20"/>
        <v/>
      </c>
      <c r="G41" s="8">
        <f ca="1">IF(OR([1]!SNLData("287",STAT_KEY,$C41,G$4,$B41)="NA",[1]!SNLData("287",STAT_KEY,$C41,G$4,$B41)="NM"),0,[1]!SNLData("287",STAT_KEY,$C41,G$4,$B41))</f>
        <v>0</v>
      </c>
      <c r="H41" s="24" t="str">
        <f t="shared" ca="1" si="21"/>
        <v/>
      </c>
      <c r="I41" s="8">
        <f ca="1">IF(OR([1]!SNLData("287",STAT_KEY,$C41,I$4,$B41)="NA",[1]!SNLData("287",STAT_KEY,$C41,I$4,$B41)="NM"),0,[1]!SNLData("287",STAT_KEY,$C41,I$4,$B41))</f>
        <v>0</v>
      </c>
      <c r="J41" s="24" t="str">
        <f t="shared" ca="1" si="22"/>
        <v/>
      </c>
      <c r="K41" s="8">
        <f ca="1">IF(OR([1]!SNLData("287",STAT_KEY,$C41,K$4,$B41)="NA",[1]!SNLData("287",STAT_KEY,$C41,K$4,$B41)="NM"),0,[1]!SNLData("287",STAT_KEY,$C41,K$4,$B41))</f>
        <v>0</v>
      </c>
      <c r="L41" s="24" t="str">
        <f t="shared" ca="1" si="23"/>
        <v/>
      </c>
      <c r="M41" s="8">
        <f ca="1">IF(OR([1]!SNLData("287",STAT_KEY,$C41,M$4,$B41)="NA",[1]!SNLData("287",STAT_KEY,$C41,M$4,$B41)="NM"),0,[1]!SNLData("287",STAT_KEY,$C41,M$4,$B41))</f>
        <v>0</v>
      </c>
      <c r="N41" s="24" t="str">
        <f t="shared" ca="1" si="24"/>
        <v/>
      </c>
      <c r="O41" s="35" t="str">
        <f t="shared" ca="1" si="25"/>
        <v/>
      </c>
      <c r="P41" s="35" t="str">
        <f t="shared" ca="1" si="13"/>
        <v/>
      </c>
    </row>
    <row r="42" spans="1:16" x14ac:dyDescent="0.2">
      <c r="B42" s="28" t="s">
        <v>51</v>
      </c>
      <c r="D42" s="8">
        <f ca="1">SUM(D36:D38)</f>
        <v>85520.157999999996</v>
      </c>
      <c r="E42" s="8">
        <f ca="1">SUM(E36:E38)</f>
        <v>98531.99500000001</v>
      </c>
      <c r="F42" s="24">
        <f t="shared" ca="1" si="20"/>
        <v>0.15214935641255489</v>
      </c>
      <c r="G42" s="8">
        <f ca="1">SUM(G36:G38)</f>
        <v>66346.41</v>
      </c>
      <c r="H42" s="24">
        <f t="shared" ca="1" si="21"/>
        <v>-0.32665110454730972</v>
      </c>
      <c r="I42" s="8">
        <f ca="1">SUM(I36:I38)</f>
        <v>117227.261</v>
      </c>
      <c r="J42" s="24">
        <f t="shared" ca="1" si="22"/>
        <v>0.76689682229980471</v>
      </c>
      <c r="K42" s="8">
        <f ca="1">SUM(K36:K38)</f>
        <v>180276.30499999999</v>
      </c>
      <c r="L42" s="24">
        <f t="shared" ca="1" si="23"/>
        <v>0.53783602433567057</v>
      </c>
      <c r="M42" s="8">
        <f ca="1">SUM(M36:M38)</f>
        <v>348418.33199999999</v>
      </c>
      <c r="N42" s="24">
        <f t="shared" ca="1" si="24"/>
        <v>0.93269066614162077</v>
      </c>
      <c r="O42" s="35">
        <f t="shared" ca="1" si="25"/>
        <v>2.5360933471406923</v>
      </c>
      <c r="P42" s="35">
        <f t="shared" ca="1" si="13"/>
        <v>0.28737403091236891</v>
      </c>
    </row>
    <row r="43" spans="1:16" x14ac:dyDescent="0.2">
      <c r="B43" s="28" t="s">
        <v>52</v>
      </c>
      <c r="D43" s="31">
        <f ca="1">SUM(D39:D41)</f>
        <v>0</v>
      </c>
      <c r="E43" s="31">
        <f ca="1">SUM(E39:E41)</f>
        <v>0</v>
      </c>
      <c r="F43" s="24" t="str">
        <f t="shared" ca="1" si="20"/>
        <v/>
      </c>
      <c r="G43" s="31">
        <f ca="1">SUM(G39:G41)</f>
        <v>0</v>
      </c>
      <c r="H43" s="24" t="str">
        <f t="shared" ca="1" si="21"/>
        <v/>
      </c>
      <c r="I43" s="31">
        <f ca="1">SUM(I39:I41)</f>
        <v>0</v>
      </c>
      <c r="J43" s="24" t="str">
        <f t="shared" ca="1" si="22"/>
        <v/>
      </c>
      <c r="K43" s="31">
        <f ca="1">SUM(K39:K41)</f>
        <v>0</v>
      </c>
      <c r="L43" s="24" t="str">
        <f t="shared" ca="1" si="23"/>
        <v/>
      </c>
      <c r="M43" s="31">
        <f ca="1">SUM(M39:M41)</f>
        <v>0</v>
      </c>
      <c r="N43" s="24" t="str">
        <f t="shared" ca="1" si="24"/>
        <v/>
      </c>
      <c r="O43" s="35" t="str">
        <f t="shared" ca="1" si="25"/>
        <v/>
      </c>
      <c r="P43" s="35" t="str">
        <f t="shared" ca="1" si="13"/>
        <v/>
      </c>
    </row>
    <row r="44" spans="1:16" x14ac:dyDescent="0.2">
      <c r="B44" s="7" t="s">
        <v>9</v>
      </c>
      <c r="C44" s="7">
        <v>119873</v>
      </c>
      <c r="D44" s="8">
        <f ca="1">IF(OR([1]!SNLData("287",STAT_KEY,$C44,D$4,$B44)="NA",[1]!SNLData("287",STAT_KEY,$C44,D$4,$B44)="NM"),0,[1]!SNLData("287",STAT_KEY,$C44,D$4,$B44))</f>
        <v>85520.157999999996</v>
      </c>
      <c r="E44" s="8">
        <f ca="1">IF(OR([1]!SNLData("287",STAT_KEY,$C44,E$4,$B44)="NA",[1]!SNLData("287",STAT_KEY,$C44,E$4,$B44)="NM"),0,[1]!SNLData("287",STAT_KEY,$C44,E$4,$B44))</f>
        <v>98531.994999999995</v>
      </c>
      <c r="F44" s="24">
        <f t="shared" ca="1" si="20"/>
        <v>0.15214935641255489</v>
      </c>
      <c r="G44" s="8">
        <f ca="1">IF(OR([1]!SNLData("287",STAT_KEY,$C44,G$4,$B44)="NA",[1]!SNLData("287",STAT_KEY,$C44,G$4,$B44)="NM"),0,[1]!SNLData("287",STAT_KEY,$C44,G$4,$B44))</f>
        <v>66346.41</v>
      </c>
      <c r="H44" s="24">
        <f t="shared" ca="1" si="21"/>
        <v>-0.32665110454730961</v>
      </c>
      <c r="I44" s="8">
        <f ca="1">IF(OR([1]!SNLData("287",STAT_KEY,$C44,I$4,$B44)="NA",[1]!SNLData("287",STAT_KEY,$C44,I$4,$B44)="NM"),0,[1]!SNLData("287",STAT_KEY,$C44,I$4,$B44))</f>
        <v>117227.261</v>
      </c>
      <c r="J44" s="24">
        <f t="shared" ca="1" si="22"/>
        <v>0.76689682229980471</v>
      </c>
      <c r="K44" s="8">
        <f ca="1">IF(OR([1]!SNLData("287",STAT_KEY,$C44,K$4,$B44)="NA",[1]!SNLData("287",STAT_KEY,$C44,K$4,$B44)="NM"),0,[1]!SNLData("287",STAT_KEY,$C44,K$4,$B44))</f>
        <v>180276.30499999999</v>
      </c>
      <c r="L44" s="24">
        <f t="shared" ca="1" si="23"/>
        <v>0.53783602433567057</v>
      </c>
      <c r="M44" s="8">
        <f ca="1">IF(OR([1]!SNLData("287",STAT_KEY,$C44,M$4,$B44)="NA",[1]!SNLData("287",STAT_KEY,$C44,M$4,$B44)="NM"),0,[1]!SNLData("287",STAT_KEY,$C44,M$4,$B44))</f>
        <v>348418.33199999999</v>
      </c>
      <c r="N44" s="24">
        <f t="shared" ca="1" si="24"/>
        <v>0.93269066614162077</v>
      </c>
      <c r="O44" s="35">
        <f t="shared" ca="1" si="25"/>
        <v>2.5360933471406928</v>
      </c>
      <c r="P44" s="35">
        <f t="shared" ca="1" si="13"/>
        <v>0.28737403091236891</v>
      </c>
    </row>
    <row r="45" spans="1:16" x14ac:dyDescent="0.2">
      <c r="A45" s="28" t="s">
        <v>112</v>
      </c>
      <c r="E45" s="7" t="str">
        <f ca="1">[1]!SNLData("287",STAT_KEY,$C45,E$4,$B45)</f>
        <v/>
      </c>
      <c r="G45" s="7" t="str">
        <f ca="1">[1]!SNLData("287",STAT_KEY,$C45,G$4,$B45)</f>
        <v/>
      </c>
      <c r="I45" s="7" t="str">
        <f ca="1">[1]!SNLData("287",STAT_KEY,$C45,I$4,$B45)</f>
        <v/>
      </c>
      <c r="K45" s="7" t="str">
        <f ca="1">[1]!SNLData("287",STAT_KEY,$C45,K$4,$B45)</f>
        <v/>
      </c>
      <c r="M45" s="7" t="str">
        <f ca="1">[1]!SNLData("287",STAT_KEY,$C45,M$4,$B45)</f>
        <v/>
      </c>
    </row>
    <row r="46" spans="1:16" x14ac:dyDescent="0.2">
      <c r="B46" s="7">
        <v>0</v>
      </c>
      <c r="C46" s="7">
        <v>119882</v>
      </c>
      <c r="D46" s="8">
        <f ca="1">IF(OR([1]!SNLData("287",STAT_KEY,$C46,D$4,$B46)="NA",[1]!SNLData("287",STAT_KEY,$C46,D$4,$B46)="NM"),0,[1]!SNLData("287",STAT_KEY,$C46,D$4,$B46))</f>
        <v>4007880.1320000002</v>
      </c>
      <c r="E46" s="8">
        <f ca="1">IF(OR([1]!SNLData("287",STAT_KEY,$C46,E$4,$B46)="NA",[1]!SNLData("287",STAT_KEY,$C46,E$4,$B46)="NM"),0,[1]!SNLData("287",STAT_KEY,$C46,E$4,$B46))</f>
        <v>4394623.2390000001</v>
      </c>
      <c r="F46" s="24">
        <f ca="1">IFERROR((E46/D46)-1,"")</f>
        <v>9.649567708179152E-2</v>
      </c>
      <c r="G46" s="8">
        <f ca="1">IF(OR([1]!SNLData("287",STAT_KEY,$C46,G$4,$B46)="NA",[1]!SNLData("287",STAT_KEY,$C46,G$4,$B46)="NM"),0,[1]!SNLData("287",STAT_KEY,$C46,G$4,$B46))</f>
        <v>5081863.2714099996</v>
      </c>
      <c r="H46" s="24">
        <f ca="1">IFERROR((G46/E46)-1,"")</f>
        <v>0.15638201389168049</v>
      </c>
      <c r="I46" s="8">
        <f ca="1">IF(OR([1]!SNLData("287",STAT_KEY,$C46,I$4,$B46)="NA",[1]!SNLData("287",STAT_KEY,$C46,I$4,$B46)="NM"),0,[1]!SNLData("287",STAT_KEY,$C46,I$4,$B46))</f>
        <v>4716676.8971499996</v>
      </c>
      <c r="J46" s="24">
        <f ca="1">IFERROR((I46/G46)-1,"")</f>
        <v>-7.1860724060503145E-2</v>
      </c>
      <c r="K46" s="8">
        <f ca="1">IF(OR([1]!SNLData("287",STAT_KEY,$C46,K$4,$B46)="NA",[1]!SNLData("287",STAT_KEY,$C46,K$4,$B46)="NM"),0,[1]!SNLData("287",STAT_KEY,$C46,K$4,$B46))</f>
        <v>3725425.4291999997</v>
      </c>
      <c r="L46" s="24">
        <f ca="1">IFERROR((K46/I46)-1,"")</f>
        <v>-0.21015886599078959</v>
      </c>
      <c r="M46" s="8">
        <f ca="1">IF(OR([1]!SNLData("287",STAT_KEY,$C46,M$4,$B46)="NA",[1]!SNLData("287",STAT_KEY,$C46,M$4,$B46)="NM"),0,[1]!SNLData("287",STAT_KEY,$C46,M$4,$B46))</f>
        <v>4127133.21997</v>
      </c>
      <c r="N46" s="24">
        <f ca="1">IFERROR((M46/K46)-1,"")</f>
        <v>0.10782870262853805</v>
      </c>
      <c r="O46" s="35">
        <f ca="1">IFERROR((M46/E46)-1,"")</f>
        <v>-6.0867565769043619E-2</v>
      </c>
      <c r="P46" s="35">
        <f t="shared" ca="1" si="13"/>
        <v>-1.2481209901276658E-2</v>
      </c>
    </row>
    <row r="47" spans="1:16" x14ac:dyDescent="0.2">
      <c r="B47" s="7">
        <v>1</v>
      </c>
      <c r="C47" s="7">
        <v>119882</v>
      </c>
      <c r="D47" s="8">
        <f ca="1">IF(OR([1]!SNLData("287",STAT_KEY,$C47,D$4,$B47)="NA",[1]!SNLData("287",STAT_KEY,$C47,D$4,$B47)="NM"),0,[1]!SNLData("287",STAT_KEY,$C47,D$4,$B47))</f>
        <v>5606.0830000000005</v>
      </c>
      <c r="E47" s="8">
        <f ca="1">IF(OR([1]!SNLData("287",STAT_KEY,$C47,E$4,$B47)="NA",[1]!SNLData("287",STAT_KEY,$C47,E$4,$B47)="NM"),0,[1]!SNLData("287",STAT_KEY,$C47,E$4,$B47))</f>
        <v>9165.2440000000006</v>
      </c>
      <c r="F47" s="24">
        <f t="shared" ref="F47:F54" ca="1" si="26">IFERROR((E47/D47)-1,"")</f>
        <v>0.63487483149999746</v>
      </c>
      <c r="G47" s="8">
        <f ca="1">IF(OR([1]!SNLData("287",STAT_KEY,$C47,G$4,$B47)="NA",[1]!SNLData("287",STAT_KEY,$C47,G$4,$B47)="NM"),0,[1]!SNLData("287",STAT_KEY,$C47,G$4,$B47))</f>
        <v>17266.022000000001</v>
      </c>
      <c r="H47" s="24">
        <f t="shared" ref="H47:H54" ca="1" si="27">IFERROR((G47/E47)-1,"")</f>
        <v>0.88385841118905284</v>
      </c>
      <c r="I47" s="8">
        <f ca="1">IF(OR([1]!SNLData("287",STAT_KEY,$C47,I$4,$B47)="NA",[1]!SNLData("287",STAT_KEY,$C47,I$4,$B47)="NM"),0,[1]!SNLData("287",STAT_KEY,$C47,I$4,$B47))</f>
        <v>47932.745000000003</v>
      </c>
      <c r="J47" s="24">
        <f t="shared" ref="J47:J54" ca="1" si="28">IFERROR((I47/G47)-1,"")</f>
        <v>1.7761313520856166</v>
      </c>
      <c r="K47" s="8">
        <f ca="1">IF(OR([1]!SNLData("287",STAT_KEY,$C47,K$4,$B47)="NA",[1]!SNLData("287",STAT_KEY,$C47,K$4,$B47)="NM"),0,[1]!SNLData("287",STAT_KEY,$C47,K$4,$B47))</f>
        <v>31716.116000000002</v>
      </c>
      <c r="L47" s="24">
        <f t="shared" ref="L47:L54" ca="1" si="29">IFERROR((K47/I47)-1,"")</f>
        <v>-0.33832047382222741</v>
      </c>
      <c r="M47" s="8">
        <f ca="1">IF(OR([1]!SNLData("287",STAT_KEY,$C47,M$4,$B47)="NA",[1]!SNLData("287",STAT_KEY,$C47,M$4,$B47)="NM"),0,[1]!SNLData("287",STAT_KEY,$C47,M$4,$B47))</f>
        <v>59281.85</v>
      </c>
      <c r="N47" s="24">
        <f t="shared" ref="N47:N54" ca="1" si="30">IFERROR((M47/K47)-1,"")</f>
        <v>0.8691396512738192</v>
      </c>
      <c r="O47" s="35">
        <f t="shared" ref="O47:O54" ca="1" si="31">IFERROR((M47/E47)-1,"")</f>
        <v>5.4681147605017379</v>
      </c>
      <c r="P47" s="35">
        <f t="shared" ca="1" si="13"/>
        <v>0.45263178713423247</v>
      </c>
    </row>
    <row r="48" spans="1:16" x14ac:dyDescent="0.2">
      <c r="B48" s="7">
        <v>2</v>
      </c>
      <c r="C48" s="7">
        <v>119882</v>
      </c>
      <c r="D48" s="8">
        <f ca="1">IF(OR([1]!SNLData("287",STAT_KEY,$C48,D$4,$B48)="NA",[1]!SNLData("287",STAT_KEY,$C48,D$4,$B48)="NM"),0,[1]!SNLData("287",STAT_KEY,$C48,D$4,$B48))</f>
        <v>454.75600000000003</v>
      </c>
      <c r="E48" s="8">
        <f ca="1">IF(OR([1]!SNLData("287",STAT_KEY,$C48,E$4,$B48)="NA",[1]!SNLData("287",STAT_KEY,$C48,E$4,$B48)="NM"),0,[1]!SNLData("287",STAT_KEY,$C48,E$4,$B48))</f>
        <v>234.14500000000001</v>
      </c>
      <c r="F48" s="24">
        <f t="shared" ca="1" si="26"/>
        <v>-0.48511949265100407</v>
      </c>
      <c r="G48" s="8">
        <f ca="1">IF(OR([1]!SNLData("287",STAT_KEY,$C48,G$4,$B48)="NA",[1]!SNLData("287",STAT_KEY,$C48,G$4,$B48)="NM"),0,[1]!SNLData("287",STAT_KEY,$C48,G$4,$B48))</f>
        <v>0</v>
      </c>
      <c r="H48" s="24">
        <f t="shared" ca="1" si="27"/>
        <v>-1</v>
      </c>
      <c r="I48" s="8">
        <f ca="1">IF(OR([1]!SNLData("287",STAT_KEY,$C48,I$4,$B48)="NA",[1]!SNLData("287",STAT_KEY,$C48,I$4,$B48)="NM"),0,[1]!SNLData("287",STAT_KEY,$C48,I$4,$B48))</f>
        <v>0</v>
      </c>
      <c r="J48" s="24" t="str">
        <f t="shared" ca="1" si="28"/>
        <v/>
      </c>
      <c r="K48" s="8">
        <f ca="1">IF(OR([1]!SNLData("287",STAT_KEY,$C48,K$4,$B48)="NA",[1]!SNLData("287",STAT_KEY,$C48,K$4,$B48)="NM"),0,[1]!SNLData("287",STAT_KEY,$C48,K$4,$B48))</f>
        <v>0</v>
      </c>
      <c r="L48" s="24" t="str">
        <f t="shared" ca="1" si="29"/>
        <v/>
      </c>
      <c r="M48" s="8">
        <f ca="1">IF(OR([1]!SNLData("287",STAT_KEY,$C48,M$4,$B48)="NA",[1]!SNLData("287",STAT_KEY,$C48,M$4,$B48)="NM"),0,[1]!SNLData("287",STAT_KEY,$C48,M$4,$B48))</f>
        <v>0</v>
      </c>
      <c r="N48" s="24" t="str">
        <f t="shared" ca="1" si="30"/>
        <v/>
      </c>
      <c r="O48" s="35">
        <f t="shared" ca="1" si="31"/>
        <v>-1</v>
      </c>
      <c r="P48" s="35">
        <f t="shared" ca="1" si="13"/>
        <v>-1</v>
      </c>
    </row>
    <row r="49" spans="1:16" x14ac:dyDescent="0.2">
      <c r="B49" s="7">
        <v>3</v>
      </c>
      <c r="C49" s="7">
        <v>119882</v>
      </c>
      <c r="D49" s="8">
        <f ca="1">IF(OR([1]!SNLData("287",STAT_KEY,$C49,D$4,$B49)="NA",[1]!SNLData("287",STAT_KEY,$C49,D$4,$B49)="NM"),0,[1]!SNLData("287",STAT_KEY,$C49,D$4,$B49))</f>
        <v>0</v>
      </c>
      <c r="E49" s="8">
        <f ca="1">IF(OR([1]!SNLData("287",STAT_KEY,$C49,E$4,$B49)="NA",[1]!SNLData("287",STAT_KEY,$C49,E$4,$B49)="NM"),0,[1]!SNLData("287",STAT_KEY,$C49,E$4,$B49))</f>
        <v>0</v>
      </c>
      <c r="F49" s="24" t="str">
        <f t="shared" ca="1" si="26"/>
        <v/>
      </c>
      <c r="G49" s="8">
        <f ca="1">IF(OR([1]!SNLData("287",STAT_KEY,$C49,G$4,$B49)="NA",[1]!SNLData("287",STAT_KEY,$C49,G$4,$B49)="NM"),0,[1]!SNLData("287",STAT_KEY,$C49,G$4,$B49))</f>
        <v>0</v>
      </c>
      <c r="H49" s="24" t="str">
        <f t="shared" ca="1" si="27"/>
        <v/>
      </c>
      <c r="I49" s="8">
        <f ca="1">IF(OR([1]!SNLData("287",STAT_KEY,$C49,I$4,$B49)="NA",[1]!SNLData("287",STAT_KEY,$C49,I$4,$B49)="NM"),0,[1]!SNLData("287",STAT_KEY,$C49,I$4,$B49))</f>
        <v>0</v>
      </c>
      <c r="J49" s="24" t="str">
        <f t="shared" ca="1" si="28"/>
        <v/>
      </c>
      <c r="K49" s="8">
        <f ca="1">IF(OR([1]!SNLData("287",STAT_KEY,$C49,K$4,$B49)="NA",[1]!SNLData("287",STAT_KEY,$C49,K$4,$B49)="NM"),0,[1]!SNLData("287",STAT_KEY,$C49,K$4,$B49))</f>
        <v>0</v>
      </c>
      <c r="L49" s="24" t="str">
        <f t="shared" ca="1" si="29"/>
        <v/>
      </c>
      <c r="M49" s="8">
        <f ca="1">IF(OR([1]!SNLData("287",STAT_KEY,$C49,M$4,$B49)="NA",[1]!SNLData("287",STAT_KEY,$C49,M$4,$B49)="NM"),0,[1]!SNLData("287",STAT_KEY,$C49,M$4,$B49))</f>
        <v>0</v>
      </c>
      <c r="N49" s="24" t="str">
        <f t="shared" ca="1" si="30"/>
        <v/>
      </c>
      <c r="O49" s="35" t="str">
        <f t="shared" ca="1" si="31"/>
        <v/>
      </c>
      <c r="P49" s="35" t="str">
        <f t="shared" ca="1" si="13"/>
        <v/>
      </c>
    </row>
    <row r="50" spans="1:16" x14ac:dyDescent="0.2">
      <c r="B50" s="7">
        <v>4</v>
      </c>
      <c r="C50" s="7">
        <v>119882</v>
      </c>
      <c r="D50" s="8">
        <f ca="1">IF(OR([1]!SNLData("287",STAT_KEY,$C50,D$4,$B50)="NA",[1]!SNLData("287",STAT_KEY,$C50,D$4,$B50)="NM"),0,[1]!SNLData("287",STAT_KEY,$C50,D$4,$B50))</f>
        <v>0</v>
      </c>
      <c r="E50" s="8">
        <f ca="1">IF(OR([1]!SNLData("287",STAT_KEY,$C50,E$4,$B50)="NA",[1]!SNLData("287",STAT_KEY,$C50,E$4,$B50)="NM"),0,[1]!SNLData("287",STAT_KEY,$C50,E$4,$B50))</f>
        <v>0</v>
      </c>
      <c r="F50" s="24" t="str">
        <f t="shared" ca="1" si="26"/>
        <v/>
      </c>
      <c r="G50" s="8">
        <f ca="1">IF(OR([1]!SNLData("287",STAT_KEY,$C50,G$4,$B50)="NA",[1]!SNLData("287",STAT_KEY,$C50,G$4,$B50)="NM"),0,[1]!SNLData("287",STAT_KEY,$C50,G$4,$B50))</f>
        <v>0</v>
      </c>
      <c r="H50" s="24" t="str">
        <f t="shared" ca="1" si="27"/>
        <v/>
      </c>
      <c r="I50" s="8">
        <f ca="1">IF(OR([1]!SNLData("287",STAT_KEY,$C50,I$4,$B50)="NA",[1]!SNLData("287",STAT_KEY,$C50,I$4,$B50)="NM"),0,[1]!SNLData("287",STAT_KEY,$C50,I$4,$B50))</f>
        <v>0</v>
      </c>
      <c r="J50" s="24" t="str">
        <f t="shared" ca="1" si="28"/>
        <v/>
      </c>
      <c r="K50" s="8">
        <f ca="1">IF(OR([1]!SNLData("287",STAT_KEY,$C50,K$4,$B50)="NA",[1]!SNLData("287",STAT_KEY,$C50,K$4,$B50)="NM"),0,[1]!SNLData("287",STAT_KEY,$C50,K$4,$B50))</f>
        <v>529.52</v>
      </c>
      <c r="L50" s="24" t="str">
        <f t="shared" ca="1" si="29"/>
        <v/>
      </c>
      <c r="M50" s="8">
        <f ca="1">IF(OR([1]!SNLData("287",STAT_KEY,$C50,M$4,$B50)="NA",[1]!SNLData("287",STAT_KEY,$C50,M$4,$B50)="NM"),0,[1]!SNLData("287",STAT_KEY,$C50,M$4,$B50))</f>
        <v>0</v>
      </c>
      <c r="N50" s="24">
        <f t="shared" ca="1" si="30"/>
        <v>-1</v>
      </c>
      <c r="O50" s="35" t="str">
        <f t="shared" ca="1" si="31"/>
        <v/>
      </c>
      <c r="P50" s="35" t="str">
        <f t="shared" ca="1" si="13"/>
        <v/>
      </c>
    </row>
    <row r="51" spans="1:16" x14ac:dyDescent="0.2">
      <c r="B51" s="7">
        <v>5</v>
      </c>
      <c r="C51" s="7">
        <v>119882</v>
      </c>
      <c r="D51" s="8">
        <f ca="1">IF(OR([1]!SNLData("287",STAT_KEY,$C51,D$4,$B51)="NA",[1]!SNLData("287",STAT_KEY,$C51,D$4,$B51)="NM"),0,[1]!SNLData("287",STAT_KEY,$C51,D$4,$B51))</f>
        <v>0</v>
      </c>
      <c r="E51" s="8">
        <f ca="1">IF(OR([1]!SNLData("287",STAT_KEY,$C51,E$4,$B51)="NA",[1]!SNLData("287",STAT_KEY,$C51,E$4,$B51)="NM"),0,[1]!SNLData("287",STAT_KEY,$C51,E$4,$B51))</f>
        <v>0</v>
      </c>
      <c r="F51" s="24" t="str">
        <f t="shared" ca="1" si="26"/>
        <v/>
      </c>
      <c r="G51" s="8">
        <f ca="1">IF(OR([1]!SNLData("287",STAT_KEY,$C51,G$4,$B51)="NA",[1]!SNLData("287",STAT_KEY,$C51,G$4,$B51)="NM"),0,[1]!SNLData("287",STAT_KEY,$C51,G$4,$B51))</f>
        <v>0</v>
      </c>
      <c r="H51" s="24" t="str">
        <f t="shared" ca="1" si="27"/>
        <v/>
      </c>
      <c r="I51" s="8">
        <f ca="1">IF(OR([1]!SNLData("287",STAT_KEY,$C51,I$4,$B51)="NA",[1]!SNLData("287",STAT_KEY,$C51,I$4,$B51)="NM"),0,[1]!SNLData("287",STAT_KEY,$C51,I$4,$B51))</f>
        <v>0</v>
      </c>
      <c r="J51" s="24" t="str">
        <f t="shared" ca="1" si="28"/>
        <v/>
      </c>
      <c r="K51" s="8">
        <f ca="1">IF(OR([1]!SNLData("287",STAT_KEY,$C51,K$4,$B51)="NA",[1]!SNLData("287",STAT_KEY,$C51,K$4,$B51)="NM"),0,[1]!SNLData("287",STAT_KEY,$C51,K$4,$B51))</f>
        <v>0</v>
      </c>
      <c r="L51" s="24" t="str">
        <f t="shared" ca="1" si="29"/>
        <v/>
      </c>
      <c r="M51" s="8">
        <f ca="1">IF(OR([1]!SNLData("287",STAT_KEY,$C51,M$4,$B51)="NA",[1]!SNLData("287",STAT_KEY,$C51,M$4,$B51)="NM"),0,[1]!SNLData("287",STAT_KEY,$C51,M$4,$B51))</f>
        <v>592.41999999999996</v>
      </c>
      <c r="N51" s="24" t="str">
        <f t="shared" ca="1" si="30"/>
        <v/>
      </c>
      <c r="O51" s="35" t="str">
        <f t="shared" ca="1" si="31"/>
        <v/>
      </c>
      <c r="P51" s="35" t="str">
        <f t="shared" ca="1" si="13"/>
        <v/>
      </c>
    </row>
    <row r="52" spans="1:16" x14ac:dyDescent="0.2">
      <c r="B52" s="28" t="s">
        <v>51</v>
      </c>
      <c r="D52" s="8">
        <f ca="1">SUM(D46:D48)</f>
        <v>4013940.9710000004</v>
      </c>
      <c r="E52" s="8">
        <f ca="1">SUM(E46:E48)</f>
        <v>4404022.6279999996</v>
      </c>
      <c r="F52" s="24">
        <f t="shared" ca="1" si="26"/>
        <v>9.71817123914549E-2</v>
      </c>
      <c r="G52" s="8">
        <f ca="1">SUM(G46:G48)</f>
        <v>5099129.2934099995</v>
      </c>
      <c r="H52" s="24">
        <f t="shared" ca="1" si="27"/>
        <v>0.1578344899934514</v>
      </c>
      <c r="I52" s="8">
        <f ca="1">SUM(I46:I48)</f>
        <v>4764609.6421499997</v>
      </c>
      <c r="J52" s="24">
        <f t="shared" ca="1" si="28"/>
        <v>-6.5603288720747943E-2</v>
      </c>
      <c r="K52" s="8">
        <f ca="1">SUM(K46:K48)</f>
        <v>3757141.5451999996</v>
      </c>
      <c r="L52" s="24">
        <f t="shared" ca="1" si="29"/>
        <v>-0.21144819253133751</v>
      </c>
      <c r="M52" s="8">
        <f ca="1">SUM(M46:M48)</f>
        <v>4186415.0699700001</v>
      </c>
      <c r="N52" s="24">
        <f t="shared" ca="1" si="30"/>
        <v>0.1142553506716899</v>
      </c>
      <c r="O52" s="35">
        <f t="shared" ca="1" si="31"/>
        <v>-4.941108990823273E-2</v>
      </c>
      <c r="P52" s="35">
        <f t="shared" ca="1" si="13"/>
        <v>-1.008353303648124E-2</v>
      </c>
    </row>
    <row r="53" spans="1:16" x14ac:dyDescent="0.2">
      <c r="B53" s="28" t="s">
        <v>52</v>
      </c>
      <c r="D53" s="31">
        <f ca="1">SUM(D49:D51)</f>
        <v>0</v>
      </c>
      <c r="E53" s="31">
        <f ca="1">SUM(E49:E51)</f>
        <v>0</v>
      </c>
      <c r="F53" s="24" t="str">
        <f t="shared" ca="1" si="26"/>
        <v/>
      </c>
      <c r="G53" s="31">
        <f ca="1">SUM(G49:G51)</f>
        <v>0</v>
      </c>
      <c r="H53" s="24" t="str">
        <f t="shared" ca="1" si="27"/>
        <v/>
      </c>
      <c r="I53" s="31">
        <f ca="1">SUM(I49:I51)</f>
        <v>0</v>
      </c>
      <c r="J53" s="24" t="str">
        <f t="shared" ca="1" si="28"/>
        <v/>
      </c>
      <c r="K53" s="31">
        <f ca="1">SUM(K49:K51)</f>
        <v>529.52</v>
      </c>
      <c r="L53" s="24" t="str">
        <f t="shared" ca="1" si="29"/>
        <v/>
      </c>
      <c r="M53" s="31">
        <f ca="1">SUM(M49:M51)</f>
        <v>592.41999999999996</v>
      </c>
      <c r="N53" s="24">
        <f t="shared" ca="1" si="30"/>
        <v>0.11878682580450217</v>
      </c>
      <c r="O53" s="35" t="str">
        <f t="shared" ca="1" si="31"/>
        <v/>
      </c>
      <c r="P53" s="35" t="str">
        <f t="shared" ca="1" si="13"/>
        <v/>
      </c>
    </row>
    <row r="54" spans="1:16" x14ac:dyDescent="0.2">
      <c r="B54" s="7" t="s">
        <v>9</v>
      </c>
      <c r="C54" s="7">
        <v>119882</v>
      </c>
      <c r="D54" s="8">
        <f ca="1">IF(OR([1]!SNLData("287",STAT_KEY,$C54,D$4,$B54)="NA",[1]!SNLData("287",STAT_KEY,$C54,D$4,$B54)="NM"),0,[1]!SNLData("287",STAT_KEY,$C54,D$4,$B54))</f>
        <v>4013940.9709999999</v>
      </c>
      <c r="E54" s="8">
        <f ca="1">IF(OR([1]!SNLData("287",STAT_KEY,$C54,E$4,$B54)="NA",[1]!SNLData("287",STAT_KEY,$C54,E$4,$B54)="NM"),0,[1]!SNLData("287",STAT_KEY,$C54,E$4,$B54))</f>
        <v>4404022.6280000005</v>
      </c>
      <c r="F54" s="24">
        <f t="shared" ca="1" si="26"/>
        <v>9.7181712391455344E-2</v>
      </c>
      <c r="G54" s="8">
        <f ca="1">IF(OR([1]!SNLData("287",STAT_KEY,$C54,G$4,$B54)="NA",[1]!SNLData("287",STAT_KEY,$C54,G$4,$B54)="NM"),0,[1]!SNLData("287",STAT_KEY,$C54,G$4,$B54))</f>
        <v>5099129.2934100004</v>
      </c>
      <c r="H54" s="24">
        <f t="shared" ca="1" si="27"/>
        <v>0.1578344899934514</v>
      </c>
      <c r="I54" s="8">
        <f ca="1">IF(OR([1]!SNLData("287",STAT_KEY,$C54,I$4,$B54)="NA",[1]!SNLData("287",STAT_KEY,$C54,I$4,$B54)="NM"),0,[1]!SNLData("287",STAT_KEY,$C54,I$4,$B54))</f>
        <v>4764609.6421499997</v>
      </c>
      <c r="J54" s="24">
        <f t="shared" ca="1" si="28"/>
        <v>-6.5603288720748165E-2</v>
      </c>
      <c r="K54" s="8">
        <f ca="1">IF(OR([1]!SNLData("287",STAT_KEY,$C54,K$4,$B54)="NA",[1]!SNLData("287",STAT_KEY,$C54,K$4,$B54)="NM"),0,[1]!SNLData("287",STAT_KEY,$C54,K$4,$B54))</f>
        <v>3757671.0652000001</v>
      </c>
      <c r="L54" s="24">
        <f t="shared" ca="1" si="29"/>
        <v>-0.21133705645938816</v>
      </c>
      <c r="M54" s="8">
        <f ca="1">IF(OR([1]!SNLData("287",STAT_KEY,$C54,M$4,$B54)="NA",[1]!SNLData("287",STAT_KEY,$C54,M$4,$B54)="NM"),0,[1]!SNLData("287",STAT_KEY,$C54,M$4,$B54))</f>
        <v>4187007.48997</v>
      </c>
      <c r="N54" s="24">
        <f t="shared" ca="1" si="30"/>
        <v>0.11425598923389235</v>
      </c>
      <c r="O54" s="35">
        <f t="shared" ca="1" si="31"/>
        <v>-4.9276571979956829E-2</v>
      </c>
      <c r="P54" s="35">
        <f t="shared" ca="1" si="13"/>
        <v>-1.0055517987273443E-2</v>
      </c>
    </row>
    <row r="55" spans="1:16" x14ac:dyDescent="0.2">
      <c r="A55" s="28" t="s">
        <v>111</v>
      </c>
      <c r="E55" s="7" t="str">
        <f ca="1">[1]!SNLData("287",STAT_KEY,$C55,E$4,$B55)</f>
        <v/>
      </c>
      <c r="G55" s="7" t="str">
        <f ca="1">[1]!SNLData("287",STAT_KEY,$C55,G$4,$B55)</f>
        <v/>
      </c>
      <c r="I55" s="7" t="str">
        <f ca="1">[1]!SNLData("287",STAT_KEY,$C55,I$4,$B55)</f>
        <v/>
      </c>
      <c r="K55" s="7" t="str">
        <f ca="1">[1]!SNLData("287",STAT_KEY,$C55,K$4,$B55)</f>
        <v/>
      </c>
      <c r="M55" s="7" t="str">
        <f ca="1">[1]!SNLData("287",STAT_KEY,$C55,M$4,$B55)</f>
        <v/>
      </c>
    </row>
    <row r="56" spans="1:16" x14ac:dyDescent="0.2">
      <c r="B56" s="7">
        <v>0</v>
      </c>
      <c r="C56" s="7">
        <v>119900</v>
      </c>
      <c r="D56" s="8">
        <f ca="1">IF(OR([1]!SNLData("287",STAT_KEY,$C56,D$4,$B56)="NA",[1]!SNLData("287",STAT_KEY,$C56,D$4,$B56)="NM"),0,[1]!SNLData("287",STAT_KEY,$C56,D$4,$B56))</f>
        <v>11847073.771</v>
      </c>
      <c r="E56" s="8">
        <f ca="1">IF(OR([1]!SNLData("287",STAT_KEY,$C56,E$4,$B56)="NA",[1]!SNLData("287",STAT_KEY,$C56,E$4,$B56)="NM"),0,[1]!SNLData("287",STAT_KEY,$C56,E$4,$B56))</f>
        <v>10638002.832</v>
      </c>
      <c r="F56" s="24">
        <f ca="1">IFERROR((E56/D56)-1,"")</f>
        <v>-0.10205650461632454</v>
      </c>
      <c r="G56" s="8">
        <f ca="1">IF(OR([1]!SNLData("287",STAT_KEY,$C56,G$4,$B56)="NA",[1]!SNLData("287",STAT_KEY,$C56,G$4,$B56)="NM"),0,[1]!SNLData("287",STAT_KEY,$C56,G$4,$B56))</f>
        <v>8402443.8697600011</v>
      </c>
      <c r="H56" s="24">
        <f ca="1">IFERROR((G56/E56)-1,"")</f>
        <v>-0.21014837066176095</v>
      </c>
      <c r="I56" s="8">
        <f ca="1">IF(OR([1]!SNLData("287",STAT_KEY,$C56,I$4,$B56)="NA",[1]!SNLData("287",STAT_KEY,$C56,I$4,$B56)="NM"),0,[1]!SNLData("287",STAT_KEY,$C56,I$4,$B56))</f>
        <v>8954819.1472100001</v>
      </c>
      <c r="J56" s="24">
        <f ca="1">IFERROR((I56/G56)-1,"")</f>
        <v>6.5739835458820783E-2</v>
      </c>
      <c r="K56" s="8">
        <f ca="1">IF(OR([1]!SNLData("287",STAT_KEY,$C56,K$4,$B56)="NA",[1]!SNLData("287",STAT_KEY,$C56,K$4,$B56)="NM"),0,[1]!SNLData("287",STAT_KEY,$C56,K$4,$B56))</f>
        <v>9680631.25055</v>
      </c>
      <c r="L56" s="24">
        <f ca="1">IFERROR((K56/I56)-1,"")</f>
        <v>8.1052681400733517E-2</v>
      </c>
      <c r="M56" s="8">
        <f ca="1">IF(OR([1]!SNLData("287",STAT_KEY,$C56,M$4,$B56)="NA",[1]!SNLData("287",STAT_KEY,$C56,M$4,$B56)="NM"),0,[1]!SNLData("287",STAT_KEY,$C56,M$4,$B56))</f>
        <v>7200805.2532299999</v>
      </c>
      <c r="N56" s="24">
        <f ca="1">IFERROR((M56/K56)-1,"")</f>
        <v>-0.25616366672153845</v>
      </c>
      <c r="O56" s="35">
        <f ca="1">IFERROR((M56/E56)-1,"")</f>
        <v>-0.32310553334603587</v>
      </c>
      <c r="P56" s="35">
        <f t="shared" ca="1" si="13"/>
        <v>-7.5079952562517316E-2</v>
      </c>
    </row>
    <row r="57" spans="1:16" x14ac:dyDescent="0.2">
      <c r="B57" s="7">
        <v>1</v>
      </c>
      <c r="C57" s="7">
        <v>119900</v>
      </c>
      <c r="D57" s="8">
        <f ca="1">IF(OR([1]!SNLData("287",STAT_KEY,$C57,D$4,$B57)="NA",[1]!SNLData("287",STAT_KEY,$C57,D$4,$B57)="NM"),0,[1]!SNLData("287",STAT_KEY,$C57,D$4,$B57))</f>
        <v>1795762.4920000001</v>
      </c>
      <c r="E57" s="8">
        <f ca="1">IF(OR([1]!SNLData("287",STAT_KEY,$C57,E$4,$B57)="NA",[1]!SNLData("287",STAT_KEY,$C57,E$4,$B57)="NM"),0,[1]!SNLData("287",STAT_KEY,$C57,E$4,$B57))</f>
        <v>1622948.9620000001</v>
      </c>
      <c r="F57" s="24">
        <f t="shared" ref="F57:F64" ca="1" si="32">IFERROR((E57/D57)-1,"")</f>
        <v>-9.6234068129762429E-2</v>
      </c>
      <c r="G57" s="8">
        <f ca="1">IF(OR([1]!SNLData("287",STAT_KEY,$C57,G$4,$B57)="NA",[1]!SNLData("287",STAT_KEY,$C57,G$4,$B57)="NM"),0,[1]!SNLData("287",STAT_KEY,$C57,G$4,$B57))</f>
        <v>1921867.72</v>
      </c>
      <c r="H57" s="24">
        <f t="shared" ref="H57:H64" ca="1" si="33">IFERROR((G57/E57)-1,"")</f>
        <v>0.18418247585040204</v>
      </c>
      <c r="I57" s="8">
        <f ca="1">IF(OR([1]!SNLData("287",STAT_KEY,$C57,I$4,$B57)="NA",[1]!SNLData("287",STAT_KEY,$C57,I$4,$B57)="NM"),0,[1]!SNLData("287",STAT_KEY,$C57,I$4,$B57))</f>
        <v>1766143.861</v>
      </c>
      <c r="J57" s="24">
        <f t="shared" ref="J57:J64" ca="1" si="34">IFERROR((I57/G57)-1,"")</f>
        <v>-8.1027355514353472E-2</v>
      </c>
      <c r="K57" s="8">
        <f ca="1">IF(OR([1]!SNLData("287",STAT_KEY,$C57,K$4,$B57)="NA",[1]!SNLData("287",STAT_KEY,$C57,K$4,$B57)="NM"),0,[1]!SNLData("287",STAT_KEY,$C57,K$4,$B57))</f>
        <v>2269605.622</v>
      </c>
      <c r="L57" s="24">
        <f t="shared" ref="L57:L64" ca="1" si="35">IFERROR((K57/I57)-1,"")</f>
        <v>0.28506271324632482</v>
      </c>
      <c r="M57" s="8">
        <f ca="1">IF(OR([1]!SNLData("287",STAT_KEY,$C57,M$4,$B57)="NA",[1]!SNLData("287",STAT_KEY,$C57,M$4,$B57)="NM"),0,[1]!SNLData("287",STAT_KEY,$C57,M$4,$B57))</f>
        <v>2293053.8089999999</v>
      </c>
      <c r="N57" s="24">
        <f t="shared" ref="N57:N64" ca="1" si="36">IFERROR((M57/K57)-1,"")</f>
        <v>1.0331392719822974E-2</v>
      </c>
      <c r="O57" s="35">
        <f t="shared" ref="O57:O64" ca="1" si="37">IFERROR((M57/E57)-1,"")</f>
        <v>0.41289335813383388</v>
      </c>
      <c r="P57" s="35">
        <f t="shared" ca="1" si="13"/>
        <v>7.1573282229310031E-2</v>
      </c>
    </row>
    <row r="58" spans="1:16" x14ac:dyDescent="0.2">
      <c r="B58" s="7">
        <v>2</v>
      </c>
      <c r="C58" s="7">
        <v>119900</v>
      </c>
      <c r="D58" s="8">
        <f ca="1">IF(OR([1]!SNLData("287",STAT_KEY,$C58,D$4,$B58)="NA",[1]!SNLData("287",STAT_KEY,$C58,D$4,$B58)="NM"),0,[1]!SNLData("287",STAT_KEY,$C58,D$4,$B58))</f>
        <v>130454.38500000001</v>
      </c>
      <c r="E58" s="8">
        <f ca="1">IF(OR([1]!SNLData("287",STAT_KEY,$C58,E$4,$B58)="NA",[1]!SNLData("287",STAT_KEY,$C58,E$4,$B58)="NM"),0,[1]!SNLData("287",STAT_KEY,$C58,E$4,$B58))</f>
        <v>93756.661000000007</v>
      </c>
      <c r="F58" s="24">
        <f t="shared" ca="1" si="32"/>
        <v>-0.28130694111968713</v>
      </c>
      <c r="G58" s="8">
        <f ca="1">IF(OR([1]!SNLData("287",STAT_KEY,$C58,G$4,$B58)="NA",[1]!SNLData("287",STAT_KEY,$C58,G$4,$B58)="NM"),0,[1]!SNLData("287",STAT_KEY,$C58,G$4,$B58))</f>
        <v>74053.98</v>
      </c>
      <c r="H58" s="24">
        <f t="shared" ca="1" si="33"/>
        <v>-0.21014699958224847</v>
      </c>
      <c r="I58" s="8">
        <f ca="1">IF(OR([1]!SNLData("287",STAT_KEY,$C58,I$4,$B58)="NA",[1]!SNLData("287",STAT_KEY,$C58,I$4,$B58)="NM"),0,[1]!SNLData("287",STAT_KEY,$C58,I$4,$B58))</f>
        <v>60615.317999999999</v>
      </c>
      <c r="J58" s="24">
        <f t="shared" ca="1" si="34"/>
        <v>-0.18147116468284352</v>
      </c>
      <c r="K58" s="8">
        <f ca="1">IF(OR([1]!SNLData("287",STAT_KEY,$C58,K$4,$B58)="NA",[1]!SNLData("287",STAT_KEY,$C58,K$4,$B58)="NM"),0,[1]!SNLData("287",STAT_KEY,$C58,K$4,$B58))</f>
        <v>79291.154999999999</v>
      </c>
      <c r="L58" s="24">
        <f t="shared" ca="1" si="35"/>
        <v>0.30810424850035423</v>
      </c>
      <c r="M58" s="8">
        <f ca="1">IF(OR([1]!SNLData("287",STAT_KEY,$C58,M$4,$B58)="NA",[1]!SNLData("287",STAT_KEY,$C58,M$4,$B58)="NM"),0,[1]!SNLData("287",STAT_KEY,$C58,M$4,$B58))</f>
        <v>308029.326</v>
      </c>
      <c r="N58" s="24">
        <f t="shared" ca="1" si="36"/>
        <v>2.884787981711201</v>
      </c>
      <c r="O58" s="35">
        <f t="shared" ca="1" si="37"/>
        <v>2.285412713236449</v>
      </c>
      <c r="P58" s="35">
        <f t="shared" ca="1" si="13"/>
        <v>0.26858036949174191</v>
      </c>
    </row>
    <row r="59" spans="1:16" x14ac:dyDescent="0.2">
      <c r="B59" s="7">
        <v>3</v>
      </c>
      <c r="C59" s="7">
        <v>119900</v>
      </c>
      <c r="D59" s="8">
        <f ca="1">IF(OR([1]!SNLData("287",STAT_KEY,$C59,D$4,$B59)="NA",[1]!SNLData("287",STAT_KEY,$C59,D$4,$B59)="NM"),0,[1]!SNLData("287",STAT_KEY,$C59,D$4,$B59))</f>
        <v>46533.692999999999</v>
      </c>
      <c r="E59" s="8">
        <f ca="1">IF(OR([1]!SNLData("287",STAT_KEY,$C59,E$4,$B59)="NA",[1]!SNLData("287",STAT_KEY,$C59,E$4,$B59)="NM"),0,[1]!SNLData("287",STAT_KEY,$C59,E$4,$B59))</f>
        <v>5623.2260000000006</v>
      </c>
      <c r="F59" s="24">
        <f t="shared" ca="1" si="32"/>
        <v>-0.87915796839937033</v>
      </c>
      <c r="G59" s="8">
        <f ca="1">IF(OR([1]!SNLData("287",STAT_KEY,$C59,G$4,$B59)="NA",[1]!SNLData("287",STAT_KEY,$C59,G$4,$B59)="NM"),0,[1]!SNLData("287",STAT_KEY,$C59,G$4,$B59))</f>
        <v>62695.808000000005</v>
      </c>
      <c r="H59" s="24">
        <f t="shared" ca="1" si="33"/>
        <v>10.149437707109762</v>
      </c>
      <c r="I59" s="8">
        <f ca="1">IF(OR([1]!SNLData("287",STAT_KEY,$C59,I$4,$B59)="NA",[1]!SNLData("287",STAT_KEY,$C59,I$4,$B59)="NM"),0,[1]!SNLData("287",STAT_KEY,$C59,I$4,$B59))</f>
        <v>15682.824000000001</v>
      </c>
      <c r="J59" s="24">
        <f t="shared" ca="1" si="34"/>
        <v>-0.74985849133645432</v>
      </c>
      <c r="K59" s="8">
        <f ca="1">IF(OR([1]!SNLData("287",STAT_KEY,$C59,K$4,$B59)="NA",[1]!SNLData("287",STAT_KEY,$C59,K$4,$B59)="NM"),0,[1]!SNLData("287",STAT_KEY,$C59,K$4,$B59))</f>
        <v>3804.6770000000001</v>
      </c>
      <c r="L59" s="24">
        <f t="shared" ca="1" si="35"/>
        <v>-0.75739847619280809</v>
      </c>
      <c r="M59" s="8">
        <f ca="1">IF(OR([1]!SNLData("287",STAT_KEY,$C59,M$4,$B59)="NA",[1]!SNLData("287",STAT_KEY,$C59,M$4,$B59)="NM"),0,[1]!SNLData("287",STAT_KEY,$C59,M$4,$B59))</f>
        <v>472071.30200000003</v>
      </c>
      <c r="N59" s="24">
        <f t="shared" ca="1" si="36"/>
        <v>123.07657785404648</v>
      </c>
      <c r="O59" s="35">
        <f t="shared" ca="1" si="37"/>
        <v>82.950263069632982</v>
      </c>
      <c r="P59" s="35">
        <f t="shared" ca="1" si="13"/>
        <v>1.425517499390538</v>
      </c>
    </row>
    <row r="60" spans="1:16" x14ac:dyDescent="0.2">
      <c r="B60" s="7">
        <v>4</v>
      </c>
      <c r="C60" s="7">
        <v>119900</v>
      </c>
      <c r="D60" s="8">
        <f ca="1">IF(OR([1]!SNLData("287",STAT_KEY,$C60,D$4,$B60)="NA",[1]!SNLData("287",STAT_KEY,$C60,D$4,$B60)="NM"),0,[1]!SNLData("287",STAT_KEY,$C60,D$4,$B60))</f>
        <v>109489.614</v>
      </c>
      <c r="E60" s="8">
        <f ca="1">IF(OR([1]!SNLData("287",STAT_KEY,$C60,E$4,$B60)="NA",[1]!SNLData("287",STAT_KEY,$C60,E$4,$B60)="NM"),0,[1]!SNLData("287",STAT_KEY,$C60,E$4,$B60))</f>
        <v>7899.7950000000001</v>
      </c>
      <c r="F60" s="24">
        <f t="shared" ca="1" si="32"/>
        <v>-0.92784890994318414</v>
      </c>
      <c r="G60" s="8">
        <f ca="1">IF(OR([1]!SNLData("287",STAT_KEY,$C60,G$4,$B60)="NA",[1]!SNLData("287",STAT_KEY,$C60,G$4,$B60)="NM"),0,[1]!SNLData("287",STAT_KEY,$C60,G$4,$B60))</f>
        <v>13876.992</v>
      </c>
      <c r="H60" s="24">
        <f t="shared" ca="1" si="33"/>
        <v>0.75662684917773193</v>
      </c>
      <c r="I60" s="8">
        <f ca="1">IF(OR([1]!SNLData("287",STAT_KEY,$C60,I$4,$B60)="NA",[1]!SNLData("287",STAT_KEY,$C60,I$4,$B60)="NM"),0,[1]!SNLData("287",STAT_KEY,$C60,I$4,$B60))</f>
        <v>12459.145</v>
      </c>
      <c r="J60" s="24">
        <f t="shared" ca="1" si="34"/>
        <v>-0.10217250251351295</v>
      </c>
      <c r="K60" s="8">
        <f ca="1">IF(OR([1]!SNLData("287",STAT_KEY,$C60,K$4,$B60)="NA",[1]!SNLData("287",STAT_KEY,$C60,K$4,$B60)="NM"),0,[1]!SNLData("287",STAT_KEY,$C60,K$4,$B60))</f>
        <v>43031.652999999998</v>
      </c>
      <c r="L60" s="24">
        <f t="shared" ca="1" si="35"/>
        <v>2.4538207076007219</v>
      </c>
      <c r="M60" s="8">
        <f ca="1">IF(OR([1]!SNLData("287",STAT_KEY,$C60,M$4,$B60)="NA",[1]!SNLData("287",STAT_KEY,$C60,M$4,$B60)="NM"),0,[1]!SNLData("287",STAT_KEY,$C60,M$4,$B60))</f>
        <v>15071.959000000001</v>
      </c>
      <c r="N60" s="24">
        <f t="shared" ca="1" si="36"/>
        <v>-0.64974715240430103</v>
      </c>
      <c r="O60" s="35">
        <f t="shared" ca="1" si="37"/>
        <v>0.90789241999317705</v>
      </c>
      <c r="P60" s="35">
        <f t="shared" ca="1" si="13"/>
        <v>0.13791750009915993</v>
      </c>
    </row>
    <row r="61" spans="1:16" x14ac:dyDescent="0.2">
      <c r="B61" s="7">
        <v>5</v>
      </c>
      <c r="C61" s="7">
        <v>119900</v>
      </c>
      <c r="D61" s="8">
        <f ca="1">IF(OR([1]!SNLData("287",STAT_KEY,$C61,D$4,$B61)="NA",[1]!SNLData("287",STAT_KEY,$C61,D$4,$B61)="NM"),0,[1]!SNLData("287",STAT_KEY,$C61,D$4,$B61))</f>
        <v>9839.4660000000003</v>
      </c>
      <c r="E61" s="8">
        <f ca="1">IF(OR([1]!SNLData("287",STAT_KEY,$C61,E$4,$B61)="NA",[1]!SNLData("287",STAT_KEY,$C61,E$4,$B61)="NM"),0,[1]!SNLData("287",STAT_KEY,$C61,E$4,$B61))</f>
        <v>8538.7039999999997</v>
      </c>
      <c r="F61" s="24">
        <f t="shared" ca="1" si="32"/>
        <v>-0.13219843434592904</v>
      </c>
      <c r="G61" s="8">
        <f ca="1">IF(OR([1]!SNLData("287",STAT_KEY,$C61,G$4,$B61)="NA",[1]!SNLData("287",STAT_KEY,$C61,G$4,$B61)="NM"),0,[1]!SNLData("287",STAT_KEY,$C61,G$4,$B61))</f>
        <v>4046.3630000000003</v>
      </c>
      <c r="H61" s="24">
        <f t="shared" ca="1" si="33"/>
        <v>-0.5261150872544591</v>
      </c>
      <c r="I61" s="8">
        <f ca="1">IF(OR([1]!SNLData("287",STAT_KEY,$C61,I$4,$B61)="NA",[1]!SNLData("287",STAT_KEY,$C61,I$4,$B61)="NM"),0,[1]!SNLData("287",STAT_KEY,$C61,I$4,$B61))</f>
        <v>5207.4350000000004</v>
      </c>
      <c r="J61" s="24">
        <f t="shared" ca="1" si="34"/>
        <v>0.28694212555818654</v>
      </c>
      <c r="K61" s="8">
        <f ca="1">IF(OR([1]!SNLData("287",STAT_KEY,$C61,K$4,$B61)="NA",[1]!SNLData("287",STAT_KEY,$C61,K$4,$B61)="NM"),0,[1]!SNLData("287",STAT_KEY,$C61,K$4,$B61))</f>
        <v>22.844999999999999</v>
      </c>
      <c r="L61" s="24">
        <f t="shared" ca="1" si="35"/>
        <v>-0.99561300333081448</v>
      </c>
      <c r="M61" s="8">
        <f ca="1">IF(OR([1]!SNLData("287",STAT_KEY,$C61,M$4,$B61)="NA",[1]!SNLData("287",STAT_KEY,$C61,M$4,$B61)="NM"),0,[1]!SNLData("287",STAT_KEY,$C61,M$4,$B61))</f>
        <v>12882.713</v>
      </c>
      <c r="N61" s="24">
        <f t="shared" ca="1" si="36"/>
        <v>562.91827533377113</v>
      </c>
      <c r="O61" s="35">
        <f t="shared" ca="1" si="37"/>
        <v>0.50874336433257317</v>
      </c>
      <c r="P61" s="35">
        <f t="shared" ca="1" si="13"/>
        <v>8.5733091341578804E-2</v>
      </c>
    </row>
    <row r="62" spans="1:16" x14ac:dyDescent="0.2">
      <c r="B62" s="28" t="s">
        <v>51</v>
      </c>
      <c r="D62" s="8">
        <f ca="1">SUM(D56:D58)</f>
        <v>13773290.648</v>
      </c>
      <c r="E62" s="8">
        <f ca="1">SUM(E56:E58)</f>
        <v>12354708.455</v>
      </c>
      <c r="F62" s="24">
        <f t="shared" ca="1" si="32"/>
        <v>-0.10299515411779903</v>
      </c>
      <c r="G62" s="8">
        <f ca="1">SUM(G56:G58)</f>
        <v>10398365.569760002</v>
      </c>
      <c r="H62" s="24">
        <f t="shared" ca="1" si="33"/>
        <v>-0.15834796040437993</v>
      </c>
      <c r="I62" s="8">
        <f ca="1">SUM(I56:I58)</f>
        <v>10781578.32621</v>
      </c>
      <c r="J62" s="24">
        <f t="shared" ca="1" si="34"/>
        <v>3.6853172152788716E-2</v>
      </c>
      <c r="K62" s="8">
        <f ca="1">SUM(K56:K58)</f>
        <v>12029528.027549999</v>
      </c>
      <c r="L62" s="24">
        <f t="shared" ca="1" si="35"/>
        <v>0.11574833142066376</v>
      </c>
      <c r="M62" s="8">
        <f ca="1">SUM(M56:M58)</f>
        <v>9801888.3882299997</v>
      </c>
      <c r="N62" s="24">
        <f t="shared" ca="1" si="36"/>
        <v>-0.18518096755070224</v>
      </c>
      <c r="O62" s="35">
        <f t="shared" ca="1" si="37"/>
        <v>-0.2066273013295481</v>
      </c>
      <c r="P62" s="35">
        <f t="shared" ca="1" si="13"/>
        <v>-4.5237286017595246E-2</v>
      </c>
    </row>
    <row r="63" spans="1:16" x14ac:dyDescent="0.2">
      <c r="B63" s="28" t="s">
        <v>52</v>
      </c>
      <c r="D63" s="31">
        <f ca="1">SUM(D59:D61)</f>
        <v>165862.77299999999</v>
      </c>
      <c r="E63" s="31">
        <f ca="1">SUM(E59:E61)</f>
        <v>22061.724999999999</v>
      </c>
      <c r="F63" s="24">
        <f t="shared" ca="1" si="32"/>
        <v>-0.86698808538550121</v>
      </c>
      <c r="G63" s="31">
        <f ca="1">SUM(G59:G61)</f>
        <v>80619.163</v>
      </c>
      <c r="H63" s="24">
        <f t="shared" ca="1" si="33"/>
        <v>2.6542547330274493</v>
      </c>
      <c r="I63" s="31">
        <f ca="1">SUM(I59:I61)</f>
        <v>33349.404000000002</v>
      </c>
      <c r="J63" s="24">
        <f t="shared" ca="1" si="34"/>
        <v>-0.58633403326204214</v>
      </c>
      <c r="K63" s="31">
        <f ca="1">SUM(K59:K61)</f>
        <v>46859.175000000003</v>
      </c>
      <c r="L63" s="24">
        <f t="shared" ca="1" si="35"/>
        <v>0.40509782423697893</v>
      </c>
      <c r="M63" s="31">
        <f ca="1">SUM(M59:M61)</f>
        <v>500025.97399999999</v>
      </c>
      <c r="N63" s="24">
        <f t="shared" ca="1" si="36"/>
        <v>9.6708232485953918</v>
      </c>
      <c r="O63" s="35">
        <f t="shared" ca="1" si="37"/>
        <v>21.66486296969072</v>
      </c>
      <c r="P63" s="35">
        <f t="shared" ca="1" si="13"/>
        <v>0.86668320283438294</v>
      </c>
    </row>
    <row r="64" spans="1:16" x14ac:dyDescent="0.2">
      <c r="B64" s="7" t="s">
        <v>9</v>
      </c>
      <c r="C64" s="7">
        <v>119900</v>
      </c>
      <c r="D64" s="8">
        <f ca="1">IF(OR([1]!SNLData("287",STAT_KEY,$C64,D$4,$B64)="NA",[1]!SNLData("287",STAT_KEY,$C64,D$4,$B64)="NM"),0,[1]!SNLData("287",STAT_KEY,$C64,D$4,$B64))</f>
        <v>13939153.42</v>
      </c>
      <c r="E64" s="8">
        <f ca="1">IF(OR([1]!SNLData("287",STAT_KEY,$C64,E$4,$B64)="NA",[1]!SNLData("287",STAT_KEY,$C64,E$4,$B64)="NM"),0,[1]!SNLData("287",STAT_KEY,$C64,E$4,$B64))</f>
        <v>12376770.18</v>
      </c>
      <c r="F64" s="24">
        <f t="shared" ca="1" si="32"/>
        <v>-0.11208594904754265</v>
      </c>
      <c r="G64" s="8">
        <f ca="1">IF(OR([1]!SNLData("287",STAT_KEY,$C64,G$4,$B64)="NA",[1]!SNLData("287",STAT_KEY,$C64,G$4,$B64)="NM"),0,[1]!SNLData("287",STAT_KEY,$C64,G$4,$B64))</f>
        <v>10478984.732760001</v>
      </c>
      <c r="H64" s="24">
        <f t="shared" ca="1" si="33"/>
        <v>-0.15333446607150292</v>
      </c>
      <c r="I64" s="8">
        <f ca="1">IF(OR([1]!SNLData("287",STAT_KEY,$C64,I$4,$B64)="NA",[1]!SNLData("287",STAT_KEY,$C64,I$4,$B64)="NM"),0,[1]!SNLData("287",STAT_KEY,$C64,I$4,$B64))</f>
        <v>10814927.730209999</v>
      </c>
      <c r="J64" s="24">
        <f t="shared" ca="1" si="34"/>
        <v>3.2058735270388716E-2</v>
      </c>
      <c r="K64" s="8">
        <f ca="1">IF(OR([1]!SNLData("287",STAT_KEY,$C64,K$4,$B64)="NA",[1]!SNLData("287",STAT_KEY,$C64,K$4,$B64)="NM"),0,[1]!SNLData("287",STAT_KEY,$C64,K$4,$B64))</f>
        <v>12076387.20255</v>
      </c>
      <c r="L64" s="24">
        <f t="shared" ca="1" si="35"/>
        <v>0.11664058270276634</v>
      </c>
      <c r="M64" s="8">
        <f ca="1">IF(OR([1]!SNLData("287",STAT_KEY,$C64,M$4,$B64)="NA",[1]!SNLData("287",STAT_KEY,$C64,M$4,$B64)="NM"),0,[1]!SNLData("287",STAT_KEY,$C64,M$4,$B64))</f>
        <v>10301914.362229999</v>
      </c>
      <c r="N64" s="24">
        <f t="shared" ca="1" si="36"/>
        <v>-0.14693739199959654</v>
      </c>
      <c r="O64" s="35">
        <f t="shared" ca="1" si="37"/>
        <v>-0.16764113638652056</v>
      </c>
      <c r="P64" s="35">
        <f t="shared" ca="1" si="13"/>
        <v>-3.6033099883083786E-2</v>
      </c>
    </row>
    <row r="65" spans="1:16" x14ac:dyDescent="0.2">
      <c r="A65" s="28" t="s">
        <v>109</v>
      </c>
      <c r="D65" s="8"/>
      <c r="E65" s="8"/>
      <c r="F65" s="24"/>
      <c r="G65" s="8"/>
      <c r="H65" s="24"/>
      <c r="I65" s="8"/>
      <c r="J65" s="24"/>
      <c r="K65" s="8"/>
      <c r="L65" s="24"/>
      <c r="M65" s="8"/>
      <c r="N65" s="24"/>
      <c r="O65" s="35"/>
      <c r="P65" s="35"/>
    </row>
    <row r="66" spans="1:16" x14ac:dyDescent="0.2">
      <c r="B66" s="7">
        <v>0</v>
      </c>
      <c r="C66" s="7">
        <v>119909</v>
      </c>
      <c r="D66" s="8">
        <f ca="1">IF(OR([1]!SNLData("287",STAT_KEY,$C66,D$4,$B66)="NA",[1]!SNLData("287",STAT_KEY,$C66,D$4,$B66)="NM"),0,[1]!SNLData("287",STAT_KEY,$C66,D$4,$B66))</f>
        <v>0</v>
      </c>
      <c r="E66" s="8">
        <f ca="1">IF(OR([1]!SNLData("287",STAT_KEY,$C66,E$4,$B66)="NA",[1]!SNLData("287",STAT_KEY,$C66,E$4,$B66)="NM"),0,[1]!SNLData("287",STAT_KEY,$C66,E$4,$B66))</f>
        <v>0</v>
      </c>
      <c r="F66" s="24" t="str">
        <f ca="1">IFERROR((E66/D66)-1,"")</f>
        <v/>
      </c>
      <c r="G66" s="8">
        <f ca="1">IF(OR([1]!SNLData("287",STAT_KEY,$C66,G$4,$B66)="NA",[1]!SNLData("287",STAT_KEY,$C66,G$4,$B66)="NM"),0,[1]!SNLData("287",STAT_KEY,$C66,G$4,$B66))</f>
        <v>0</v>
      </c>
      <c r="H66" s="24" t="str">
        <f ca="1">IFERROR((G66/E66)-1,"")</f>
        <v/>
      </c>
      <c r="I66" s="8">
        <f ca="1">IF(OR([1]!SNLData("287",STAT_KEY,$C66,I$4,$B66)="NA",[1]!SNLData("287",STAT_KEY,$C66,I$4,$B66)="NM"),0,[1]!SNLData("287",STAT_KEY,$C66,I$4,$B66))</f>
        <v>0</v>
      </c>
      <c r="J66" s="24" t="str">
        <f ca="1">IFERROR((I66/G66)-1,"")</f>
        <v/>
      </c>
      <c r="K66" s="8">
        <f ca="1">IF(OR([1]!SNLData("287",STAT_KEY,$C66,K$4,$B66)="NA",[1]!SNLData("287",STAT_KEY,$C66,K$4,$B66)="NM"),0,[1]!SNLData("287",STAT_KEY,$C66,K$4,$B66))</f>
        <v>0</v>
      </c>
      <c r="L66" s="24" t="str">
        <f ca="1">IFERROR((K66/I66)-1,"")</f>
        <v/>
      </c>
      <c r="M66" s="8">
        <f ca="1">IF(OR([1]!SNLData("287",STAT_KEY,$C66,M$4,$B66)="NA",[1]!SNLData("287",STAT_KEY,$C66,M$4,$B66)="NM"),0,[1]!SNLData("287",STAT_KEY,$C66,M$4,$B66))</f>
        <v>0</v>
      </c>
      <c r="N66" s="24" t="str">
        <f ca="1">IFERROR((M66/K66)-1,"")</f>
        <v/>
      </c>
      <c r="O66" s="35" t="str">
        <f ca="1">IFERROR((M66/E66)-1,"")</f>
        <v/>
      </c>
      <c r="P66" s="35" t="str">
        <f t="shared" ca="1" si="13"/>
        <v/>
      </c>
    </row>
    <row r="67" spans="1:16" x14ac:dyDescent="0.2">
      <c r="B67" s="7">
        <v>1</v>
      </c>
      <c r="C67" s="7">
        <v>119909</v>
      </c>
      <c r="D67" s="8">
        <f ca="1">IF(OR([1]!SNLData("287",STAT_KEY,$C67,D$4,$B67)="NA",[1]!SNLData("287",STAT_KEY,$C67,D$4,$B67)="NM"),0,[1]!SNLData("287",STAT_KEY,$C67,D$4,$B67))</f>
        <v>0</v>
      </c>
      <c r="E67" s="8">
        <f ca="1">IF(OR([1]!SNLData("287",STAT_KEY,$C67,E$4,$B67)="NA",[1]!SNLData("287",STAT_KEY,$C67,E$4,$B67)="NM"),0,[1]!SNLData("287",STAT_KEY,$C67,E$4,$B67))</f>
        <v>0</v>
      </c>
      <c r="F67" s="24" t="str">
        <f t="shared" ref="F67:F74" ca="1" si="38">IFERROR((E67/D67)-1,"")</f>
        <v/>
      </c>
      <c r="G67" s="8">
        <f ca="1">IF(OR([1]!SNLData("287",STAT_KEY,$C67,G$4,$B67)="NA",[1]!SNLData("287",STAT_KEY,$C67,G$4,$B67)="NM"),0,[1]!SNLData("287",STAT_KEY,$C67,G$4,$B67))</f>
        <v>0</v>
      </c>
      <c r="H67" s="24" t="str">
        <f t="shared" ref="H67:H74" ca="1" si="39">IFERROR((G67/E67)-1,"")</f>
        <v/>
      </c>
      <c r="I67" s="8">
        <f ca="1">IF(OR([1]!SNLData("287",STAT_KEY,$C67,I$4,$B67)="NA",[1]!SNLData("287",STAT_KEY,$C67,I$4,$B67)="NM"),0,[1]!SNLData("287",STAT_KEY,$C67,I$4,$B67))</f>
        <v>0</v>
      </c>
      <c r="J67" s="24" t="str">
        <f t="shared" ref="J67:J74" ca="1" si="40">IFERROR((I67/G67)-1,"")</f>
        <v/>
      </c>
      <c r="K67" s="8">
        <f ca="1">IF(OR([1]!SNLData("287",STAT_KEY,$C67,K$4,$B67)="NA",[1]!SNLData("287",STAT_KEY,$C67,K$4,$B67)="NM"),0,[1]!SNLData("287",STAT_KEY,$C67,K$4,$B67))</f>
        <v>0</v>
      </c>
      <c r="L67" s="24" t="str">
        <f t="shared" ref="L67:L74" ca="1" si="41">IFERROR((K67/I67)-1,"")</f>
        <v/>
      </c>
      <c r="M67" s="8">
        <f ca="1">IF(OR([1]!SNLData("287",STAT_KEY,$C67,M$4,$B67)="NA",[1]!SNLData("287",STAT_KEY,$C67,M$4,$B67)="NM"),0,[1]!SNLData("287",STAT_KEY,$C67,M$4,$B67))</f>
        <v>0</v>
      </c>
      <c r="N67" s="24" t="str">
        <f t="shared" ref="N67:N74" ca="1" si="42">IFERROR((M67/K67)-1,"")</f>
        <v/>
      </c>
      <c r="O67" s="35" t="str">
        <f t="shared" ref="O67:O74" ca="1" si="43">IFERROR((M67/E67)-1,"")</f>
        <v/>
      </c>
      <c r="P67" s="35" t="str">
        <f t="shared" ca="1" si="13"/>
        <v/>
      </c>
    </row>
    <row r="68" spans="1:16" x14ac:dyDescent="0.2">
      <c r="B68" s="7">
        <v>2</v>
      </c>
      <c r="C68" s="7">
        <v>119909</v>
      </c>
      <c r="D68" s="8">
        <f ca="1">IF(OR([1]!SNLData("287",STAT_KEY,$C68,D$4,$B68)="NA",[1]!SNLData("287",STAT_KEY,$C68,D$4,$B68)="NM"),0,[1]!SNLData("287",STAT_KEY,$C68,D$4,$B68))</f>
        <v>0</v>
      </c>
      <c r="E68" s="8">
        <f ca="1">IF(OR([1]!SNLData("287",STAT_KEY,$C68,E$4,$B68)="NA",[1]!SNLData("287",STAT_KEY,$C68,E$4,$B68)="NM"),0,[1]!SNLData("287",STAT_KEY,$C68,E$4,$B68))</f>
        <v>0</v>
      </c>
      <c r="F68" s="24" t="str">
        <f t="shared" ca="1" si="38"/>
        <v/>
      </c>
      <c r="G68" s="8">
        <f ca="1">IF(OR([1]!SNLData("287",STAT_KEY,$C68,G$4,$B68)="NA",[1]!SNLData("287",STAT_KEY,$C68,G$4,$B68)="NM"),0,[1]!SNLData("287",STAT_KEY,$C68,G$4,$B68))</f>
        <v>0</v>
      </c>
      <c r="H68" s="24" t="str">
        <f t="shared" ca="1" si="39"/>
        <v/>
      </c>
      <c r="I68" s="8">
        <f ca="1">IF(OR([1]!SNLData("287",STAT_KEY,$C68,I$4,$B68)="NA",[1]!SNLData("287",STAT_KEY,$C68,I$4,$B68)="NM"),0,[1]!SNLData("287",STAT_KEY,$C68,I$4,$B68))</f>
        <v>0</v>
      </c>
      <c r="J68" s="24" t="str">
        <f t="shared" ca="1" si="40"/>
        <v/>
      </c>
      <c r="K68" s="8">
        <f ca="1">IF(OR([1]!SNLData("287",STAT_KEY,$C68,K$4,$B68)="NA",[1]!SNLData("287",STAT_KEY,$C68,K$4,$B68)="NM"),0,[1]!SNLData("287",STAT_KEY,$C68,K$4,$B68))</f>
        <v>0</v>
      </c>
      <c r="L68" s="24" t="str">
        <f t="shared" ca="1" si="41"/>
        <v/>
      </c>
      <c r="M68" s="8">
        <f ca="1">IF(OR([1]!SNLData("287",STAT_KEY,$C68,M$4,$B68)="NA",[1]!SNLData("287",STAT_KEY,$C68,M$4,$B68)="NM"),0,[1]!SNLData("287",STAT_KEY,$C68,M$4,$B68))</f>
        <v>0</v>
      </c>
      <c r="N68" s="24" t="str">
        <f t="shared" ca="1" si="42"/>
        <v/>
      </c>
      <c r="O68" s="35" t="str">
        <f t="shared" ca="1" si="43"/>
        <v/>
      </c>
      <c r="P68" s="35" t="str">
        <f t="shared" ca="1" si="13"/>
        <v/>
      </c>
    </row>
    <row r="69" spans="1:16" x14ac:dyDescent="0.2">
      <c r="B69" s="7">
        <v>3</v>
      </c>
      <c r="C69" s="7">
        <v>119909</v>
      </c>
      <c r="D69" s="8">
        <f ca="1">IF(OR([1]!SNLData("287",STAT_KEY,$C69,D$4,$B69)="NA",[1]!SNLData("287",STAT_KEY,$C69,D$4,$B69)="NM"),0,[1]!SNLData("287",STAT_KEY,$C69,D$4,$B69))</f>
        <v>0</v>
      </c>
      <c r="E69" s="8">
        <f ca="1">IF(OR([1]!SNLData("287",STAT_KEY,$C69,E$4,$B69)="NA",[1]!SNLData("287",STAT_KEY,$C69,E$4,$B69)="NM"),0,[1]!SNLData("287",STAT_KEY,$C69,E$4,$B69))</f>
        <v>0</v>
      </c>
      <c r="F69" s="24" t="str">
        <f t="shared" ca="1" si="38"/>
        <v/>
      </c>
      <c r="G69" s="8">
        <f ca="1">IF(OR([1]!SNLData("287",STAT_KEY,$C69,G$4,$B69)="NA",[1]!SNLData("287",STAT_KEY,$C69,G$4,$B69)="NM"),0,[1]!SNLData("287",STAT_KEY,$C69,G$4,$B69))</f>
        <v>0</v>
      </c>
      <c r="H69" s="24" t="str">
        <f t="shared" ca="1" si="39"/>
        <v/>
      </c>
      <c r="I69" s="8">
        <f ca="1">IF(OR([1]!SNLData("287",STAT_KEY,$C69,I$4,$B69)="NA",[1]!SNLData("287",STAT_KEY,$C69,I$4,$B69)="NM"),0,[1]!SNLData("287",STAT_KEY,$C69,I$4,$B69))</f>
        <v>0</v>
      </c>
      <c r="J69" s="24" t="str">
        <f t="shared" ca="1" si="40"/>
        <v/>
      </c>
      <c r="K69" s="8">
        <f ca="1">IF(OR([1]!SNLData("287",STAT_KEY,$C69,K$4,$B69)="NA",[1]!SNLData("287",STAT_KEY,$C69,K$4,$B69)="NM"),0,[1]!SNLData("287",STAT_KEY,$C69,K$4,$B69))</f>
        <v>0</v>
      </c>
      <c r="L69" s="24" t="str">
        <f t="shared" ca="1" si="41"/>
        <v/>
      </c>
      <c r="M69" s="8">
        <f ca="1">IF(OR([1]!SNLData("287",STAT_KEY,$C69,M$4,$B69)="NA",[1]!SNLData("287",STAT_KEY,$C69,M$4,$B69)="NM"),0,[1]!SNLData("287",STAT_KEY,$C69,M$4,$B69))</f>
        <v>0</v>
      </c>
      <c r="N69" s="24" t="str">
        <f t="shared" ca="1" si="42"/>
        <v/>
      </c>
      <c r="O69" s="35" t="str">
        <f t="shared" ca="1" si="43"/>
        <v/>
      </c>
      <c r="P69" s="35" t="str">
        <f t="shared" ca="1" si="13"/>
        <v/>
      </c>
    </row>
    <row r="70" spans="1:16" x14ac:dyDescent="0.2">
      <c r="B70" s="7">
        <v>4</v>
      </c>
      <c r="C70" s="7">
        <v>119909</v>
      </c>
      <c r="D70" s="8">
        <f ca="1">IF(OR([1]!SNLData("287",STAT_KEY,$C70,D$4,$B70)="NA",[1]!SNLData("287",STAT_KEY,$C70,D$4,$B70)="NM"),0,[1]!SNLData("287",STAT_KEY,$C70,D$4,$B70))</f>
        <v>0</v>
      </c>
      <c r="E70" s="8">
        <f ca="1">IF(OR([1]!SNLData("287",STAT_KEY,$C70,E$4,$B70)="NA",[1]!SNLData("287",STAT_KEY,$C70,E$4,$B70)="NM"),0,[1]!SNLData("287",STAT_KEY,$C70,E$4,$B70))</f>
        <v>0</v>
      </c>
      <c r="F70" s="24" t="str">
        <f t="shared" ca="1" si="38"/>
        <v/>
      </c>
      <c r="G70" s="8">
        <f ca="1">IF(OR([1]!SNLData("287",STAT_KEY,$C70,G$4,$B70)="NA",[1]!SNLData("287",STAT_KEY,$C70,G$4,$B70)="NM"),0,[1]!SNLData("287",STAT_KEY,$C70,G$4,$B70))</f>
        <v>0</v>
      </c>
      <c r="H70" s="24" t="str">
        <f t="shared" ca="1" si="39"/>
        <v/>
      </c>
      <c r="I70" s="8">
        <f ca="1">IF(OR([1]!SNLData("287",STAT_KEY,$C70,I$4,$B70)="NA",[1]!SNLData("287",STAT_KEY,$C70,I$4,$B70)="NM"),0,[1]!SNLData("287",STAT_KEY,$C70,I$4,$B70))</f>
        <v>0</v>
      </c>
      <c r="J70" s="24" t="str">
        <f t="shared" ca="1" si="40"/>
        <v/>
      </c>
      <c r="K70" s="8">
        <f ca="1">IF(OR([1]!SNLData("287",STAT_KEY,$C70,K$4,$B70)="NA",[1]!SNLData("287",STAT_KEY,$C70,K$4,$B70)="NM"),0,[1]!SNLData("287",STAT_KEY,$C70,K$4,$B70))</f>
        <v>0</v>
      </c>
      <c r="L70" s="24" t="str">
        <f t="shared" ca="1" si="41"/>
        <v/>
      </c>
      <c r="M70" s="8">
        <f ca="1">IF(OR([1]!SNLData("287",STAT_KEY,$C70,M$4,$B70)="NA",[1]!SNLData("287",STAT_KEY,$C70,M$4,$B70)="NM"),0,[1]!SNLData("287",STAT_KEY,$C70,M$4,$B70))</f>
        <v>0</v>
      </c>
      <c r="N70" s="24" t="str">
        <f t="shared" ca="1" si="42"/>
        <v/>
      </c>
      <c r="O70" s="35" t="str">
        <f t="shared" ca="1" si="43"/>
        <v/>
      </c>
      <c r="P70" s="35" t="str">
        <f t="shared" ca="1" si="13"/>
        <v/>
      </c>
    </row>
    <row r="71" spans="1:16" x14ac:dyDescent="0.2">
      <c r="B71" s="7">
        <v>5</v>
      </c>
      <c r="C71" s="7">
        <v>119909</v>
      </c>
      <c r="D71" s="8">
        <f ca="1">IF(OR([1]!SNLData("287",STAT_KEY,$C71,D$4,$B71)="NA",[1]!SNLData("287",STAT_KEY,$C71,D$4,$B71)="NM"),0,[1]!SNLData("287",STAT_KEY,$C71,D$4,$B71))</f>
        <v>0</v>
      </c>
      <c r="E71" s="8">
        <f ca="1">IF(OR([1]!SNLData("287",STAT_KEY,$C71,E$4,$B71)="NA",[1]!SNLData("287",STAT_KEY,$C71,E$4,$B71)="NM"),0,[1]!SNLData("287",STAT_KEY,$C71,E$4,$B71))</f>
        <v>0</v>
      </c>
      <c r="F71" s="24" t="str">
        <f t="shared" ca="1" si="38"/>
        <v/>
      </c>
      <c r="G71" s="8">
        <f ca="1">IF(OR([1]!SNLData("287",STAT_KEY,$C71,G$4,$B71)="NA",[1]!SNLData("287",STAT_KEY,$C71,G$4,$B71)="NM"),0,[1]!SNLData("287",STAT_KEY,$C71,G$4,$B71))</f>
        <v>0</v>
      </c>
      <c r="H71" s="24" t="str">
        <f t="shared" ca="1" si="39"/>
        <v/>
      </c>
      <c r="I71" s="8">
        <f ca="1">IF(OR([1]!SNLData("287",STAT_KEY,$C71,I$4,$B71)="NA",[1]!SNLData("287",STAT_KEY,$C71,I$4,$B71)="NM"),0,[1]!SNLData("287",STAT_KEY,$C71,I$4,$B71))</f>
        <v>0</v>
      </c>
      <c r="J71" s="24" t="str">
        <f t="shared" ca="1" si="40"/>
        <v/>
      </c>
      <c r="K71" s="8">
        <f ca="1">IF(OR([1]!SNLData("287",STAT_KEY,$C71,K$4,$B71)="NA",[1]!SNLData("287",STAT_KEY,$C71,K$4,$B71)="NM"),0,[1]!SNLData("287",STAT_KEY,$C71,K$4,$B71))</f>
        <v>0</v>
      </c>
      <c r="L71" s="24" t="str">
        <f t="shared" ca="1" si="41"/>
        <v/>
      </c>
      <c r="M71" s="8">
        <f ca="1">IF(OR([1]!SNLData("287",STAT_KEY,$C71,M$4,$B71)="NA",[1]!SNLData("287",STAT_KEY,$C71,M$4,$B71)="NM"),0,[1]!SNLData("287",STAT_KEY,$C71,M$4,$B71))</f>
        <v>0</v>
      </c>
      <c r="N71" s="24" t="str">
        <f t="shared" ca="1" si="42"/>
        <v/>
      </c>
      <c r="O71" s="35" t="str">
        <f t="shared" ca="1" si="43"/>
        <v/>
      </c>
      <c r="P71" s="35" t="str">
        <f t="shared" ca="1" si="13"/>
        <v/>
      </c>
    </row>
    <row r="72" spans="1:16" x14ac:dyDescent="0.2">
      <c r="B72" s="28" t="s">
        <v>51</v>
      </c>
      <c r="D72" s="8">
        <f ca="1">SUM(D66:D68)</f>
        <v>0</v>
      </c>
      <c r="E72" s="8">
        <f ca="1">SUM(E66:E68)</f>
        <v>0</v>
      </c>
      <c r="F72" s="24" t="str">
        <f t="shared" ca="1" si="38"/>
        <v/>
      </c>
      <c r="G72" s="8">
        <f ca="1">SUM(G66:G68)</f>
        <v>0</v>
      </c>
      <c r="H72" s="24" t="str">
        <f t="shared" ca="1" si="39"/>
        <v/>
      </c>
      <c r="I72" s="8">
        <f ca="1">SUM(I66:I68)</f>
        <v>0</v>
      </c>
      <c r="J72" s="24" t="str">
        <f t="shared" ca="1" si="40"/>
        <v/>
      </c>
      <c r="K72" s="8">
        <f ca="1">SUM(K66:K68)</f>
        <v>0</v>
      </c>
      <c r="L72" s="24" t="str">
        <f t="shared" ca="1" si="41"/>
        <v/>
      </c>
      <c r="M72" s="8">
        <f ca="1">SUM(M66:M68)</f>
        <v>0</v>
      </c>
      <c r="N72" s="24" t="str">
        <f t="shared" ca="1" si="42"/>
        <v/>
      </c>
      <c r="O72" s="35" t="str">
        <f t="shared" ca="1" si="43"/>
        <v/>
      </c>
      <c r="P72" s="35" t="str">
        <f t="shared" ca="1" si="13"/>
        <v/>
      </c>
    </row>
    <row r="73" spans="1:16" x14ac:dyDescent="0.2">
      <c r="B73" s="28" t="s">
        <v>52</v>
      </c>
      <c r="D73" s="31">
        <f ca="1">SUM(D69:D71)</f>
        <v>0</v>
      </c>
      <c r="E73" s="31">
        <f ca="1">SUM(E69:E71)</f>
        <v>0</v>
      </c>
      <c r="F73" s="24" t="str">
        <f t="shared" ca="1" si="38"/>
        <v/>
      </c>
      <c r="G73" s="31">
        <f ca="1">SUM(G69:G71)</f>
        <v>0</v>
      </c>
      <c r="H73" s="24" t="str">
        <f t="shared" ca="1" si="39"/>
        <v/>
      </c>
      <c r="I73" s="31">
        <f ca="1">SUM(I69:I71)</f>
        <v>0</v>
      </c>
      <c r="J73" s="24" t="str">
        <f t="shared" ca="1" si="40"/>
        <v/>
      </c>
      <c r="K73" s="31">
        <f ca="1">SUM(K69:K71)</f>
        <v>0</v>
      </c>
      <c r="L73" s="24" t="str">
        <f t="shared" ca="1" si="41"/>
        <v/>
      </c>
      <c r="M73" s="31">
        <f ca="1">SUM(M69:M71)</f>
        <v>0</v>
      </c>
      <c r="N73" s="24" t="str">
        <f t="shared" ca="1" si="42"/>
        <v/>
      </c>
      <c r="O73" s="35" t="str">
        <f t="shared" ca="1" si="43"/>
        <v/>
      </c>
      <c r="P73" s="35" t="str">
        <f t="shared" ca="1" si="13"/>
        <v/>
      </c>
    </row>
    <row r="74" spans="1:16" x14ac:dyDescent="0.2">
      <c r="B74" s="7" t="s">
        <v>9</v>
      </c>
      <c r="C74" s="7">
        <v>119909</v>
      </c>
      <c r="D74" s="8">
        <f ca="1">IF(OR([1]!SNLData("287",STAT_KEY,$C74,D$4,$B74)="NA",[1]!SNLData("287",STAT_KEY,$C74,D$4,$B74)="NM"),0,[1]!SNLData("287",STAT_KEY,$C74,D$4,$B74))</f>
        <v>0</v>
      </c>
      <c r="E74" s="8">
        <f ca="1">IF(OR([1]!SNLData("287",STAT_KEY,$C74,E$4,$B74)="NA",[1]!SNLData("287",STAT_KEY,$C74,E$4,$B74)="NM"),0,[1]!SNLData("287",STAT_KEY,$C74,E$4,$B74))</f>
        <v>0</v>
      </c>
      <c r="F74" s="24" t="str">
        <f t="shared" ca="1" si="38"/>
        <v/>
      </c>
      <c r="G74" s="8">
        <f ca="1">IF(OR([1]!SNLData("287",STAT_KEY,$C74,G$4,$B74)="NA",[1]!SNLData("287",STAT_KEY,$C74,G$4,$B74)="NM"),0,[1]!SNLData("287",STAT_KEY,$C74,G$4,$B74))</f>
        <v>0</v>
      </c>
      <c r="H74" s="24" t="str">
        <f t="shared" ca="1" si="39"/>
        <v/>
      </c>
      <c r="I74" s="8">
        <f ca="1">IF(OR([1]!SNLData("287",STAT_KEY,$C74,I$4,$B74)="NA",[1]!SNLData("287",STAT_KEY,$C74,I$4,$B74)="NM"),0,[1]!SNLData("287",STAT_KEY,$C74,I$4,$B74))</f>
        <v>0</v>
      </c>
      <c r="J74" s="24" t="str">
        <f t="shared" ca="1" si="40"/>
        <v/>
      </c>
      <c r="K74" s="8">
        <f ca="1">IF(OR([1]!SNLData("287",STAT_KEY,$C74,K$4,$B74)="NA",[1]!SNLData("287",STAT_KEY,$C74,K$4,$B74)="NM"),0,[1]!SNLData("287",STAT_KEY,$C74,K$4,$B74))</f>
        <v>0</v>
      </c>
      <c r="L74" s="24" t="str">
        <f t="shared" ca="1" si="41"/>
        <v/>
      </c>
      <c r="M74" s="8">
        <f ca="1">IF(OR([1]!SNLData("287",STAT_KEY,$C74,M$4,$B74)="NA",[1]!SNLData("287",STAT_KEY,$C74,M$4,$B74)="NM"),0,[1]!SNLData("287",STAT_KEY,$C74,M$4,$B74))</f>
        <v>0</v>
      </c>
      <c r="N74" s="24" t="str">
        <f t="shared" ca="1" si="42"/>
        <v/>
      </c>
      <c r="O74" s="35" t="str">
        <f t="shared" ca="1" si="43"/>
        <v/>
      </c>
      <c r="P74" s="35" t="str">
        <f t="shared" ca="1" si="13"/>
        <v/>
      </c>
    </row>
    <row r="75" spans="1:16" x14ac:dyDescent="0.2">
      <c r="A75" s="7" t="str">
        <f>SUBSTITUTE([1]!SNLLabel("287",C76),": Bonds: Carrying Value ($000)","")</f>
        <v>Hybrid Securities</v>
      </c>
      <c r="E75" s="7" t="str">
        <f ca="1">[1]!SNLData("287",STAT_KEY,$C75,E$4,$B75)</f>
        <v/>
      </c>
      <c r="G75" s="7" t="str">
        <f ca="1">[1]!SNLData("287",STAT_KEY,$C75,G$4,$B75)</f>
        <v/>
      </c>
      <c r="I75" s="7" t="str">
        <f ca="1">[1]!SNLData("287",STAT_KEY,$C75,I$4,$B75)</f>
        <v/>
      </c>
      <c r="K75" s="7" t="str">
        <f ca="1">[1]!SNLData("287",STAT_KEY,$C75,K$4,$B75)</f>
        <v/>
      </c>
      <c r="M75" s="7" t="str">
        <f ca="1">[1]!SNLData("287",STAT_KEY,$C75,M$4,$B75)</f>
        <v/>
      </c>
    </row>
    <row r="76" spans="1:16" x14ac:dyDescent="0.2">
      <c r="B76" s="7">
        <v>0</v>
      </c>
      <c r="C76" s="7" t="s">
        <v>5</v>
      </c>
      <c r="D76" s="8">
        <f ca="1">IF(OR([1]!SNLData("287",STAT_KEY,$C76,D$4,$B76)="NA",[1]!SNLData("287",STAT_KEY,$C76,D$4,$B76)="NM"),0,[1]!SNLData("287",STAT_KEY,$C76,D$4,$B76))</f>
        <v>32365.556</v>
      </c>
      <c r="E76" s="8">
        <f ca="1">IF(OR([1]!SNLData("287",STAT_KEY,$C76,E$4,$B76)="NA",[1]!SNLData("287",STAT_KEY,$C76,E$4,$B76)="NM"),0,[1]!SNLData("287",STAT_KEY,$C76,E$4,$B76))</f>
        <v>14300</v>
      </c>
      <c r="F76" s="24">
        <f ca="1">IFERROR((E76/D76)-1,"")</f>
        <v>-0.55817227425353044</v>
      </c>
      <c r="G76" s="8">
        <f ca="1">IF(OR([1]!SNLData("287",STAT_KEY,$C76,G$4,$B76)="NA",[1]!SNLData("287",STAT_KEY,$C76,G$4,$B76)="NM"),0,[1]!SNLData("287",STAT_KEY,$C76,G$4,$B76))</f>
        <v>0</v>
      </c>
      <c r="H76" s="24">
        <f ca="1">IFERROR((G76/E76)-1,"")</f>
        <v>-1</v>
      </c>
      <c r="I76" s="8">
        <f ca="1">IF(OR([1]!SNLData("287",STAT_KEY,$C76,I$4,$B76)="NA",[1]!SNLData("287",STAT_KEY,$C76,I$4,$B76)="NM"),0,[1]!SNLData("287",STAT_KEY,$C76,I$4,$B76))</f>
        <v>0</v>
      </c>
      <c r="J76" s="24" t="str">
        <f ca="1">IFERROR((I76/G76)-1,"")</f>
        <v/>
      </c>
      <c r="K76" s="8">
        <f ca="1">IF(OR([1]!SNLData("287",STAT_KEY,$C76,K$4,$B76)="NA",[1]!SNLData("287",STAT_KEY,$C76,K$4,$B76)="NM"),0,[1]!SNLData("287",STAT_KEY,$C76,K$4,$B76))</f>
        <v>0</v>
      </c>
      <c r="L76" s="24" t="str">
        <f ca="1">IFERROR((K76/I76)-1,"")</f>
        <v/>
      </c>
      <c r="M76" s="8">
        <f ca="1">IF(OR([1]!SNLData("287",STAT_KEY,$C76,M$4,$B76)="NA",[1]!SNLData("287",STAT_KEY,$C76,M$4,$B76)="NM"),0,[1]!SNLData("287",STAT_KEY,$C76,M$4,$B76))</f>
        <v>64757.406000000003</v>
      </c>
      <c r="N76" s="24" t="str">
        <f ca="1">IFERROR((M76/K76)-1,"")</f>
        <v/>
      </c>
      <c r="O76" s="35">
        <f ca="1">IFERROR((M76/E76)-1,"")</f>
        <v>3.5284899300699299</v>
      </c>
      <c r="P76" s="35">
        <f t="shared" ca="1" si="13"/>
        <v>0.35266633430944361</v>
      </c>
    </row>
    <row r="77" spans="1:16" x14ac:dyDescent="0.2">
      <c r="B77" s="7">
        <v>1</v>
      </c>
      <c r="C77" s="7" t="s">
        <v>5</v>
      </c>
      <c r="D77" s="8">
        <f ca="1">IF(OR([1]!SNLData("287",STAT_KEY,$C77,D$4,$B77)="NA",[1]!SNLData("287",STAT_KEY,$C77,D$4,$B77)="NM"),0,[1]!SNLData("287",STAT_KEY,$C77,D$4,$B77))</f>
        <v>24904.534</v>
      </c>
      <c r="E77" s="8">
        <f ca="1">IF(OR([1]!SNLData("287",STAT_KEY,$C77,E$4,$B77)="NA",[1]!SNLData("287",STAT_KEY,$C77,E$4,$B77)="NM"),0,[1]!SNLData("287",STAT_KEY,$C77,E$4,$B77))</f>
        <v>42958.434000000001</v>
      </c>
      <c r="F77" s="24">
        <f t="shared" ref="F77:F84" ca="1" si="44">IFERROR((E77/D77)-1,"")</f>
        <v>0.72492422464118378</v>
      </c>
      <c r="G77" s="8">
        <f ca="1">IF(OR([1]!SNLData("287",STAT_KEY,$C77,G$4,$B77)="NA",[1]!SNLData("287",STAT_KEY,$C77,G$4,$B77)="NM"),0,[1]!SNLData("287",STAT_KEY,$C77,G$4,$B77))</f>
        <v>27301.242000000002</v>
      </c>
      <c r="H77" s="24">
        <f t="shared" ref="H77:H84" ca="1" si="45">IFERROR((G77/E77)-1,"")</f>
        <v>-0.36447306249571387</v>
      </c>
      <c r="I77" s="8">
        <f ca="1">IF(OR([1]!SNLData("287",STAT_KEY,$C77,I$4,$B77)="NA",[1]!SNLData("287",STAT_KEY,$C77,I$4,$B77)="NM"),0,[1]!SNLData("287",STAT_KEY,$C77,I$4,$B77))</f>
        <v>27293.507000000001</v>
      </c>
      <c r="J77" s="24">
        <f t="shared" ref="J77:J84" ca="1" si="46">IFERROR((I77/G77)-1,"")</f>
        <v>-2.8332044380985355E-4</v>
      </c>
      <c r="K77" s="8">
        <f ca="1">IF(OR([1]!SNLData("287",STAT_KEY,$C77,K$4,$B77)="NA",[1]!SNLData("287",STAT_KEY,$C77,K$4,$B77)="NM"),0,[1]!SNLData("287",STAT_KEY,$C77,K$4,$B77))</f>
        <v>27285.294000000002</v>
      </c>
      <c r="L77" s="24">
        <f t="shared" ref="L77:L84" ca="1" si="47">IFERROR((K77/I77)-1,"")</f>
        <v>-3.0091405988974529E-4</v>
      </c>
      <c r="M77" s="8">
        <f ca="1">IF(OR([1]!SNLData("287",STAT_KEY,$C77,M$4,$B77)="NA",[1]!SNLData("287",STAT_KEY,$C77,M$4,$B77)="NM"),0,[1]!SNLData("287",STAT_KEY,$C77,M$4,$B77))</f>
        <v>27278.400000000001</v>
      </c>
      <c r="N77" s="24">
        <f t="shared" ref="N77:N84" ca="1" si="48">IFERROR((M77/K77)-1,"")</f>
        <v>-2.5266357767672609E-4</v>
      </c>
      <c r="O77" s="35">
        <f t="shared" ref="O77:O84" ca="1" si="49">IFERROR((M77/E77)-1,"")</f>
        <v>-0.36500478578897921</v>
      </c>
      <c r="P77" s="35">
        <f t="shared" ca="1" si="13"/>
        <v>-8.6824837818406775E-2</v>
      </c>
    </row>
    <row r="78" spans="1:16" x14ac:dyDescent="0.2">
      <c r="B78" s="7">
        <v>2</v>
      </c>
      <c r="C78" s="7" t="s">
        <v>5</v>
      </c>
      <c r="D78" s="8">
        <f ca="1">IF(OR([1]!SNLData("287",STAT_KEY,$C78,D$4,$B78)="NA",[1]!SNLData("287",STAT_KEY,$C78,D$4,$B78)="NM"),0,[1]!SNLData("287",STAT_KEY,$C78,D$4,$B78))</f>
        <v>0</v>
      </c>
      <c r="E78" s="8">
        <f ca="1">IF(OR([1]!SNLData("287",STAT_KEY,$C78,E$4,$B78)="NA",[1]!SNLData("287",STAT_KEY,$C78,E$4,$B78)="NM"),0,[1]!SNLData("287",STAT_KEY,$C78,E$4,$B78))</f>
        <v>0</v>
      </c>
      <c r="F78" s="24" t="str">
        <f t="shared" ca="1" si="44"/>
        <v/>
      </c>
      <c r="G78" s="8">
        <f ca="1">IF(OR([1]!SNLData("287",STAT_KEY,$C78,G$4,$B78)="NA",[1]!SNLData("287",STAT_KEY,$C78,G$4,$B78)="NM"),0,[1]!SNLData("287",STAT_KEY,$C78,G$4,$B78))</f>
        <v>0</v>
      </c>
      <c r="H78" s="24" t="str">
        <f t="shared" ca="1" si="45"/>
        <v/>
      </c>
      <c r="I78" s="8">
        <f ca="1">IF(OR([1]!SNLData("287",STAT_KEY,$C78,I$4,$B78)="NA",[1]!SNLData("287",STAT_KEY,$C78,I$4,$B78)="NM"),0,[1]!SNLData("287",STAT_KEY,$C78,I$4,$B78))</f>
        <v>0</v>
      </c>
      <c r="J78" s="24" t="str">
        <f t="shared" ca="1" si="46"/>
        <v/>
      </c>
      <c r="K78" s="8">
        <f ca="1">IF(OR([1]!SNLData("287",STAT_KEY,$C78,K$4,$B78)="NA",[1]!SNLData("287",STAT_KEY,$C78,K$4,$B78)="NM"),0,[1]!SNLData("287",STAT_KEY,$C78,K$4,$B78))</f>
        <v>0</v>
      </c>
      <c r="L78" s="24" t="str">
        <f t="shared" ca="1" si="47"/>
        <v/>
      </c>
      <c r="M78" s="8">
        <f ca="1">IF(OR([1]!SNLData("287",STAT_KEY,$C78,M$4,$B78)="NA",[1]!SNLData("287",STAT_KEY,$C78,M$4,$B78)="NM"),0,[1]!SNLData("287",STAT_KEY,$C78,M$4,$B78))</f>
        <v>7644.826</v>
      </c>
      <c r="N78" s="24" t="str">
        <f t="shared" ca="1" si="48"/>
        <v/>
      </c>
      <c r="O78" s="35" t="str">
        <f t="shared" ca="1" si="49"/>
        <v/>
      </c>
      <c r="P78" s="35" t="str">
        <f t="shared" ca="1" si="13"/>
        <v/>
      </c>
    </row>
    <row r="79" spans="1:16" x14ac:dyDescent="0.2">
      <c r="B79" s="7">
        <v>3</v>
      </c>
      <c r="C79" s="7" t="s">
        <v>5</v>
      </c>
      <c r="D79" s="8">
        <f ca="1">IF(OR([1]!SNLData("287",STAT_KEY,$C79,D$4,$B79)="NA",[1]!SNLData("287",STAT_KEY,$C79,D$4,$B79)="NM"),0,[1]!SNLData("287",STAT_KEY,$C79,D$4,$B79))</f>
        <v>0</v>
      </c>
      <c r="E79" s="8">
        <f ca="1">IF(OR([1]!SNLData("287",STAT_KEY,$C79,E$4,$B79)="NA",[1]!SNLData("287",STAT_KEY,$C79,E$4,$B79)="NM"),0,[1]!SNLData("287",STAT_KEY,$C79,E$4,$B79))</f>
        <v>0</v>
      </c>
      <c r="F79" s="24" t="str">
        <f t="shared" ca="1" si="44"/>
        <v/>
      </c>
      <c r="G79" s="8">
        <f ca="1">IF(OR([1]!SNLData("287",STAT_KEY,$C79,G$4,$B79)="NA",[1]!SNLData("287",STAT_KEY,$C79,G$4,$B79)="NM"),0,[1]!SNLData("287",STAT_KEY,$C79,G$4,$B79))</f>
        <v>0</v>
      </c>
      <c r="H79" s="24" t="str">
        <f t="shared" ca="1" si="45"/>
        <v/>
      </c>
      <c r="I79" s="8">
        <f ca="1">IF(OR([1]!SNLData("287",STAT_KEY,$C79,I$4,$B79)="NA",[1]!SNLData("287",STAT_KEY,$C79,I$4,$B79)="NM"),0,[1]!SNLData("287",STAT_KEY,$C79,I$4,$B79))</f>
        <v>0</v>
      </c>
      <c r="J79" s="24" t="str">
        <f t="shared" ca="1" si="46"/>
        <v/>
      </c>
      <c r="K79" s="8">
        <f ca="1">IF(OR([1]!SNLData("287",STAT_KEY,$C79,K$4,$B79)="NA",[1]!SNLData("287",STAT_KEY,$C79,K$4,$B79)="NM"),0,[1]!SNLData("287",STAT_KEY,$C79,K$4,$B79))</f>
        <v>0</v>
      </c>
      <c r="L79" s="24" t="str">
        <f t="shared" ca="1" si="47"/>
        <v/>
      </c>
      <c r="M79" s="8">
        <f ca="1">IF(OR([1]!SNLData("287",STAT_KEY,$C79,M$4,$B79)="NA",[1]!SNLData("287",STAT_KEY,$C79,M$4,$B79)="NM"),0,[1]!SNLData("287",STAT_KEY,$C79,M$4,$B79))</f>
        <v>0</v>
      </c>
      <c r="N79" s="24" t="str">
        <f t="shared" ca="1" si="48"/>
        <v/>
      </c>
      <c r="O79" s="35" t="str">
        <f t="shared" ca="1" si="49"/>
        <v/>
      </c>
      <c r="P79" s="35" t="str">
        <f t="shared" ca="1" si="13"/>
        <v/>
      </c>
    </row>
    <row r="80" spans="1:16" x14ac:dyDescent="0.2">
      <c r="B80" s="7">
        <v>4</v>
      </c>
      <c r="C80" s="7" t="s">
        <v>5</v>
      </c>
      <c r="D80" s="8">
        <f ca="1">IF(OR([1]!SNLData("287",STAT_KEY,$C80,D$4,$B80)="NA",[1]!SNLData("287",STAT_KEY,$C80,D$4,$B80)="NM"),0,[1]!SNLData("287",STAT_KEY,$C80,D$4,$B80))</f>
        <v>0</v>
      </c>
      <c r="E80" s="8">
        <f ca="1">IF(OR([1]!SNLData("287",STAT_KEY,$C80,E$4,$B80)="NA",[1]!SNLData("287",STAT_KEY,$C80,E$4,$B80)="NM"),0,[1]!SNLData("287",STAT_KEY,$C80,E$4,$B80))</f>
        <v>0</v>
      </c>
      <c r="F80" s="24" t="str">
        <f t="shared" ca="1" si="44"/>
        <v/>
      </c>
      <c r="G80" s="8">
        <f ca="1">IF(OR([1]!SNLData("287",STAT_KEY,$C80,G$4,$B80)="NA",[1]!SNLData("287",STAT_KEY,$C80,G$4,$B80)="NM"),0,[1]!SNLData("287",STAT_KEY,$C80,G$4,$B80))</f>
        <v>0</v>
      </c>
      <c r="H80" s="24" t="str">
        <f t="shared" ca="1" si="45"/>
        <v/>
      </c>
      <c r="I80" s="8">
        <f ca="1">IF(OR([1]!SNLData("287",STAT_KEY,$C80,I$4,$B80)="NA",[1]!SNLData("287",STAT_KEY,$C80,I$4,$B80)="NM"),0,[1]!SNLData("287",STAT_KEY,$C80,I$4,$B80))</f>
        <v>0</v>
      </c>
      <c r="J80" s="24" t="str">
        <f t="shared" ca="1" si="46"/>
        <v/>
      </c>
      <c r="K80" s="8">
        <f ca="1">IF(OR([1]!SNLData("287",STAT_KEY,$C80,K$4,$B80)="NA",[1]!SNLData("287",STAT_KEY,$C80,K$4,$B80)="NM"),0,[1]!SNLData("287",STAT_KEY,$C80,K$4,$B80))</f>
        <v>0</v>
      </c>
      <c r="L80" s="24" t="str">
        <f t="shared" ca="1" si="47"/>
        <v/>
      </c>
      <c r="M80" s="8">
        <f ca="1">IF(OR([1]!SNLData("287",STAT_KEY,$C80,M$4,$B80)="NA",[1]!SNLData("287",STAT_KEY,$C80,M$4,$B80)="NM"),0,[1]!SNLData("287",STAT_KEY,$C80,M$4,$B80))</f>
        <v>0</v>
      </c>
      <c r="N80" s="24" t="str">
        <f t="shared" ca="1" si="48"/>
        <v/>
      </c>
      <c r="O80" s="35" t="str">
        <f t="shared" ca="1" si="49"/>
        <v/>
      </c>
      <c r="P80" s="35" t="str">
        <f t="shared" ca="1" si="13"/>
        <v/>
      </c>
    </row>
    <row r="81" spans="1:16" x14ac:dyDescent="0.2">
      <c r="B81" s="7">
        <v>5</v>
      </c>
      <c r="C81" s="7" t="s">
        <v>5</v>
      </c>
      <c r="D81" s="8">
        <f ca="1">IF(OR([1]!SNLData("287",STAT_KEY,$C81,D$4,$B81)="NA",[1]!SNLData("287",STAT_KEY,$C81,D$4,$B81)="NM"),0,[1]!SNLData("287",STAT_KEY,$C81,D$4,$B81))</f>
        <v>0</v>
      </c>
      <c r="E81" s="8">
        <f ca="1">IF(OR([1]!SNLData("287",STAT_KEY,$C81,E$4,$B81)="NA",[1]!SNLData("287",STAT_KEY,$C81,E$4,$B81)="NM"),0,[1]!SNLData("287",STAT_KEY,$C81,E$4,$B81))</f>
        <v>0</v>
      </c>
      <c r="F81" s="24" t="str">
        <f t="shared" ca="1" si="44"/>
        <v/>
      </c>
      <c r="G81" s="8">
        <f ca="1">IF(OR([1]!SNLData("287",STAT_KEY,$C81,G$4,$B81)="NA",[1]!SNLData("287",STAT_KEY,$C81,G$4,$B81)="NM"),0,[1]!SNLData("287",STAT_KEY,$C81,G$4,$B81))</f>
        <v>0</v>
      </c>
      <c r="H81" s="24" t="str">
        <f t="shared" ca="1" si="45"/>
        <v/>
      </c>
      <c r="I81" s="8">
        <f ca="1">IF(OR([1]!SNLData("287",STAT_KEY,$C81,I$4,$B81)="NA",[1]!SNLData("287",STAT_KEY,$C81,I$4,$B81)="NM"),0,[1]!SNLData("287",STAT_KEY,$C81,I$4,$B81))</f>
        <v>0</v>
      </c>
      <c r="J81" s="24" t="str">
        <f t="shared" ca="1" si="46"/>
        <v/>
      </c>
      <c r="K81" s="8">
        <f ca="1">IF(OR([1]!SNLData("287",STAT_KEY,$C81,K$4,$B81)="NA",[1]!SNLData("287",STAT_KEY,$C81,K$4,$B81)="NM"),0,[1]!SNLData("287",STAT_KEY,$C81,K$4,$B81))</f>
        <v>0</v>
      </c>
      <c r="L81" s="24" t="str">
        <f t="shared" ca="1" si="47"/>
        <v/>
      </c>
      <c r="M81" s="8">
        <f ca="1">IF(OR([1]!SNLData("287",STAT_KEY,$C81,M$4,$B81)="NA",[1]!SNLData("287",STAT_KEY,$C81,M$4,$B81)="NM"),0,[1]!SNLData("287",STAT_KEY,$C81,M$4,$B81))</f>
        <v>0</v>
      </c>
      <c r="N81" s="24" t="str">
        <f t="shared" ca="1" si="48"/>
        <v/>
      </c>
      <c r="O81" s="35" t="str">
        <f t="shared" ca="1" si="49"/>
        <v/>
      </c>
      <c r="P81" s="35" t="str">
        <f t="shared" ca="1" si="13"/>
        <v/>
      </c>
    </row>
    <row r="82" spans="1:16" x14ac:dyDescent="0.2">
      <c r="B82" s="28" t="s">
        <v>51</v>
      </c>
      <c r="D82" s="8">
        <f ca="1">SUM(D76:D78)</f>
        <v>57270.09</v>
      </c>
      <c r="E82" s="8">
        <f ca="1">SUM(E76:E78)</f>
        <v>57258.434000000001</v>
      </c>
      <c r="F82" s="24">
        <f t="shared" ca="1" si="44"/>
        <v>-2.0352683224345025E-4</v>
      </c>
      <c r="G82" s="8">
        <f ca="1">SUM(G76:G78)</f>
        <v>27301.242000000002</v>
      </c>
      <c r="H82" s="24">
        <f t="shared" ca="1" si="45"/>
        <v>-0.52319265315569052</v>
      </c>
      <c r="I82" s="8">
        <f ca="1">SUM(I76:I78)</f>
        <v>27293.507000000001</v>
      </c>
      <c r="J82" s="24">
        <f t="shared" ca="1" si="46"/>
        <v>-2.8332044380985355E-4</v>
      </c>
      <c r="K82" s="8">
        <f ca="1">SUM(K76:K78)</f>
        <v>27285.294000000002</v>
      </c>
      <c r="L82" s="24">
        <f t="shared" ca="1" si="47"/>
        <v>-3.0091405988974529E-4</v>
      </c>
      <c r="M82" s="8">
        <f ca="1">SUM(M76:M78)</f>
        <v>99680.632000000012</v>
      </c>
      <c r="N82" s="24">
        <f t="shared" ca="1" si="48"/>
        <v>2.6532731514639352</v>
      </c>
      <c r="O82" s="35">
        <f t="shared" ca="1" si="49"/>
        <v>0.74088994470229497</v>
      </c>
      <c r="P82" s="35">
        <f t="shared" ca="1" si="13"/>
        <v>0.11726003312647504</v>
      </c>
    </row>
    <row r="83" spans="1:16" x14ac:dyDescent="0.2">
      <c r="B83" s="28" t="s">
        <v>52</v>
      </c>
      <c r="D83" s="31">
        <f ca="1">SUM(D79:D81)</f>
        <v>0</v>
      </c>
      <c r="E83" s="31">
        <f ca="1">SUM(E79:E81)</f>
        <v>0</v>
      </c>
      <c r="F83" s="24" t="str">
        <f t="shared" ca="1" si="44"/>
        <v/>
      </c>
      <c r="G83" s="31">
        <f ca="1">SUM(G79:G81)</f>
        <v>0</v>
      </c>
      <c r="H83" s="24" t="str">
        <f t="shared" ca="1" si="45"/>
        <v/>
      </c>
      <c r="I83" s="31">
        <f ca="1">SUM(I79:I81)</f>
        <v>0</v>
      </c>
      <c r="J83" s="24" t="str">
        <f t="shared" ca="1" si="46"/>
        <v/>
      </c>
      <c r="K83" s="31">
        <f ca="1">SUM(K79:K81)</f>
        <v>0</v>
      </c>
      <c r="L83" s="24" t="str">
        <f t="shared" ca="1" si="47"/>
        <v/>
      </c>
      <c r="M83" s="31">
        <f ca="1">SUM(M79:M81)</f>
        <v>0</v>
      </c>
      <c r="N83" s="24" t="str">
        <f t="shared" ca="1" si="48"/>
        <v/>
      </c>
      <c r="O83" s="35" t="str">
        <f t="shared" ca="1" si="49"/>
        <v/>
      </c>
      <c r="P83" s="35" t="str">
        <f t="shared" ca="1" si="13"/>
        <v/>
      </c>
    </row>
    <row r="84" spans="1:16" x14ac:dyDescent="0.2">
      <c r="B84" s="7" t="s">
        <v>9</v>
      </c>
      <c r="C84" s="7" t="s">
        <v>5</v>
      </c>
      <c r="D84" s="8">
        <f ca="1">IF(OR([1]!SNLData("287",STAT_KEY,$C84,D$4,$B84)="NA",[1]!SNLData("287",STAT_KEY,$C84,D$4,$B84)="NM"),0,[1]!SNLData("287",STAT_KEY,$C84,D$4,$B84))</f>
        <v>57270.090000000004</v>
      </c>
      <c r="E84" s="8">
        <f ca="1">IF(OR([1]!SNLData("287",STAT_KEY,$C84,E$4,$B84)="NA",[1]!SNLData("287",STAT_KEY,$C84,E$4,$B84)="NM"),0,[1]!SNLData("287",STAT_KEY,$C84,E$4,$B84))</f>
        <v>57258.434000000001</v>
      </c>
      <c r="F84" s="24">
        <f t="shared" ca="1" si="44"/>
        <v>-2.0352683224356127E-4</v>
      </c>
      <c r="G84" s="8">
        <f ca="1">IF(OR([1]!SNLData("287",STAT_KEY,$C84,G$4,$B84)="NA",[1]!SNLData("287",STAT_KEY,$C84,G$4,$B84)="NM"),0,[1]!SNLData("287",STAT_KEY,$C84,G$4,$B84))</f>
        <v>27301.242000000002</v>
      </c>
      <c r="H84" s="24">
        <f t="shared" ca="1" si="45"/>
        <v>-0.52319265315569052</v>
      </c>
      <c r="I84" s="8">
        <f ca="1">IF(OR([1]!SNLData("287",STAT_KEY,$C84,I$4,$B84)="NA",[1]!SNLData("287",STAT_KEY,$C84,I$4,$B84)="NM"),0,[1]!SNLData("287",STAT_KEY,$C84,I$4,$B84))</f>
        <v>27293.507000000001</v>
      </c>
      <c r="J84" s="24">
        <f t="shared" ca="1" si="46"/>
        <v>-2.8332044380985355E-4</v>
      </c>
      <c r="K84" s="8">
        <f ca="1">IF(OR([1]!SNLData("287",STAT_KEY,$C84,K$4,$B84)="NA",[1]!SNLData("287",STAT_KEY,$C84,K$4,$B84)="NM"),0,[1]!SNLData("287",STAT_KEY,$C84,K$4,$B84))</f>
        <v>27285.294000000002</v>
      </c>
      <c r="L84" s="24">
        <f t="shared" ca="1" si="47"/>
        <v>-3.0091405988974529E-4</v>
      </c>
      <c r="M84" s="8">
        <f ca="1">IF(OR([1]!SNLData("287",STAT_KEY,$C84,M$4,$B84)="NA",[1]!SNLData("287",STAT_KEY,$C84,M$4,$B84)="NM"),0,[1]!SNLData("287",STAT_KEY,$C84,M$4,$B84))</f>
        <v>99680.631999999998</v>
      </c>
      <c r="N84" s="24">
        <f t="shared" ca="1" si="48"/>
        <v>2.6532731514639347</v>
      </c>
      <c r="O84" s="35">
        <f t="shared" ca="1" si="49"/>
        <v>0.74088994470229474</v>
      </c>
      <c r="P84" s="35">
        <f t="shared" ca="1" si="13"/>
        <v>0.11726003312647504</v>
      </c>
    </row>
    <row r="85" spans="1:16" x14ac:dyDescent="0.2">
      <c r="A85" s="7" t="str">
        <f>SUBSTITUTE([1]!SNLLabel("287",C86),": Bonds: Carrying Value ($000)","")</f>
        <v>Parents, Sub, Aff</v>
      </c>
      <c r="E85" s="7" t="str">
        <f ca="1">[1]!SNLData("287",STAT_KEY,$C85,E$4,$B85)</f>
        <v/>
      </c>
      <c r="G85" s="7" t="str">
        <f ca="1">[1]!SNLData("287",STAT_KEY,$C85,G$4,$B85)</f>
        <v/>
      </c>
      <c r="I85" s="7" t="str">
        <f ca="1">[1]!SNLData("287",STAT_KEY,$C85,I$4,$B85)</f>
        <v/>
      </c>
      <c r="K85" s="7" t="str">
        <f ca="1">[1]!SNLData("287",STAT_KEY,$C85,K$4,$B85)</f>
        <v/>
      </c>
      <c r="M85" s="7" t="str">
        <f ca="1">[1]!SNLData("287",STAT_KEY,$C85,M$4,$B85)</f>
        <v/>
      </c>
    </row>
    <row r="86" spans="1:16" x14ac:dyDescent="0.2">
      <c r="B86" s="7">
        <v>0</v>
      </c>
      <c r="C86" s="7">
        <v>119918</v>
      </c>
      <c r="D86" s="8">
        <f ca="1">IF(OR([1]!SNLData("287",STAT_KEY,$C86,D$4,$B86)="NA",[1]!SNLData("287",STAT_KEY,$C86,D$4,$B86)="NM"),0,[1]!SNLData("287",STAT_KEY,$C86,D$4,$B86))</f>
        <v>0</v>
      </c>
      <c r="E86" s="8">
        <f ca="1">IF(OR([1]!SNLData("287",STAT_KEY,$C86,E$4,$B86)="NA",[1]!SNLData("287",STAT_KEY,$C86,E$4,$B86)="NM"),0,[1]!SNLData("287",STAT_KEY,$C86,E$4,$B86))</f>
        <v>0</v>
      </c>
      <c r="F86" s="24" t="str">
        <f ca="1">IFERROR((E86/D86)-1,"")</f>
        <v/>
      </c>
      <c r="G86" s="8">
        <f ca="1">IF(OR([1]!SNLData("287",STAT_KEY,$C86,G$4,$B86)="NA",[1]!SNLData("287",STAT_KEY,$C86,G$4,$B86)="NM"),0,[1]!SNLData("287",STAT_KEY,$C86,G$4,$B86))</f>
        <v>0</v>
      </c>
      <c r="H86" s="24" t="str">
        <f ca="1">IFERROR((G86/E86)-1,"")</f>
        <v/>
      </c>
      <c r="I86" s="8">
        <f ca="1">IF(OR([1]!SNLData("287",STAT_KEY,$C86,I$4,$B86)="NA",[1]!SNLData("287",STAT_KEY,$C86,I$4,$B86)="NM"),0,[1]!SNLData("287",STAT_KEY,$C86,I$4,$B86))</f>
        <v>0</v>
      </c>
      <c r="J86" s="24" t="str">
        <f ca="1">IFERROR((I86/G86)-1,"")</f>
        <v/>
      </c>
      <c r="K86" s="8">
        <f ca="1">IF(OR([1]!SNLData("287",STAT_KEY,$C86,K$4,$B86)="NA",[1]!SNLData("287",STAT_KEY,$C86,K$4,$B86)="NM"),0,[1]!SNLData("287",STAT_KEY,$C86,K$4,$B86))</f>
        <v>0</v>
      </c>
      <c r="L86" s="24" t="str">
        <f ca="1">IFERROR((K86/I86)-1,"")</f>
        <v/>
      </c>
      <c r="M86" s="8">
        <f ca="1">IF(OR([1]!SNLData("287",STAT_KEY,$C86,M$4,$B86)="NA",[1]!SNLData("287",STAT_KEY,$C86,M$4,$B86)="NM"),0,[1]!SNLData("287",STAT_KEY,$C86,M$4,$B86))</f>
        <v>0</v>
      </c>
      <c r="N86" s="24" t="str">
        <f ca="1">IFERROR((M86/K86)-1,"")</f>
        <v/>
      </c>
      <c r="O86" s="35" t="str">
        <f ca="1">IFERROR((M86/E86)-1,"")</f>
        <v/>
      </c>
      <c r="P86" s="35" t="str">
        <f t="shared" ca="1" si="13"/>
        <v/>
      </c>
    </row>
    <row r="87" spans="1:16" x14ac:dyDescent="0.2">
      <c r="B87" s="7">
        <v>1</v>
      </c>
      <c r="C87" s="7">
        <v>119918</v>
      </c>
      <c r="D87" s="8">
        <f ca="1">IF(OR([1]!SNLData("287",STAT_KEY,$C87,D$4,$B87)="NA",[1]!SNLData("287",STAT_KEY,$C87,D$4,$B87)="NM"),0,[1]!SNLData("287",STAT_KEY,$C87,D$4,$B87))</f>
        <v>0</v>
      </c>
      <c r="E87" s="8">
        <f ca="1">IF(OR([1]!SNLData("287",STAT_KEY,$C87,E$4,$B87)="NA",[1]!SNLData("287",STAT_KEY,$C87,E$4,$B87)="NM"),0,[1]!SNLData("287",STAT_KEY,$C87,E$4,$B87))</f>
        <v>0</v>
      </c>
      <c r="F87" s="24" t="str">
        <f t="shared" ref="F87:F94" ca="1" si="50">IFERROR((E87/D87)-1,"")</f>
        <v/>
      </c>
      <c r="G87" s="8">
        <f ca="1">IF(OR([1]!SNLData("287",STAT_KEY,$C87,G$4,$B87)="NA",[1]!SNLData("287",STAT_KEY,$C87,G$4,$B87)="NM"),0,[1]!SNLData("287",STAT_KEY,$C87,G$4,$B87))</f>
        <v>0</v>
      </c>
      <c r="H87" s="24" t="str">
        <f t="shared" ref="H87:H94" ca="1" si="51">IFERROR((G87/E87)-1,"")</f>
        <v/>
      </c>
      <c r="I87" s="8">
        <f ca="1">IF(OR([1]!SNLData("287",STAT_KEY,$C87,I$4,$B87)="NA",[1]!SNLData("287",STAT_KEY,$C87,I$4,$B87)="NM"),0,[1]!SNLData("287",STAT_KEY,$C87,I$4,$B87))</f>
        <v>0</v>
      </c>
      <c r="J87" s="24" t="str">
        <f t="shared" ref="J87:J94" ca="1" si="52">IFERROR((I87/G87)-1,"")</f>
        <v/>
      </c>
      <c r="K87" s="8">
        <f ca="1">IF(OR([1]!SNLData("287",STAT_KEY,$C87,K$4,$B87)="NA",[1]!SNLData("287",STAT_KEY,$C87,K$4,$B87)="NM"),0,[1]!SNLData("287",STAT_KEY,$C87,K$4,$B87))</f>
        <v>0</v>
      </c>
      <c r="L87" s="24" t="str">
        <f t="shared" ref="L87:L94" ca="1" si="53">IFERROR((K87/I87)-1,"")</f>
        <v/>
      </c>
      <c r="M87" s="8">
        <f ca="1">IF(OR([1]!SNLData("287",STAT_KEY,$C87,M$4,$B87)="NA",[1]!SNLData("287",STAT_KEY,$C87,M$4,$B87)="NM"),0,[1]!SNLData("287",STAT_KEY,$C87,M$4,$B87))</f>
        <v>0</v>
      </c>
      <c r="N87" s="24" t="str">
        <f t="shared" ref="N87:N94" ca="1" si="54">IFERROR((M87/K87)-1,"")</f>
        <v/>
      </c>
      <c r="O87" s="35" t="str">
        <f t="shared" ref="O87:O94" ca="1" si="55">IFERROR((M87/E87)-1,"")</f>
        <v/>
      </c>
      <c r="P87" s="35" t="str">
        <f t="shared" ca="1" si="13"/>
        <v/>
      </c>
    </row>
    <row r="88" spans="1:16" x14ac:dyDescent="0.2">
      <c r="B88" s="7">
        <v>2</v>
      </c>
      <c r="C88" s="7">
        <v>119918</v>
      </c>
      <c r="D88" s="8">
        <f ca="1">IF(OR([1]!SNLData("287",STAT_KEY,$C88,D$4,$B88)="NA",[1]!SNLData("287",STAT_KEY,$C88,D$4,$B88)="NM"),0,[1]!SNLData("287",STAT_KEY,$C88,D$4,$B88))</f>
        <v>0</v>
      </c>
      <c r="E88" s="8">
        <f ca="1">IF(OR([1]!SNLData("287",STAT_KEY,$C88,E$4,$B88)="NA",[1]!SNLData("287",STAT_KEY,$C88,E$4,$B88)="NM"),0,[1]!SNLData("287",STAT_KEY,$C88,E$4,$B88))</f>
        <v>0</v>
      </c>
      <c r="F88" s="24" t="str">
        <f t="shared" ca="1" si="50"/>
        <v/>
      </c>
      <c r="G88" s="8">
        <f ca="1">IF(OR([1]!SNLData("287",STAT_KEY,$C88,G$4,$B88)="NA",[1]!SNLData("287",STAT_KEY,$C88,G$4,$B88)="NM"),0,[1]!SNLData("287",STAT_KEY,$C88,G$4,$B88))</f>
        <v>0</v>
      </c>
      <c r="H88" s="24" t="str">
        <f t="shared" ca="1" si="51"/>
        <v/>
      </c>
      <c r="I88" s="8">
        <f ca="1">IF(OR([1]!SNLData("287",STAT_KEY,$C88,I$4,$B88)="NA",[1]!SNLData("287",STAT_KEY,$C88,I$4,$B88)="NM"),0,[1]!SNLData("287",STAT_KEY,$C88,I$4,$B88))</f>
        <v>0</v>
      </c>
      <c r="J88" s="24" t="str">
        <f t="shared" ca="1" si="52"/>
        <v/>
      </c>
      <c r="K88" s="8">
        <f ca="1">IF(OR([1]!SNLData("287",STAT_KEY,$C88,K$4,$B88)="NA",[1]!SNLData("287",STAT_KEY,$C88,K$4,$B88)="NM"),0,[1]!SNLData("287",STAT_KEY,$C88,K$4,$B88))</f>
        <v>0</v>
      </c>
      <c r="L88" s="24" t="str">
        <f t="shared" ca="1" si="53"/>
        <v/>
      </c>
      <c r="M88" s="8">
        <f ca="1">IF(OR([1]!SNLData("287",STAT_KEY,$C88,M$4,$B88)="NA",[1]!SNLData("287",STAT_KEY,$C88,M$4,$B88)="NM"),0,[1]!SNLData("287",STAT_KEY,$C88,M$4,$B88))</f>
        <v>0</v>
      </c>
      <c r="N88" s="24" t="str">
        <f t="shared" ca="1" si="54"/>
        <v/>
      </c>
      <c r="O88" s="35" t="str">
        <f t="shared" ca="1" si="55"/>
        <v/>
      </c>
      <c r="P88" s="35" t="str">
        <f t="shared" ca="1" si="13"/>
        <v/>
      </c>
    </row>
    <row r="89" spans="1:16" x14ac:dyDescent="0.2">
      <c r="B89" s="7">
        <v>3</v>
      </c>
      <c r="C89" s="7">
        <v>119918</v>
      </c>
      <c r="D89" s="8">
        <f ca="1">IF(OR([1]!SNLData("287",STAT_KEY,$C89,D$4,$B89)="NA",[1]!SNLData("287",STAT_KEY,$C89,D$4,$B89)="NM"),0,[1]!SNLData("287",STAT_KEY,$C89,D$4,$B89))</f>
        <v>0</v>
      </c>
      <c r="E89" s="8">
        <f ca="1">IF(OR([1]!SNLData("287",STAT_KEY,$C89,E$4,$B89)="NA",[1]!SNLData("287",STAT_KEY,$C89,E$4,$B89)="NM"),0,[1]!SNLData("287",STAT_KEY,$C89,E$4,$B89))</f>
        <v>0</v>
      </c>
      <c r="F89" s="24" t="str">
        <f t="shared" ca="1" si="50"/>
        <v/>
      </c>
      <c r="G89" s="8">
        <f ca="1">IF(OR([1]!SNLData("287",STAT_KEY,$C89,G$4,$B89)="NA",[1]!SNLData("287",STAT_KEY,$C89,G$4,$B89)="NM"),0,[1]!SNLData("287",STAT_KEY,$C89,G$4,$B89))</f>
        <v>0</v>
      </c>
      <c r="H89" s="24" t="str">
        <f t="shared" ca="1" si="51"/>
        <v/>
      </c>
      <c r="I89" s="8">
        <f ca="1">IF(OR([1]!SNLData("287",STAT_KEY,$C89,I$4,$B89)="NA",[1]!SNLData("287",STAT_KEY,$C89,I$4,$B89)="NM"),0,[1]!SNLData("287",STAT_KEY,$C89,I$4,$B89))</f>
        <v>0</v>
      </c>
      <c r="J89" s="24" t="str">
        <f t="shared" ca="1" si="52"/>
        <v/>
      </c>
      <c r="K89" s="8">
        <f ca="1">IF(OR([1]!SNLData("287",STAT_KEY,$C89,K$4,$B89)="NA",[1]!SNLData("287",STAT_KEY,$C89,K$4,$B89)="NM"),0,[1]!SNLData("287",STAT_KEY,$C89,K$4,$B89))</f>
        <v>0</v>
      </c>
      <c r="L89" s="24" t="str">
        <f t="shared" ca="1" si="53"/>
        <v/>
      </c>
      <c r="M89" s="8">
        <f ca="1">IF(OR([1]!SNLData("287",STAT_KEY,$C89,M$4,$B89)="NA",[1]!SNLData("287",STAT_KEY,$C89,M$4,$B89)="NM"),0,[1]!SNLData("287",STAT_KEY,$C89,M$4,$B89))</f>
        <v>0</v>
      </c>
      <c r="N89" s="24" t="str">
        <f t="shared" ca="1" si="54"/>
        <v/>
      </c>
      <c r="O89" s="35" t="str">
        <f t="shared" ca="1" si="55"/>
        <v/>
      </c>
      <c r="P89" s="35" t="str">
        <f t="shared" ca="1" si="13"/>
        <v/>
      </c>
    </row>
    <row r="90" spans="1:16" x14ac:dyDescent="0.2">
      <c r="B90" s="7">
        <v>4</v>
      </c>
      <c r="C90" s="7">
        <v>119918</v>
      </c>
      <c r="D90" s="8">
        <f ca="1">IF(OR([1]!SNLData("287",STAT_KEY,$C90,D$4,$B90)="NA",[1]!SNLData("287",STAT_KEY,$C90,D$4,$B90)="NM"),0,[1]!SNLData("287",STAT_KEY,$C90,D$4,$B90))</f>
        <v>0</v>
      </c>
      <c r="E90" s="8">
        <f ca="1">IF(OR([1]!SNLData("287",STAT_KEY,$C90,E$4,$B90)="NA",[1]!SNLData("287",STAT_KEY,$C90,E$4,$B90)="NM"),0,[1]!SNLData("287",STAT_KEY,$C90,E$4,$B90))</f>
        <v>0</v>
      </c>
      <c r="F90" s="24" t="str">
        <f t="shared" ca="1" si="50"/>
        <v/>
      </c>
      <c r="G90" s="8">
        <f ca="1">IF(OR([1]!SNLData("287",STAT_KEY,$C90,G$4,$B90)="NA",[1]!SNLData("287",STAT_KEY,$C90,G$4,$B90)="NM"),0,[1]!SNLData("287",STAT_KEY,$C90,G$4,$B90))</f>
        <v>0</v>
      </c>
      <c r="H90" s="24" t="str">
        <f t="shared" ca="1" si="51"/>
        <v/>
      </c>
      <c r="I90" s="8">
        <f ca="1">IF(OR([1]!SNLData("287",STAT_KEY,$C90,I$4,$B90)="NA",[1]!SNLData("287",STAT_KEY,$C90,I$4,$B90)="NM"),0,[1]!SNLData("287",STAT_KEY,$C90,I$4,$B90))</f>
        <v>0</v>
      </c>
      <c r="J90" s="24" t="str">
        <f t="shared" ca="1" si="52"/>
        <v/>
      </c>
      <c r="K90" s="8">
        <f ca="1">IF(OR([1]!SNLData("287",STAT_KEY,$C90,K$4,$B90)="NA",[1]!SNLData("287",STAT_KEY,$C90,K$4,$B90)="NM"),0,[1]!SNLData("287",STAT_KEY,$C90,K$4,$B90))</f>
        <v>0</v>
      </c>
      <c r="L90" s="24" t="str">
        <f t="shared" ca="1" si="53"/>
        <v/>
      </c>
      <c r="M90" s="8">
        <f ca="1">IF(OR([1]!SNLData("287",STAT_KEY,$C90,M$4,$B90)="NA",[1]!SNLData("287",STAT_KEY,$C90,M$4,$B90)="NM"),0,[1]!SNLData("287",STAT_KEY,$C90,M$4,$B90))</f>
        <v>0</v>
      </c>
      <c r="N90" s="24" t="str">
        <f t="shared" ca="1" si="54"/>
        <v/>
      </c>
      <c r="O90" s="35" t="str">
        <f t="shared" ca="1" si="55"/>
        <v/>
      </c>
      <c r="P90" s="35" t="str">
        <f ca="1">IF(OR(O90="",ISBLANK(O90)),"",(1+O90)^(1/5)-1)</f>
        <v/>
      </c>
    </row>
    <row r="91" spans="1:16" x14ac:dyDescent="0.2">
      <c r="B91" s="7">
        <v>5</v>
      </c>
      <c r="C91" s="7">
        <v>119918</v>
      </c>
      <c r="D91" s="8">
        <f ca="1">IF(OR([1]!SNLData("287",STAT_KEY,$C91,D$4,$B91)="NA",[1]!SNLData("287",STAT_KEY,$C91,D$4,$B91)="NM"),0,[1]!SNLData("287",STAT_KEY,$C91,D$4,$B91))</f>
        <v>0</v>
      </c>
      <c r="E91" s="8">
        <f ca="1">IF(OR([1]!SNLData("287",STAT_KEY,$C91,E$4,$B91)="NA",[1]!SNLData("287",STAT_KEY,$C91,E$4,$B91)="NM"),0,[1]!SNLData("287",STAT_KEY,$C91,E$4,$B91))</f>
        <v>0</v>
      </c>
      <c r="F91" s="24" t="str">
        <f t="shared" ca="1" si="50"/>
        <v/>
      </c>
      <c r="G91" s="8">
        <f ca="1">IF(OR([1]!SNLData("287",STAT_KEY,$C91,G$4,$B91)="NA",[1]!SNLData("287",STAT_KEY,$C91,G$4,$B91)="NM"),0,[1]!SNLData("287",STAT_KEY,$C91,G$4,$B91))</f>
        <v>0</v>
      </c>
      <c r="H91" s="24" t="str">
        <f t="shared" ca="1" si="51"/>
        <v/>
      </c>
      <c r="I91" s="8">
        <f ca="1">IF(OR([1]!SNLData("287",STAT_KEY,$C91,I$4,$B91)="NA",[1]!SNLData("287",STAT_KEY,$C91,I$4,$B91)="NM"),0,[1]!SNLData("287",STAT_KEY,$C91,I$4,$B91))</f>
        <v>0</v>
      </c>
      <c r="J91" s="24" t="str">
        <f t="shared" ca="1" si="52"/>
        <v/>
      </c>
      <c r="K91" s="8">
        <f ca="1">IF(OR([1]!SNLData("287",STAT_KEY,$C91,K$4,$B91)="NA",[1]!SNLData("287",STAT_KEY,$C91,K$4,$B91)="NM"),0,[1]!SNLData("287",STAT_KEY,$C91,K$4,$B91))</f>
        <v>0</v>
      </c>
      <c r="L91" s="24" t="str">
        <f t="shared" ca="1" si="53"/>
        <v/>
      </c>
      <c r="M91" s="8">
        <f ca="1">IF(OR([1]!SNLData("287",STAT_KEY,$C91,M$4,$B91)="NA",[1]!SNLData("287",STAT_KEY,$C91,M$4,$B91)="NM"),0,[1]!SNLData("287",STAT_KEY,$C91,M$4,$B91))</f>
        <v>0</v>
      </c>
      <c r="N91" s="24" t="str">
        <f t="shared" ca="1" si="54"/>
        <v/>
      </c>
      <c r="O91" s="35" t="str">
        <f t="shared" ca="1" si="55"/>
        <v/>
      </c>
      <c r="P91" s="35" t="str">
        <f ca="1">IF(OR(O91="",ISBLANK(O91)),"",(1+O91)^(1/5)-1)</f>
        <v/>
      </c>
    </row>
    <row r="92" spans="1:16" x14ac:dyDescent="0.2">
      <c r="B92" s="28" t="s">
        <v>51</v>
      </c>
      <c r="D92" s="8">
        <f ca="1">SUM(D86:D88)</f>
        <v>0</v>
      </c>
      <c r="E92" s="8">
        <f ca="1">SUM(E86:E88)</f>
        <v>0</v>
      </c>
      <c r="F92" s="24" t="str">
        <f t="shared" ca="1" si="50"/>
        <v/>
      </c>
      <c r="G92" s="8">
        <f ca="1">SUM(G86:G88)</f>
        <v>0</v>
      </c>
      <c r="H92" s="24" t="str">
        <f t="shared" ca="1" si="51"/>
        <v/>
      </c>
      <c r="I92" s="8">
        <f ca="1">SUM(I86:I88)</f>
        <v>0</v>
      </c>
      <c r="J92" s="24" t="str">
        <f t="shared" ca="1" si="52"/>
        <v/>
      </c>
      <c r="K92" s="8">
        <f ca="1">SUM(K86:K88)</f>
        <v>0</v>
      </c>
      <c r="L92" s="24" t="str">
        <f t="shared" ca="1" si="53"/>
        <v/>
      </c>
      <c r="M92" s="8">
        <f ca="1">SUM(M86:M88)</f>
        <v>0</v>
      </c>
      <c r="N92" s="24" t="str">
        <f t="shared" ca="1" si="54"/>
        <v/>
      </c>
      <c r="O92" s="35" t="str">
        <f t="shared" ca="1" si="55"/>
        <v/>
      </c>
      <c r="P92" s="35" t="str">
        <f ca="1">IF(OR(O92="",ISBLANK(O92)),"",(1+O92)^(1/5)-1)</f>
        <v/>
      </c>
    </row>
    <row r="93" spans="1:16" x14ac:dyDescent="0.2">
      <c r="B93" s="28" t="s">
        <v>52</v>
      </c>
      <c r="D93" s="31">
        <f ca="1">SUM(D89:D91)</f>
        <v>0</v>
      </c>
      <c r="E93" s="31">
        <f ca="1">SUM(E89:E91)</f>
        <v>0</v>
      </c>
      <c r="F93" s="24" t="str">
        <f t="shared" ca="1" si="50"/>
        <v/>
      </c>
      <c r="G93" s="31">
        <f ca="1">SUM(G89:G91)</f>
        <v>0</v>
      </c>
      <c r="H93" s="24" t="str">
        <f t="shared" ca="1" si="51"/>
        <v/>
      </c>
      <c r="I93" s="31">
        <f ca="1">SUM(I89:I91)</f>
        <v>0</v>
      </c>
      <c r="J93" s="24" t="str">
        <f t="shared" ca="1" si="52"/>
        <v/>
      </c>
      <c r="K93" s="31">
        <f ca="1">SUM(K89:K91)</f>
        <v>0</v>
      </c>
      <c r="L93" s="24" t="str">
        <f t="shared" ca="1" si="53"/>
        <v/>
      </c>
      <c r="M93" s="31">
        <f ca="1">SUM(M89:M91)</f>
        <v>0</v>
      </c>
      <c r="N93" s="24" t="str">
        <f t="shared" ca="1" si="54"/>
        <v/>
      </c>
      <c r="O93" s="35" t="str">
        <f t="shared" ca="1" si="55"/>
        <v/>
      </c>
      <c r="P93" s="35" t="str">
        <f ca="1">IF(OR(O93="",ISBLANK(O93)),"",(1+O93)^(1/5)-1)</f>
        <v/>
      </c>
    </row>
    <row r="94" spans="1:16" x14ac:dyDescent="0.2">
      <c r="B94" s="7" t="s">
        <v>9</v>
      </c>
      <c r="C94" s="7">
        <v>119918</v>
      </c>
      <c r="D94" s="8">
        <f ca="1">IF(OR([1]!SNLData("287",STAT_KEY,$C94,D$4,$B94)="NA",[1]!SNLData("287",STAT_KEY,$C94,D$4,$B94)="NM"),0,[1]!SNLData("287",STAT_KEY,$C94,D$4,$B94))</f>
        <v>0</v>
      </c>
      <c r="E94" s="8">
        <f ca="1">IF(OR([1]!SNLData("287",STAT_KEY,$C94,E$4,$B94)="NA",[1]!SNLData("287",STAT_KEY,$C94,E$4,$B94)="NM"),0,[1]!SNLData("287",STAT_KEY,$C94,E$4,$B94))</f>
        <v>0</v>
      </c>
      <c r="F94" s="24" t="str">
        <f t="shared" ca="1" si="50"/>
        <v/>
      </c>
      <c r="G94" s="8">
        <f ca="1">IF(OR([1]!SNLData("287",STAT_KEY,$C94,G$4,$B94)="NA",[1]!SNLData("287",STAT_KEY,$C94,G$4,$B94)="NM"),0,[1]!SNLData("287",STAT_KEY,$C94,G$4,$B94))</f>
        <v>0</v>
      </c>
      <c r="H94" s="24" t="str">
        <f t="shared" ca="1" si="51"/>
        <v/>
      </c>
      <c r="I94" s="8">
        <f ca="1">IF(OR([1]!SNLData("287",STAT_KEY,$C94,I$4,$B94)="NA",[1]!SNLData("287",STAT_KEY,$C94,I$4,$B94)="NM"),0,[1]!SNLData("287",STAT_KEY,$C94,I$4,$B94))</f>
        <v>0</v>
      </c>
      <c r="J94" s="24" t="str">
        <f t="shared" ca="1" si="52"/>
        <v/>
      </c>
      <c r="K94" s="8">
        <f ca="1">IF(OR([1]!SNLData("287",STAT_KEY,$C94,K$4,$B94)="NA",[1]!SNLData("287",STAT_KEY,$C94,K$4,$B94)="NM"),0,[1]!SNLData("287",STAT_KEY,$C94,K$4,$B94))</f>
        <v>0</v>
      </c>
      <c r="L94" s="24" t="str">
        <f t="shared" ca="1" si="53"/>
        <v/>
      </c>
      <c r="M94" s="8">
        <f ca="1">IF(OR([1]!SNLData("287",STAT_KEY,$C94,M$4,$B94)="NA",[1]!SNLData("287",STAT_KEY,$C94,M$4,$B94)="NM"),0,[1]!SNLData("287",STAT_KEY,$C94,M$4,$B94))</f>
        <v>0</v>
      </c>
      <c r="N94" s="24" t="str">
        <f t="shared" ca="1" si="54"/>
        <v/>
      </c>
      <c r="O94" s="35" t="str">
        <f t="shared" ca="1" si="55"/>
        <v/>
      </c>
      <c r="P94" s="35" t="str">
        <f ca="1">IF(OR(O94="",ISBLANK(O94)),"",(1+O94)^(1/5)-1)</f>
        <v/>
      </c>
    </row>
    <row r="95" spans="1:16" x14ac:dyDescent="0.2">
      <c r="A95" s="28" t="s">
        <v>110</v>
      </c>
    </row>
    <row r="96" spans="1:16" x14ac:dyDescent="0.2">
      <c r="B96" s="7">
        <v>0</v>
      </c>
      <c r="D96" s="22">
        <f ca="1">D26+D36</f>
        <v>159648.72499999998</v>
      </c>
      <c r="E96" s="22">
        <f ca="1">E26+E36</f>
        <v>207972.13</v>
      </c>
      <c r="F96" s="24">
        <f ca="1">IFERROR((E96/D96)-1,"")</f>
        <v>0.30268581850559739</v>
      </c>
      <c r="G96" s="22">
        <f t="shared" ref="G96:G101" ca="1" si="56">G26+G36</f>
        <v>183060.008</v>
      </c>
      <c r="H96" s="24">
        <f ca="1">IFERROR((G96/E96)-1,"")</f>
        <v>-0.11978586746214503</v>
      </c>
      <c r="I96" s="22">
        <f t="shared" ref="I96:I101" ca="1" si="57">I26+I36</f>
        <v>231119.098</v>
      </c>
      <c r="J96" s="24">
        <f ca="1">IFERROR((I96/G96)-1,"")</f>
        <v>0.26253189063555604</v>
      </c>
      <c r="K96" s="22">
        <f t="shared" ref="K96:K101" ca="1" si="58">K26+K36</f>
        <v>499317.82500000001</v>
      </c>
      <c r="L96" s="24">
        <f ca="1">IFERROR((K96/I96)-1,"")</f>
        <v>1.160435157980757</v>
      </c>
      <c r="M96" s="22">
        <f t="shared" ref="M96:M101" ca="1" si="59">M26+M36</f>
        <v>773407.12199999997</v>
      </c>
      <c r="N96" s="24">
        <f ca="1">IFERROR((M96/K96)-1,"")</f>
        <v>0.5489275232663684</v>
      </c>
      <c r="O96" s="35">
        <f ca="1">IFERROR((M96/E96)-1,"")</f>
        <v>2.7188017548312842</v>
      </c>
      <c r="P96" s="35">
        <f t="shared" ref="P96:P104" ca="1" si="60">IF(OR(O96="",ISBLANK(O96)),"",(1+O96)^(1/5)-1)</f>
        <v>0.30041091306564738</v>
      </c>
    </row>
    <row r="97" spans="1:16" x14ac:dyDescent="0.2">
      <c r="B97" s="7">
        <v>1</v>
      </c>
      <c r="D97" s="22">
        <f t="shared" ref="D97:E101" ca="1" si="61">D27+D37</f>
        <v>5966.8640000000005</v>
      </c>
      <c r="E97" s="22">
        <f t="shared" ca="1" si="61"/>
        <v>14747.218000000001</v>
      </c>
      <c r="F97" s="24">
        <f t="shared" ref="F97:F104" ca="1" si="62">IFERROR((E97/D97)-1,"")</f>
        <v>1.4715190424987061</v>
      </c>
      <c r="G97" s="22">
        <f t="shared" ca="1" si="56"/>
        <v>1022.8670000000001</v>
      </c>
      <c r="H97" s="24">
        <f t="shared" ref="H97:H104" ca="1" si="63">IFERROR((G97/E97)-1,"")</f>
        <v>-0.93064000274492453</v>
      </c>
      <c r="I97" s="22">
        <f t="shared" ca="1" si="57"/>
        <v>1017.487</v>
      </c>
      <c r="J97" s="24">
        <f t="shared" ref="J97:J104" ca="1" si="64">IFERROR((I97/G97)-1,"")</f>
        <v>-5.259725849010799E-3</v>
      </c>
      <c r="K97" s="22">
        <f t="shared" ca="1" si="58"/>
        <v>0</v>
      </c>
      <c r="L97" s="24">
        <f t="shared" ref="L97:L104" ca="1" si="65">IFERROR((K97/I97)-1,"")</f>
        <v>-1</v>
      </c>
      <c r="M97" s="22">
        <f t="shared" ca="1" si="59"/>
        <v>0</v>
      </c>
      <c r="N97" s="24" t="str">
        <f t="shared" ref="N97:N104" ca="1" si="66">IFERROR((M97/K97)-1,"")</f>
        <v/>
      </c>
      <c r="O97" s="35">
        <f t="shared" ref="O97:O104" ca="1" si="67">IFERROR((M97/E97)-1,"")</f>
        <v>-1</v>
      </c>
      <c r="P97" s="35">
        <f t="shared" ca="1" si="60"/>
        <v>-1</v>
      </c>
    </row>
    <row r="98" spans="1:16" x14ac:dyDescent="0.2">
      <c r="B98" s="7">
        <v>2</v>
      </c>
      <c r="D98" s="22">
        <f t="shared" ca="1" si="61"/>
        <v>0</v>
      </c>
      <c r="E98" s="22">
        <f t="shared" ca="1" si="61"/>
        <v>0</v>
      </c>
      <c r="F98" s="24" t="str">
        <f t="shared" ca="1" si="62"/>
        <v/>
      </c>
      <c r="G98" s="22">
        <f t="shared" ca="1" si="56"/>
        <v>0</v>
      </c>
      <c r="H98" s="24" t="str">
        <f t="shared" ca="1" si="63"/>
        <v/>
      </c>
      <c r="I98" s="22">
        <f t="shared" ca="1" si="57"/>
        <v>0</v>
      </c>
      <c r="J98" s="24" t="str">
        <f t="shared" ca="1" si="64"/>
        <v/>
      </c>
      <c r="K98" s="22">
        <f t="shared" ca="1" si="58"/>
        <v>403.84000000000003</v>
      </c>
      <c r="L98" s="24" t="str">
        <f t="shared" ca="1" si="65"/>
        <v/>
      </c>
      <c r="M98" s="22">
        <f t="shared" ca="1" si="59"/>
        <v>0</v>
      </c>
      <c r="N98" s="24">
        <f t="shared" ca="1" si="66"/>
        <v>-1</v>
      </c>
      <c r="O98" s="35" t="str">
        <f t="shared" ca="1" si="67"/>
        <v/>
      </c>
      <c r="P98" s="35" t="str">
        <f t="shared" ca="1" si="60"/>
        <v/>
      </c>
    </row>
    <row r="99" spans="1:16" x14ac:dyDescent="0.2">
      <c r="B99" s="7">
        <v>3</v>
      </c>
      <c r="D99" s="22">
        <f t="shared" ca="1" si="61"/>
        <v>0</v>
      </c>
      <c r="E99" s="22">
        <f t="shared" ca="1" si="61"/>
        <v>0</v>
      </c>
      <c r="F99" s="24" t="str">
        <f t="shared" ca="1" si="62"/>
        <v/>
      </c>
      <c r="G99" s="22">
        <f t="shared" ca="1" si="56"/>
        <v>0</v>
      </c>
      <c r="H99" s="24" t="str">
        <f t="shared" ca="1" si="63"/>
        <v/>
      </c>
      <c r="I99" s="22">
        <f t="shared" ca="1" si="57"/>
        <v>0</v>
      </c>
      <c r="J99" s="24" t="str">
        <f t="shared" ca="1" si="64"/>
        <v/>
      </c>
      <c r="K99" s="22">
        <f t="shared" ca="1" si="58"/>
        <v>0</v>
      </c>
      <c r="L99" s="24" t="str">
        <f t="shared" ca="1" si="65"/>
        <v/>
      </c>
      <c r="M99" s="22">
        <f t="shared" ca="1" si="59"/>
        <v>0</v>
      </c>
      <c r="N99" s="24" t="str">
        <f t="shared" ca="1" si="66"/>
        <v/>
      </c>
      <c r="O99" s="35" t="str">
        <f t="shared" ca="1" si="67"/>
        <v/>
      </c>
      <c r="P99" s="35" t="str">
        <f t="shared" ca="1" si="60"/>
        <v/>
      </c>
    </row>
    <row r="100" spans="1:16" x14ac:dyDescent="0.2">
      <c r="B100" s="7">
        <v>4</v>
      </c>
      <c r="D100" s="22">
        <f t="shared" ca="1" si="61"/>
        <v>0</v>
      </c>
      <c r="E100" s="22">
        <f t="shared" ca="1" si="61"/>
        <v>0</v>
      </c>
      <c r="F100" s="24" t="str">
        <f t="shared" ca="1" si="62"/>
        <v/>
      </c>
      <c r="G100" s="22">
        <f t="shared" ca="1" si="56"/>
        <v>0</v>
      </c>
      <c r="H100" s="24" t="str">
        <f t="shared" ca="1" si="63"/>
        <v/>
      </c>
      <c r="I100" s="22">
        <f t="shared" ca="1" si="57"/>
        <v>0</v>
      </c>
      <c r="J100" s="24" t="str">
        <f t="shared" ca="1" si="64"/>
        <v/>
      </c>
      <c r="K100" s="22">
        <f t="shared" ca="1" si="58"/>
        <v>0</v>
      </c>
      <c r="L100" s="24" t="str">
        <f t="shared" ca="1" si="65"/>
        <v/>
      </c>
      <c r="M100" s="22">
        <f t="shared" ca="1" si="59"/>
        <v>0</v>
      </c>
      <c r="N100" s="24" t="str">
        <f t="shared" ca="1" si="66"/>
        <v/>
      </c>
      <c r="O100" s="35" t="str">
        <f t="shared" ca="1" si="67"/>
        <v/>
      </c>
      <c r="P100" s="35" t="str">
        <f t="shared" ca="1" si="60"/>
        <v/>
      </c>
    </row>
    <row r="101" spans="1:16" x14ac:dyDescent="0.2">
      <c r="B101" s="7">
        <v>5</v>
      </c>
      <c r="D101" s="22">
        <f t="shared" ca="1" si="61"/>
        <v>0</v>
      </c>
      <c r="E101" s="22">
        <f t="shared" ca="1" si="61"/>
        <v>0</v>
      </c>
      <c r="F101" s="24" t="str">
        <f t="shared" ca="1" si="62"/>
        <v/>
      </c>
      <c r="G101" s="22">
        <f t="shared" ca="1" si="56"/>
        <v>0</v>
      </c>
      <c r="H101" s="24" t="str">
        <f t="shared" ca="1" si="63"/>
        <v/>
      </c>
      <c r="I101" s="22">
        <f t="shared" ca="1" si="57"/>
        <v>0</v>
      </c>
      <c r="J101" s="24" t="str">
        <f t="shared" ca="1" si="64"/>
        <v/>
      </c>
      <c r="K101" s="22">
        <f t="shared" ca="1" si="58"/>
        <v>0</v>
      </c>
      <c r="L101" s="24" t="str">
        <f t="shared" ca="1" si="65"/>
        <v/>
      </c>
      <c r="M101" s="22">
        <f t="shared" ca="1" si="59"/>
        <v>314.08499999999998</v>
      </c>
      <c r="N101" s="24" t="str">
        <f t="shared" ca="1" si="66"/>
        <v/>
      </c>
      <c r="O101" s="35" t="str">
        <f t="shared" ca="1" si="67"/>
        <v/>
      </c>
      <c r="P101" s="35" t="str">
        <f t="shared" ca="1" si="60"/>
        <v/>
      </c>
    </row>
    <row r="102" spans="1:16" x14ac:dyDescent="0.2">
      <c r="B102" s="28" t="s">
        <v>51</v>
      </c>
      <c r="D102" s="8">
        <f ca="1">SUM(D96:D98)</f>
        <v>165615.58899999998</v>
      </c>
      <c r="E102" s="8">
        <f ca="1">SUM(E96:E98)</f>
        <v>222719.348</v>
      </c>
      <c r="F102" s="24">
        <f t="shared" ca="1" si="62"/>
        <v>0.34479700458632556</v>
      </c>
      <c r="G102" s="8">
        <f ca="1">SUM(G96:G98)</f>
        <v>184082.875</v>
      </c>
      <c r="H102" s="24">
        <f t="shared" ca="1" si="63"/>
        <v>-0.17347605112421571</v>
      </c>
      <c r="I102" s="8">
        <f ca="1">SUM(I96:I98)</f>
        <v>232136.58499999999</v>
      </c>
      <c r="J102" s="24">
        <f t="shared" ca="1" si="64"/>
        <v>0.26104389123648786</v>
      </c>
      <c r="K102" s="8">
        <f ca="1">SUM(K96:K98)</f>
        <v>499721.66500000004</v>
      </c>
      <c r="L102" s="24">
        <f t="shared" ca="1" si="65"/>
        <v>1.1527053350939922</v>
      </c>
      <c r="M102" s="8">
        <f ca="1">SUM(M96:M98)</f>
        <v>773407.12199999997</v>
      </c>
      <c r="N102" s="24">
        <f t="shared" ca="1" si="66"/>
        <v>0.54767578868128508</v>
      </c>
      <c r="O102" s="35">
        <f t="shared" ca="1" si="67"/>
        <v>2.4725636948254714</v>
      </c>
      <c r="P102" s="35">
        <f t="shared" ca="1" si="60"/>
        <v>0.28271461811785037</v>
      </c>
    </row>
    <row r="103" spans="1:16" x14ac:dyDescent="0.2">
      <c r="B103" s="28" t="s">
        <v>52</v>
      </c>
      <c r="D103" s="31">
        <f ca="1">SUM(D99:D101)</f>
        <v>0</v>
      </c>
      <c r="E103" s="31">
        <f ca="1">SUM(E99:E101)</f>
        <v>0</v>
      </c>
      <c r="F103" s="24" t="str">
        <f t="shared" ca="1" si="62"/>
        <v/>
      </c>
      <c r="G103" s="31">
        <f ca="1">SUM(G99:G101)</f>
        <v>0</v>
      </c>
      <c r="H103" s="24" t="str">
        <f t="shared" ca="1" si="63"/>
        <v/>
      </c>
      <c r="I103" s="31">
        <f ca="1">SUM(I99:I101)</f>
        <v>0</v>
      </c>
      <c r="J103" s="24" t="str">
        <f t="shared" ca="1" si="64"/>
        <v/>
      </c>
      <c r="K103" s="31">
        <f ca="1">SUM(K99:K101)</f>
        <v>0</v>
      </c>
      <c r="L103" s="24" t="str">
        <f t="shared" ca="1" si="65"/>
        <v/>
      </c>
      <c r="M103" s="31">
        <f ca="1">SUM(M99:M101)</f>
        <v>314.08499999999998</v>
      </c>
      <c r="N103" s="24" t="str">
        <f t="shared" ca="1" si="66"/>
        <v/>
      </c>
      <c r="O103" s="35" t="str">
        <f t="shared" ca="1" si="67"/>
        <v/>
      </c>
      <c r="P103" s="35" t="str">
        <f t="shared" ca="1" si="60"/>
        <v/>
      </c>
    </row>
    <row r="104" spans="1:16" x14ac:dyDescent="0.2">
      <c r="B104" s="7" t="s">
        <v>9</v>
      </c>
      <c r="D104" s="22">
        <f ca="1">D34+D44</f>
        <v>165615.58899999998</v>
      </c>
      <c r="E104" s="22">
        <f ca="1">E34+E44</f>
        <v>222719.348</v>
      </c>
      <c r="F104" s="24">
        <f t="shared" ca="1" si="62"/>
        <v>0.34479700458632556</v>
      </c>
      <c r="G104" s="22">
        <f ca="1">G34+G44</f>
        <v>184082.875</v>
      </c>
      <c r="H104" s="24">
        <f t="shared" ca="1" si="63"/>
        <v>-0.17347605112421571</v>
      </c>
      <c r="I104" s="22">
        <f ca="1">I34+I44</f>
        <v>232136.58500000002</v>
      </c>
      <c r="J104" s="24">
        <f t="shared" ca="1" si="64"/>
        <v>0.26104389123648808</v>
      </c>
      <c r="K104" s="22">
        <f ca="1">K34+K44</f>
        <v>499721.66499999998</v>
      </c>
      <c r="L104" s="24">
        <f t="shared" ca="1" si="65"/>
        <v>1.1527053350939918</v>
      </c>
      <c r="M104" s="22">
        <f ca="1">M34+M44</f>
        <v>773721.20699999994</v>
      </c>
      <c r="N104" s="24">
        <f t="shared" ca="1" si="66"/>
        <v>0.54830430855944567</v>
      </c>
      <c r="O104" s="35">
        <f t="shared" ca="1" si="67"/>
        <v>2.47397392255297</v>
      </c>
      <c r="P104" s="35">
        <f t="shared" ca="1" si="60"/>
        <v>0.28281878472825461</v>
      </c>
    </row>
    <row r="105" spans="1:16" x14ac:dyDescent="0.2">
      <c r="A105" s="28" t="s">
        <v>4</v>
      </c>
    </row>
    <row r="106" spans="1:16" x14ac:dyDescent="0.2">
      <c r="B106" s="28" t="s">
        <v>51</v>
      </c>
      <c r="D106" s="22">
        <f t="shared" ref="D106:E108" ca="1" si="68">SUM(D12,D22,D32,D42,D52,D62,D72,D82,D92)</f>
        <v>22171342.721999999</v>
      </c>
      <c r="E106" s="22">
        <f t="shared" ca="1" si="68"/>
        <v>22206908.579999998</v>
      </c>
      <c r="F106" s="24">
        <f ca="1">IFERROR((E106/D106)-1,"")</f>
        <v>1.6041364046350814E-3</v>
      </c>
      <c r="G106" s="22">
        <f ca="1">SUM(G12,G22,G32,G42,G52,G62,G72,G82,G92)</f>
        <v>21991051.102370001</v>
      </c>
      <c r="H106" s="24">
        <f ca="1">IFERROR((G106/E106)-1,"")</f>
        <v>-9.7202848767703465E-3</v>
      </c>
      <c r="I106" s="22">
        <f ca="1">SUM(I12,I22,I32,I42,I52,I62,I72,I82,I92)</f>
        <v>22375977.386259999</v>
      </c>
      <c r="J106" s="24">
        <f ca="1">IFERROR((I106/G106)-1,"")</f>
        <v>1.7503769242231071E-2</v>
      </c>
      <c r="K106" s="22">
        <f ca="1">SUM(K12,K22,K32,K42,K52,K62,K72,K82,K92)</f>
        <v>21644622.592749998</v>
      </c>
      <c r="L106" s="24">
        <f ca="1">IFERROR((K106/I106)-1,"")</f>
        <v>-3.2684820014123317E-2</v>
      </c>
      <c r="M106" s="22">
        <f ca="1">SUM(M12,M22,M32,M42,M52,M62,M72,M82,M92)</f>
        <v>19371879.115850002</v>
      </c>
      <c r="N106" s="24">
        <f ca="1">IFERROR((M106/K106)-1,"")</f>
        <v>-0.10500268448484129</v>
      </c>
      <c r="O106" s="35">
        <f ca="1">IFERROR((M106/E106)-1,"")</f>
        <v>-0.1276643011311932</v>
      </c>
      <c r="P106" s="35">
        <f ca="1">IF(OR(O106="",ISBLANK(O106)),"",(1+O106)^(1/5)-1)</f>
        <v>-2.6946477575105821E-2</v>
      </c>
    </row>
    <row r="107" spans="1:16" x14ac:dyDescent="0.2">
      <c r="B107" s="28" t="s">
        <v>52</v>
      </c>
      <c r="D107" s="22">
        <f t="shared" ca="1" si="68"/>
        <v>165862.77299999999</v>
      </c>
      <c r="E107" s="22">
        <f t="shared" ca="1" si="68"/>
        <v>22061.724999999999</v>
      </c>
      <c r="F107" s="24">
        <f ca="1">IFERROR((E107/D107)-1,"")</f>
        <v>-0.86698808538550121</v>
      </c>
      <c r="G107" s="22">
        <f ca="1">SUM(G13,G23,G33,G43,G53,G63,G73,G83,G93)</f>
        <v>80619.163</v>
      </c>
      <c r="H107" s="24">
        <f ca="1">IFERROR((G107/E107)-1,"")</f>
        <v>2.6542547330274493</v>
      </c>
      <c r="I107" s="22">
        <f ca="1">SUM(I13,I23,I33,I43,I53,I63,I73,I83,I93)</f>
        <v>33349.404000000002</v>
      </c>
      <c r="J107" s="24">
        <f ca="1">IFERROR((I107/G107)-1,"")</f>
        <v>-0.58633403326204214</v>
      </c>
      <c r="K107" s="22">
        <f ca="1">SUM(K13,K23,K33,K43,K53,K63,K73,K83,K93)</f>
        <v>65974.695000000007</v>
      </c>
      <c r="L107" s="24">
        <f ca="1">IFERROR((K107/I107)-1,"")</f>
        <v>0.97828707823384198</v>
      </c>
      <c r="M107" s="22">
        <f ca="1">SUM(M13,M23,M33,M43,M53,M63,M73,M83,M93)</f>
        <v>500932.47899999999</v>
      </c>
      <c r="N107" s="24">
        <f ca="1">IFERROR((M107/K107)-1,"")</f>
        <v>6.5927971929237401</v>
      </c>
      <c r="O107" s="35">
        <f ca="1">IFERROR((M107/E107)-1,"")</f>
        <v>21.705952458386641</v>
      </c>
      <c r="P107" s="35">
        <f ca="1">IF(OR(O107="",ISBLANK(O107)),"",(1+O107)^(1/5)-1)</f>
        <v>0.86735954045764041</v>
      </c>
    </row>
    <row r="108" spans="1:16" x14ac:dyDescent="0.2">
      <c r="B108" s="28" t="s">
        <v>4</v>
      </c>
      <c r="D108" s="22">
        <f t="shared" ca="1" si="68"/>
        <v>22337205.493999999</v>
      </c>
      <c r="E108" s="22">
        <f t="shared" ca="1" si="68"/>
        <v>22228970.305</v>
      </c>
      <c r="F108" s="24">
        <f ca="1">IFERROR((E108/D108)-1,"")</f>
        <v>-4.8455116298711243E-3</v>
      </c>
      <c r="G108" s="22">
        <f ca="1">SUM(G14,G24,G34,G44,G54,G64,G74,G84,G94)</f>
        <v>22071670.26537</v>
      </c>
      <c r="H108" s="24">
        <f ca="1">IFERROR((G108/E108)-1,"")</f>
        <v>-7.0763529516533197E-3</v>
      </c>
      <c r="I108" s="22">
        <f ca="1">SUM(I14,I24,I34,I44,I54,I64,I74,I84,I94)</f>
        <v>22409326.790259998</v>
      </c>
      <c r="J108" s="24">
        <f ca="1">IFERROR((I108/G108)-1,"")</f>
        <v>1.5298186355192867E-2</v>
      </c>
      <c r="K108" s="22">
        <f ca="1">SUM(K14,K24,K34,K44,K54,K64,K74,K84,K94)</f>
        <v>21710597.287749998</v>
      </c>
      <c r="L108" s="24">
        <f ca="1">IFERROR((K108/I108)-1,"")</f>
        <v>-3.1180298678749052E-2</v>
      </c>
      <c r="M108" s="22">
        <f ca="1">SUM(M14,M24,M34,M44,M54,M64,M74,M84,M94)</f>
        <v>19872811.59485</v>
      </c>
      <c r="N108" s="24">
        <f ca="1">IFERROR((M108/K108)-1,"")</f>
        <v>-8.4649246105124476E-2</v>
      </c>
      <c r="O108" s="35">
        <f ca="1">IFERROR((M108/E108)-1,"")</f>
        <v>-0.10599495513384283</v>
      </c>
      <c r="P108" s="35">
        <f ca="1">IF(OR(O108="",ISBLANK(O108)),"",(1+O108)^(1/5)-1)</f>
        <v>-2.2159560603952522E-2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P131"/>
  <sheetViews>
    <sheetView zoomScale="130" zoomScaleNormal="130" workbookViewId="0">
      <selection activeCell="R7" sqref="R7"/>
    </sheetView>
  </sheetViews>
  <sheetFormatPr defaultColWidth="9.125" defaultRowHeight="15" x14ac:dyDescent="0.25"/>
  <cols>
    <col min="1" max="1" width="0.875" customWidth="1"/>
    <col min="2" max="4" width="6.875" customWidth="1"/>
    <col min="5" max="5" width="8.125" customWidth="1"/>
    <col min="6" max="6" width="6.75" customWidth="1"/>
    <col min="7" max="7" width="8.625" bestFit="1" customWidth="1"/>
    <col min="8" max="8" width="6.75" customWidth="1"/>
    <col min="9" max="9" width="8.75" bestFit="1" customWidth="1"/>
    <col min="10" max="10" width="6.75" customWidth="1"/>
    <col min="11" max="11" width="8.125" customWidth="1"/>
    <col min="12" max="12" width="6.75" customWidth="1"/>
    <col min="13" max="13" width="8.75" bestFit="1" customWidth="1"/>
    <col min="14" max="15" width="6.75" customWidth="1"/>
  </cols>
  <sheetData>
    <row r="1" spans="2:16" ht="15.75" x14ac:dyDescent="0.25">
      <c r="B1" s="45" t="str">
        <f>COMPANY_NAME</f>
        <v>Zurich Insurance Group (PC)</v>
      </c>
    </row>
    <row r="2" spans="2:16" ht="14.25" customHeight="1" x14ac:dyDescent="0.25"/>
    <row r="3" spans="2:16" ht="3.75" customHeight="1" x14ac:dyDescent="0.25"/>
    <row r="4" spans="2:16" x14ac:dyDescent="0.25">
      <c r="B4" s="166" t="s">
        <v>268</v>
      </c>
      <c r="C4" s="167"/>
      <c r="D4" s="167"/>
      <c r="E4" s="167"/>
      <c r="F4" s="50"/>
      <c r="G4" s="50"/>
      <c r="H4" s="50"/>
      <c r="I4" s="50"/>
      <c r="J4" s="50"/>
      <c r="K4" s="50"/>
      <c r="L4" s="50"/>
      <c r="M4" s="50"/>
      <c r="N4" s="50"/>
      <c r="O4" s="51"/>
      <c r="P4" s="44"/>
    </row>
    <row r="5" spans="2:16" x14ac:dyDescent="0.25">
      <c r="B5" s="74" t="s">
        <v>269</v>
      </c>
      <c r="C5" s="161" t="str">
        <f>CONCATENATE("   ",Single_Data!E12,", ",Single_Data!E14,", ",Single_Data!E15)</f>
        <v xml:space="preserve">   1299 Zurich Way, Schaumburg, IL</v>
      </c>
      <c r="D5" s="161"/>
      <c r="E5" s="161"/>
      <c r="F5" s="177" t="str">
        <f>CONCATENATE("    ",Single_Data!D20,":")</f>
        <v xml:space="preserve">    Chief Executive Officer:</v>
      </c>
      <c r="G5" s="177"/>
      <c r="H5" s="177"/>
      <c r="I5" s="169" t="str">
        <f>CONCATENATE("  ",Single_Data!E20)</f>
        <v xml:space="preserve">  Michael Thomas Foley</v>
      </c>
      <c r="J5" s="169"/>
      <c r="K5" s="169"/>
      <c r="L5" s="75" t="str">
        <f>"     "&amp;"Business Focus:"</f>
        <v xml:space="preserve">     Business Focus:</v>
      </c>
      <c r="M5" s="75"/>
      <c r="N5" s="169" t="str">
        <f>LEFT(SUBSTITUTE(SUBSTITUTE(Single_Data!E9,"Focus",""),"Commercial",""),20)</f>
        <v xml:space="preserve"> Property </v>
      </c>
      <c r="O5" s="170"/>
      <c r="P5" s="44"/>
    </row>
    <row r="6" spans="2:16" x14ac:dyDescent="0.25">
      <c r="B6" s="67" t="s">
        <v>270</v>
      </c>
      <c r="C6" s="164" t="str">
        <f>"   "&amp;Single_Data!E19</f>
        <v xml:space="preserve">   (847) 605-6000</v>
      </c>
      <c r="D6" s="164"/>
      <c r="E6" s="164"/>
      <c r="F6" s="178" t="str">
        <f>CONCATENATE("    ",Single_Data!D21,":")</f>
        <v xml:space="preserve">    Chief Financial Officer:</v>
      </c>
      <c r="G6" s="178"/>
      <c r="H6" s="178"/>
      <c r="I6" s="164" t="str">
        <f>CONCATENATE("  ",Single_Data!E21)</f>
        <v xml:space="preserve">  Dalynn Jean Hoch</v>
      </c>
      <c r="J6" s="164"/>
      <c r="K6" s="164"/>
      <c r="L6" s="68" t="str">
        <f>"     "&amp;"NAIC Structure:"</f>
        <v xml:space="preserve">     NAIC Structure:</v>
      </c>
      <c r="M6" s="69"/>
      <c r="N6" s="164" t="str">
        <f>LEFT(SUBSTITUTE(Single_Data!E11,"Company","Co"),20)</f>
        <v>Stock Co</v>
      </c>
      <c r="O6" s="165"/>
      <c r="P6" s="44"/>
    </row>
    <row r="7" spans="2:16" x14ac:dyDescent="0.25">
      <c r="B7" s="74" t="s">
        <v>271</v>
      </c>
      <c r="C7" s="161" t="str">
        <f>"   "&amp;Single_Data!E24</f>
        <v xml:space="preserve">   http://www.zurichna.com</v>
      </c>
      <c r="D7" s="161"/>
      <c r="E7" s="161"/>
      <c r="F7" s="179" t="str">
        <f>CONCATENATE("    ",Single_Data!D22,":")</f>
        <v xml:space="preserve">    President:</v>
      </c>
      <c r="G7" s="179"/>
      <c r="H7" s="179"/>
      <c r="I7" s="161" t="str">
        <f>CONCATENATE("  ",Single_Data!E22)</f>
        <v xml:space="preserve">  Nancy Diane Mueller</v>
      </c>
      <c r="J7" s="161"/>
      <c r="K7" s="161"/>
      <c r="L7" s="75" t="str">
        <f>"     "&amp;"Geo Focus:"</f>
        <v xml:space="preserve">     Geo Focus:</v>
      </c>
      <c r="M7" s="76"/>
      <c r="N7" s="161" t="str">
        <f>LEFT(SUBSTITUTE(SUBSTITUTE(SUBSTITUTE(SUBSTITUTE(SUBSTITUTE(SUBSTITUTE(SUBSTITUTE(Single_Data!E10,"North","N"),"East","E"),"West","W"),"South","S"),"western","W"),"eastern","E"),"Quadrant","Quad"),18)</f>
        <v>National</v>
      </c>
      <c r="O7" s="162"/>
      <c r="P7" s="44"/>
    </row>
    <row r="8" spans="2:16" x14ac:dyDescent="0.25">
      <c r="B8" s="70" t="s">
        <v>280</v>
      </c>
      <c r="C8" s="173" t="str">
        <f>"   "&amp;Single_Data!E25</f>
        <v xml:space="preserve">   </v>
      </c>
      <c r="D8" s="173"/>
      <c r="E8" s="173"/>
      <c r="F8" s="180" t="str">
        <f>CONCATENATE("    ",Single_Data!D23,":")</f>
        <v xml:space="preserve">    Chairman of the Board:</v>
      </c>
      <c r="G8" s="180"/>
      <c r="H8" s="180"/>
      <c r="I8" s="173" t="str">
        <f>CONCATENATE("  ",Single_Data!E23)</f>
        <v xml:space="preserve">  Michael Thomas Foley</v>
      </c>
      <c r="J8" s="173"/>
      <c r="K8" s="173"/>
      <c r="L8" s="71"/>
      <c r="M8" s="72"/>
      <c r="N8" s="72"/>
      <c r="O8" s="73"/>
      <c r="P8" s="44"/>
    </row>
    <row r="9" spans="2:16" ht="6" customHeight="1" x14ac:dyDescent="0.25">
      <c r="B9" s="44"/>
      <c r="C9" s="44"/>
      <c r="D9" s="44"/>
      <c r="E9" s="44"/>
      <c r="F9" s="44"/>
      <c r="G9" s="44"/>
      <c r="H9" s="44"/>
      <c r="I9" s="44"/>
      <c r="J9" s="44"/>
      <c r="K9" s="44"/>
      <c r="L9" s="44"/>
      <c r="M9" s="44"/>
      <c r="N9" s="44"/>
      <c r="O9" s="44"/>
      <c r="P9" s="44"/>
    </row>
    <row r="10" spans="2:16" ht="18" x14ac:dyDescent="0.25">
      <c r="B10" s="171" t="s">
        <v>267</v>
      </c>
      <c r="C10" s="172"/>
      <c r="D10" s="172"/>
      <c r="E10" s="52" t="str">
        <f ca="1">Financials!$F$4</f>
        <v>2011Y</v>
      </c>
      <c r="F10" s="52" t="str">
        <f ca="1">Financials!$G$4</f>
        <v>2011Y
% Chg</v>
      </c>
      <c r="G10" s="52" t="str">
        <f ca="1">Financials!$H$4</f>
        <v>2012Y</v>
      </c>
      <c r="H10" s="52" t="str">
        <f ca="1">Financials!$I$4</f>
        <v>2012Y
% Chg</v>
      </c>
      <c r="I10" s="52" t="str">
        <f ca="1">Financials!$J$4</f>
        <v>2013Y</v>
      </c>
      <c r="J10" s="52" t="str">
        <f ca="1">Financials!$K$4</f>
        <v>2013Y
% Chg</v>
      </c>
      <c r="K10" s="52" t="str">
        <f ca="1">Financials!$L$4</f>
        <v>2014Y</v>
      </c>
      <c r="L10" s="52" t="str">
        <f ca="1">Financials!$M$4</f>
        <v>2014Y
% Chg</v>
      </c>
      <c r="M10" s="52" t="str">
        <f ca="1">Financials!$N$4</f>
        <v>2015Y</v>
      </c>
      <c r="N10" s="52" t="str">
        <f ca="1">Financials!$O$4</f>
        <v>2015Y
% Chg</v>
      </c>
      <c r="O10" s="53" t="str">
        <f>Financials!$P$4</f>
        <v>5 Yr % Chg</v>
      </c>
      <c r="P10" s="44"/>
    </row>
    <row r="11" spans="2:16" x14ac:dyDescent="0.25">
      <c r="B11" s="168" t="str">
        <f>SUBSTITUTE(SUBSTITUTE(SUBSTITUTE(SUBSTITUTE(SUBSTITUTE(Financials!B49," (%)","")," ($000)",""),"Adm ",""),"Short Term","ST"),"Admitted ","")</f>
        <v>Net Derivatives</v>
      </c>
      <c r="C11" s="169"/>
      <c r="D11" s="170"/>
      <c r="E11" s="77">
        <f ca="1">Financials!F49</f>
        <v>0</v>
      </c>
      <c r="F11" s="78">
        <f ca="1">Financials!G49</f>
        <v>0</v>
      </c>
      <c r="G11" s="77">
        <f ca="1">Financials!H49</f>
        <v>0</v>
      </c>
      <c r="H11" s="78">
        <f ca="1">Financials!I49</f>
        <v>0</v>
      </c>
      <c r="I11" s="77">
        <f ca="1">Financials!J49</f>
        <v>0</v>
      </c>
      <c r="J11" s="78">
        <f ca="1">Financials!K49</f>
        <v>0</v>
      </c>
      <c r="K11" s="77">
        <f ca="1">Financials!L49</f>
        <v>0</v>
      </c>
      <c r="L11" s="78">
        <f ca="1">Financials!M49</f>
        <v>0</v>
      </c>
      <c r="M11" s="77">
        <f ca="1">Financials!N49</f>
        <v>0</v>
      </c>
      <c r="N11" s="79">
        <f ca="1">Financials!O49</f>
        <v>0</v>
      </c>
      <c r="O11" s="78">
        <f ca="1">Financials!P49</f>
        <v>0</v>
      </c>
      <c r="P11" s="44"/>
    </row>
    <row r="12" spans="2:16" x14ac:dyDescent="0.25">
      <c r="B12" s="163" t="str">
        <f>SUBSTITUTE(SUBSTITUTE(SUBSTITUTE(SUBSTITUTE(SUBSTITUTE(Financials!B50," (%)","")," ($000)",""),"Adm ",""),"Short Term","ST"),"Admitted ","")</f>
        <v>Net Bonds</v>
      </c>
      <c r="C12" s="164"/>
      <c r="D12" s="165"/>
      <c r="E12" s="47">
        <f ca="1">Financials!F50</f>
        <v>21866739.732999999</v>
      </c>
      <c r="F12" s="48">
        <f ca="1">Financials!G50</f>
        <v>-4.7434513533782807E-3</v>
      </c>
      <c r="G12" s="47">
        <f ca="1">Financials!H50</f>
        <v>21776039.675000001</v>
      </c>
      <c r="H12" s="48">
        <f ca="1">Financials!I50</f>
        <v>-4.1478546462561106E-3</v>
      </c>
      <c r="I12" s="47">
        <f ca="1">Financials!J50</f>
        <v>21800114.096999999</v>
      </c>
      <c r="J12" s="48">
        <f ca="1">Financials!K50</f>
        <v>1.1055463876490368E-3</v>
      </c>
      <c r="K12" s="47">
        <f ca="1">Financials!L50</f>
        <v>20724556.522</v>
      </c>
      <c r="L12" s="48">
        <f ca="1">Financials!M50</f>
        <v>-4.9337245218730841E-2</v>
      </c>
      <c r="M12" s="47">
        <f ca="1">Financials!N50</f>
        <v>19408047.517999999</v>
      </c>
      <c r="N12" s="49">
        <f ca="1">Financials!O50</f>
        <v>-6.3524109797112871E-2</v>
      </c>
      <c r="O12" s="48">
        <f ca="1">Financials!P50</f>
        <v>-0.11243981704732531</v>
      </c>
      <c r="P12" s="44"/>
    </row>
    <row r="13" spans="2:16" x14ac:dyDescent="0.25">
      <c r="B13" s="160" t="s">
        <v>272</v>
      </c>
      <c r="C13" s="161"/>
      <c r="D13" s="162"/>
      <c r="E13" s="62">
        <f ca="1">SchD_1A_1!E14</f>
        <v>4524672.66</v>
      </c>
      <c r="F13" s="80">
        <f ca="1">SchD_1A_1!F14</f>
        <v>0.24105220216042134</v>
      </c>
      <c r="G13" s="62">
        <f ca="1">SchD_1A_1!G14</f>
        <v>5592718.0691999998</v>
      </c>
      <c r="H13" s="80">
        <f ca="1">SchD_1A_1!H14</f>
        <v>0.23604921050797056</v>
      </c>
      <c r="I13" s="62">
        <f ca="1">SchD_1A_1!I14</f>
        <v>5850148.8448999999</v>
      </c>
      <c r="J13" s="80">
        <f ca="1">SchD_1A_1!J14</f>
        <v>4.6029635771864363E-2</v>
      </c>
      <c r="K13" s="62">
        <f ca="1">SchD_1A_1!K14</f>
        <v>4823345.0090000005</v>
      </c>
      <c r="L13" s="80">
        <f ca="1">SchD_1A_1!L14</f>
        <v>-0.17551755743704522</v>
      </c>
      <c r="M13" s="62">
        <f ca="1">SchD_1A_1!M14</f>
        <v>4039807.2336500003</v>
      </c>
      <c r="N13" s="81">
        <f ca="1">SchD_1A_1!N14</f>
        <v>-0.16244696862612507</v>
      </c>
      <c r="O13" s="80">
        <f ca="1">SchD_1A_1!O14</f>
        <v>-0.10716033242280998</v>
      </c>
      <c r="P13" s="44"/>
    </row>
    <row r="14" spans="2:16" x14ac:dyDescent="0.25">
      <c r="B14" s="163" t="s">
        <v>273</v>
      </c>
      <c r="C14" s="164"/>
      <c r="D14" s="165"/>
      <c r="E14" s="47">
        <f ca="1">SchD_1A_1!E24</f>
        <v>643527.05500000005</v>
      </c>
      <c r="F14" s="48">
        <f ca="1">SchD_1A_1!F24</f>
        <v>0.24862266799542754</v>
      </c>
      <c r="G14" s="47">
        <f ca="1">SchD_1A_1!G24</f>
        <v>689454.05299999996</v>
      </c>
      <c r="H14" s="48">
        <f ca="1">SchD_1A_1!H24</f>
        <v>7.1367625716994842E-2</v>
      </c>
      <c r="I14" s="47">
        <f ca="1">SchD_1A_1!I24</f>
        <v>720210.48100000003</v>
      </c>
      <c r="J14" s="48">
        <f ca="1">SchD_1A_1!J24</f>
        <v>4.4609829859104666E-2</v>
      </c>
      <c r="K14" s="47">
        <f ca="1">SchD_1A_1!K24</f>
        <v>526187.05200000003</v>
      </c>
      <c r="L14" s="48">
        <f ca="1">SchD_1A_1!L24</f>
        <v>-0.26939823026541043</v>
      </c>
      <c r="M14" s="47">
        <f ca="1">SchD_1A_1!M24</f>
        <v>470680.67</v>
      </c>
      <c r="N14" s="49">
        <f ca="1">SchD_1A_1!N24</f>
        <v>-0.10548792827384135</v>
      </c>
      <c r="O14" s="48">
        <f ca="1">SchD_1A_1!O24</f>
        <v>-0.26859225833170297</v>
      </c>
      <c r="P14" s="44"/>
    </row>
    <row r="15" spans="2:16" x14ac:dyDescent="0.25">
      <c r="B15" s="160" t="s">
        <v>274</v>
      </c>
      <c r="C15" s="161"/>
      <c r="D15" s="162"/>
      <c r="E15" s="62">
        <f ca="1">SchD_1A_1!E54</f>
        <v>4404022.6280000005</v>
      </c>
      <c r="F15" s="80">
        <f ca="1">SchD_1A_1!F54</f>
        <v>9.7181712391455344E-2</v>
      </c>
      <c r="G15" s="62">
        <f ca="1">SchD_1A_1!G54</f>
        <v>5099129.2934100004</v>
      </c>
      <c r="H15" s="80">
        <f ca="1">SchD_1A_1!H54</f>
        <v>0.1578344899934514</v>
      </c>
      <c r="I15" s="62">
        <f ca="1">SchD_1A_1!I54</f>
        <v>4764609.6421499997</v>
      </c>
      <c r="J15" s="80">
        <f ca="1">SchD_1A_1!J54</f>
        <v>-6.5603288720748165E-2</v>
      </c>
      <c r="K15" s="62">
        <f ca="1">SchD_1A_1!K54</f>
        <v>3757671.0652000001</v>
      </c>
      <c r="L15" s="80">
        <f ca="1">SchD_1A_1!L54</f>
        <v>-0.21133705645938816</v>
      </c>
      <c r="M15" s="62">
        <f ca="1">SchD_1A_1!M54</f>
        <v>4187007.48997</v>
      </c>
      <c r="N15" s="81">
        <f ca="1">SchD_1A_1!N54</f>
        <v>0.11425598923389235</v>
      </c>
      <c r="O15" s="80">
        <f ca="1">SchD_1A_1!O54</f>
        <v>-4.9276571979956829E-2</v>
      </c>
      <c r="P15" s="44"/>
    </row>
    <row r="16" spans="2:16" x14ac:dyDescent="0.25">
      <c r="B16" s="163" t="s">
        <v>289</v>
      </c>
      <c r="C16" s="164"/>
      <c r="D16" s="165"/>
      <c r="E16" s="47">
        <f ca="1">SchD_1A_1!E64</f>
        <v>12376770.18</v>
      </c>
      <c r="F16" s="48">
        <f ca="1">SchD_1A_1!F64</f>
        <v>-0.11208594904754265</v>
      </c>
      <c r="G16" s="47">
        <f ca="1">SchD_1A_1!G64</f>
        <v>10478984.732760001</v>
      </c>
      <c r="H16" s="48">
        <f ca="1">SchD_1A_1!H64</f>
        <v>-0.15333446607150292</v>
      </c>
      <c r="I16" s="47">
        <f ca="1">SchD_1A_1!I64</f>
        <v>10814927.730209999</v>
      </c>
      <c r="J16" s="48">
        <f ca="1">SchD_1A_1!J64</f>
        <v>3.2058735270388716E-2</v>
      </c>
      <c r="K16" s="47">
        <f ca="1">SchD_1A_1!K64</f>
        <v>12076387.20255</v>
      </c>
      <c r="L16" s="48">
        <f ca="1">SchD_1A_1!L64</f>
        <v>0.11664058270276634</v>
      </c>
      <c r="M16" s="47">
        <f ca="1">SchD_1A_1!M64</f>
        <v>10301914.362229999</v>
      </c>
      <c r="N16" s="49">
        <f ca="1">SchD_1A_1!N64</f>
        <v>-0.14693739199959654</v>
      </c>
      <c r="O16" s="48">
        <f ca="1">SchD_1A_1!O64</f>
        <v>-0.16764113638652056</v>
      </c>
      <c r="P16" s="44"/>
    </row>
    <row r="17" spans="2:16" x14ac:dyDescent="0.25">
      <c r="B17" s="160" t="s">
        <v>284</v>
      </c>
      <c r="C17" s="161"/>
      <c r="D17" s="162"/>
      <c r="E17" s="62">
        <f ca="1">SchD_1A_1!E62</f>
        <v>12354708.455</v>
      </c>
      <c r="F17" s="80">
        <f ca="1">SchD_1A_1!F62</f>
        <v>-0.10299515411779903</v>
      </c>
      <c r="G17" s="62">
        <f ca="1">SchD_1A_1!G62</f>
        <v>10398365.569760002</v>
      </c>
      <c r="H17" s="80">
        <f ca="1">SchD_1A_1!H62</f>
        <v>-0.15834796040437993</v>
      </c>
      <c r="I17" s="62">
        <f ca="1">SchD_1A_1!I62</f>
        <v>10781578.32621</v>
      </c>
      <c r="J17" s="80">
        <f ca="1">SchD_1A_1!J62</f>
        <v>3.6853172152788716E-2</v>
      </c>
      <c r="K17" s="62">
        <f ca="1">SchD_1A_1!K62</f>
        <v>12029528.027549999</v>
      </c>
      <c r="L17" s="80">
        <f ca="1">SchD_1A_1!L62</f>
        <v>0.11574833142066376</v>
      </c>
      <c r="M17" s="62">
        <f ca="1">SchD_1A_1!M62</f>
        <v>9801888.3882299997</v>
      </c>
      <c r="N17" s="81">
        <f ca="1">SchD_1A_1!N62</f>
        <v>-0.18518096755070224</v>
      </c>
      <c r="O17" s="80">
        <f ca="1">SchD_1A_1!O62</f>
        <v>-0.2066273013295481</v>
      </c>
      <c r="P17" s="44"/>
    </row>
    <row r="18" spans="2:16" x14ac:dyDescent="0.25">
      <c r="B18" s="163" t="s">
        <v>285</v>
      </c>
      <c r="C18" s="164"/>
      <c r="D18" s="165"/>
      <c r="E18" s="47">
        <f ca="1">SchD_1A_1!E63</f>
        <v>22061.724999999999</v>
      </c>
      <c r="F18" s="48">
        <f ca="1">SchD_1A_1!F63</f>
        <v>-0.86698808538550121</v>
      </c>
      <c r="G18" s="47">
        <f ca="1">SchD_1A_1!G63</f>
        <v>80619.163</v>
      </c>
      <c r="H18" s="48">
        <f ca="1">SchD_1A_1!H63</f>
        <v>2.6542547330274493</v>
      </c>
      <c r="I18" s="47">
        <f ca="1">SchD_1A_1!I63</f>
        <v>33349.404000000002</v>
      </c>
      <c r="J18" s="48">
        <f ca="1">SchD_1A_1!J63</f>
        <v>-0.58633403326204214</v>
      </c>
      <c r="K18" s="47">
        <f ca="1">SchD_1A_1!K63</f>
        <v>46859.175000000003</v>
      </c>
      <c r="L18" s="48">
        <f ca="1">SchD_1A_1!L63</f>
        <v>0.40509782423697893</v>
      </c>
      <c r="M18" s="47">
        <f ca="1">SchD_1A_1!M63</f>
        <v>500025.97399999999</v>
      </c>
      <c r="N18" s="49">
        <f ca="1">SchD_1A_1!N63</f>
        <v>9.6708232485953918</v>
      </c>
      <c r="O18" s="48">
        <f ca="1">SchD_1A_1!O63</f>
        <v>21.66486296969072</v>
      </c>
      <c r="P18" s="44"/>
    </row>
    <row r="19" spans="2:16" x14ac:dyDescent="0.25">
      <c r="B19" s="160" t="s">
        <v>283</v>
      </c>
      <c r="C19" s="161"/>
      <c r="D19" s="162"/>
      <c r="E19" s="62">
        <f ca="1">SchD_1A_1!E104</f>
        <v>222719.348</v>
      </c>
      <c r="F19" s="80">
        <f ca="1">SchD_1A_1!F104</f>
        <v>0.34479700458632556</v>
      </c>
      <c r="G19" s="62">
        <f ca="1">SchD_1A_1!G104</f>
        <v>184082.875</v>
      </c>
      <c r="H19" s="80">
        <f ca="1">SchD_1A_1!H104</f>
        <v>-0.17347605112421571</v>
      </c>
      <c r="I19" s="62">
        <f ca="1">SchD_1A_1!I104</f>
        <v>232136.58500000002</v>
      </c>
      <c r="J19" s="80">
        <f ca="1">SchD_1A_1!J104</f>
        <v>0.26104389123648808</v>
      </c>
      <c r="K19" s="62">
        <f ca="1">SchD_1A_1!K104</f>
        <v>499721.66499999998</v>
      </c>
      <c r="L19" s="80">
        <f ca="1">SchD_1A_1!L104</f>
        <v>1.1527053350939918</v>
      </c>
      <c r="M19" s="62">
        <f ca="1">SchD_1A_1!M104</f>
        <v>773721.20699999994</v>
      </c>
      <c r="N19" s="81">
        <f ca="1">SchD_1A_1!N104</f>
        <v>0.54830430855944567</v>
      </c>
      <c r="O19" s="80">
        <f ca="1">SchD_1A_1!O104</f>
        <v>2.47397392255297</v>
      </c>
      <c r="P19" s="44"/>
    </row>
    <row r="20" spans="2:16" x14ac:dyDescent="0.25">
      <c r="B20" s="163" t="s">
        <v>286</v>
      </c>
      <c r="C20" s="164"/>
      <c r="D20" s="165"/>
      <c r="E20" s="47">
        <f ca="1">SchD_1A_1!E102</f>
        <v>222719.348</v>
      </c>
      <c r="F20" s="48">
        <f ca="1">SchD_1A_1!F102</f>
        <v>0.34479700458632556</v>
      </c>
      <c r="G20" s="47">
        <f ca="1">SchD_1A_1!G102</f>
        <v>184082.875</v>
      </c>
      <c r="H20" s="48">
        <f ca="1">SchD_1A_1!H102</f>
        <v>-0.17347605112421571</v>
      </c>
      <c r="I20" s="47">
        <f ca="1">SchD_1A_1!I102</f>
        <v>232136.58499999999</v>
      </c>
      <c r="J20" s="48">
        <f ca="1">SchD_1A_1!J102</f>
        <v>0.26104389123648786</v>
      </c>
      <c r="K20" s="47">
        <f ca="1">SchD_1A_1!K102</f>
        <v>499721.66500000004</v>
      </c>
      <c r="L20" s="48">
        <f ca="1">SchD_1A_1!L102</f>
        <v>1.1527053350939922</v>
      </c>
      <c r="M20" s="47">
        <f ca="1">SchD_1A_1!M102</f>
        <v>773407.12199999997</v>
      </c>
      <c r="N20" s="49">
        <f ca="1">SchD_1A_1!N102</f>
        <v>0.54767578868128508</v>
      </c>
      <c r="O20" s="48">
        <f ca="1">SchD_1A_1!O102</f>
        <v>2.4725636948254714</v>
      </c>
      <c r="P20" s="44"/>
    </row>
    <row r="21" spans="2:16" x14ac:dyDescent="0.25">
      <c r="B21" s="160" t="s">
        <v>287</v>
      </c>
      <c r="C21" s="161"/>
      <c r="D21" s="162"/>
      <c r="E21" s="62">
        <f ca="1">SchD_1A_1!E103</f>
        <v>0</v>
      </c>
      <c r="F21" s="80" t="str">
        <f ca="1">SchD_1A_1!F103</f>
        <v/>
      </c>
      <c r="G21" s="62">
        <f ca="1">SchD_1A_1!G103</f>
        <v>0</v>
      </c>
      <c r="H21" s="80" t="str">
        <f ca="1">SchD_1A_1!H103</f>
        <v/>
      </c>
      <c r="I21" s="62">
        <f ca="1">SchD_1A_1!I103</f>
        <v>0</v>
      </c>
      <c r="J21" s="80" t="str">
        <f ca="1">SchD_1A_1!J103</f>
        <v/>
      </c>
      <c r="K21" s="62">
        <f ca="1">SchD_1A_1!K103</f>
        <v>0</v>
      </c>
      <c r="L21" s="80" t="str">
        <f ca="1">SchD_1A_1!L103</f>
        <v/>
      </c>
      <c r="M21" s="62">
        <f ca="1">SchD_1A_1!M103</f>
        <v>314.08499999999998</v>
      </c>
      <c r="N21" s="81" t="str">
        <f ca="1">SchD_1A_1!N103</f>
        <v/>
      </c>
      <c r="O21" s="80" t="str">
        <f ca="1">SchD_1A_1!O103</f>
        <v/>
      </c>
      <c r="P21" s="44"/>
    </row>
    <row r="22" spans="2:16" x14ac:dyDescent="0.25">
      <c r="B22" s="163" t="s">
        <v>275</v>
      </c>
      <c r="C22" s="164"/>
      <c r="D22" s="165"/>
      <c r="E22" s="47">
        <f ca="1">SchD_1A_1!E74</f>
        <v>0</v>
      </c>
      <c r="F22" s="48" t="str">
        <f ca="1">SchD_1A_1!F74</f>
        <v/>
      </c>
      <c r="G22" s="47">
        <f ca="1">SchD_1A_1!G74</f>
        <v>0</v>
      </c>
      <c r="H22" s="48" t="str">
        <f ca="1">SchD_1A_1!H74</f>
        <v/>
      </c>
      <c r="I22" s="47">
        <f ca="1">SchD_1A_1!I74</f>
        <v>0</v>
      </c>
      <c r="J22" s="48" t="str">
        <f ca="1">SchD_1A_1!J74</f>
        <v/>
      </c>
      <c r="K22" s="47">
        <f ca="1">SchD_1A_1!K74</f>
        <v>0</v>
      </c>
      <c r="L22" s="48" t="str">
        <f ca="1">SchD_1A_1!L74</f>
        <v/>
      </c>
      <c r="M22" s="47">
        <f ca="1">SchD_1A_1!M74</f>
        <v>0</v>
      </c>
      <c r="N22" s="49" t="str">
        <f ca="1">SchD_1A_1!N74</f>
        <v/>
      </c>
      <c r="O22" s="48" t="str">
        <f ca="1">SchD_1A_1!O74</f>
        <v/>
      </c>
      <c r="P22" s="44"/>
    </row>
    <row r="23" spans="2:16" x14ac:dyDescent="0.25">
      <c r="B23" s="160" t="s">
        <v>276</v>
      </c>
      <c r="C23" s="161"/>
      <c r="D23" s="162"/>
      <c r="E23" s="62">
        <f ca="1">SchD_1A_1!E84</f>
        <v>57258.434000000001</v>
      </c>
      <c r="F23" s="80">
        <f ca="1">SchD_1A_1!F84</f>
        <v>-2.0352683224356127E-4</v>
      </c>
      <c r="G23" s="62">
        <f ca="1">SchD_1A_1!G84</f>
        <v>27301.242000000002</v>
      </c>
      <c r="H23" s="80">
        <f ca="1">SchD_1A_1!H84</f>
        <v>-0.52319265315569052</v>
      </c>
      <c r="I23" s="62">
        <f ca="1">SchD_1A_1!I84</f>
        <v>27293.507000000001</v>
      </c>
      <c r="J23" s="80">
        <f ca="1">SchD_1A_1!J84</f>
        <v>-2.8332044380985355E-4</v>
      </c>
      <c r="K23" s="62">
        <f ca="1">SchD_1A_1!K84</f>
        <v>27285.294000000002</v>
      </c>
      <c r="L23" s="80">
        <f ca="1">SchD_1A_1!L84</f>
        <v>-3.0091405988974529E-4</v>
      </c>
      <c r="M23" s="62">
        <f ca="1">SchD_1A_1!M84</f>
        <v>99680.631999999998</v>
      </c>
      <c r="N23" s="81">
        <f ca="1">SchD_1A_1!N84</f>
        <v>2.6532731514639347</v>
      </c>
      <c r="O23" s="80">
        <f ca="1">SchD_1A_1!O84</f>
        <v>0.74088994470229474</v>
      </c>
      <c r="P23" s="44"/>
    </row>
    <row r="24" spans="2:16" x14ac:dyDescent="0.25">
      <c r="B24" s="163" t="s">
        <v>277</v>
      </c>
      <c r="C24" s="164"/>
      <c r="D24" s="165"/>
      <c r="E24" s="47">
        <f ca="1">SchD_1A_1!E94</f>
        <v>0</v>
      </c>
      <c r="F24" s="48" t="str">
        <f ca="1">SchD_1A_1!F94</f>
        <v/>
      </c>
      <c r="G24" s="47">
        <f ca="1">SchD_1A_1!G94</f>
        <v>0</v>
      </c>
      <c r="H24" s="48" t="str">
        <f ca="1">SchD_1A_1!H94</f>
        <v/>
      </c>
      <c r="I24" s="47">
        <f ca="1">SchD_1A_1!I94</f>
        <v>0</v>
      </c>
      <c r="J24" s="48" t="str">
        <f ca="1">SchD_1A_1!J94</f>
        <v/>
      </c>
      <c r="K24" s="47">
        <f ca="1">SchD_1A_1!K94</f>
        <v>0</v>
      </c>
      <c r="L24" s="48" t="str">
        <f ca="1">SchD_1A_1!L94</f>
        <v/>
      </c>
      <c r="M24" s="47">
        <f ca="1">SchD_1A_1!M94</f>
        <v>0</v>
      </c>
      <c r="N24" s="49" t="str">
        <f ca="1">SchD_1A_1!N94</f>
        <v/>
      </c>
      <c r="O24" s="48" t="str">
        <f ca="1">SchD_1A_1!O94</f>
        <v/>
      </c>
      <c r="P24" s="44"/>
    </row>
    <row r="25" spans="2:16" x14ac:dyDescent="0.25">
      <c r="B25" s="160" t="s">
        <v>278</v>
      </c>
      <c r="C25" s="161"/>
      <c r="D25" s="162"/>
      <c r="E25" s="62">
        <f ca="1">SchD_1A_1!E106</f>
        <v>22206908.579999998</v>
      </c>
      <c r="F25" s="80">
        <f ca="1">SchD_1A_1!F106</f>
        <v>1.6041364046350814E-3</v>
      </c>
      <c r="G25" s="62">
        <f ca="1">SchD_1A_1!G106</f>
        <v>21991051.102370001</v>
      </c>
      <c r="H25" s="80">
        <f ca="1">SchD_1A_1!H106</f>
        <v>-9.7202848767703465E-3</v>
      </c>
      <c r="I25" s="62">
        <f ca="1">SchD_1A_1!I106</f>
        <v>22375977.386259999</v>
      </c>
      <c r="J25" s="80">
        <f ca="1">SchD_1A_1!J106</f>
        <v>1.7503769242231071E-2</v>
      </c>
      <c r="K25" s="62">
        <f ca="1">SchD_1A_1!K106</f>
        <v>21644622.592749998</v>
      </c>
      <c r="L25" s="80">
        <f ca="1">SchD_1A_1!L106</f>
        <v>-3.2684820014123317E-2</v>
      </c>
      <c r="M25" s="62">
        <f ca="1">SchD_1A_1!M106</f>
        <v>19371879.115850002</v>
      </c>
      <c r="N25" s="81">
        <f ca="1">SchD_1A_1!N106</f>
        <v>-0.10500268448484129</v>
      </c>
      <c r="O25" s="80">
        <f ca="1">SchD_1A_1!O106</f>
        <v>-0.1276643011311932</v>
      </c>
      <c r="P25" s="44"/>
    </row>
    <row r="26" spans="2:16" x14ac:dyDescent="0.25">
      <c r="B26" s="163" t="s">
        <v>279</v>
      </c>
      <c r="C26" s="164"/>
      <c r="D26" s="165"/>
      <c r="E26" s="47">
        <f ca="1">SchD_1A_1!E107</f>
        <v>22061.724999999999</v>
      </c>
      <c r="F26" s="48">
        <f ca="1">SchD_1A_1!F107</f>
        <v>-0.86698808538550121</v>
      </c>
      <c r="G26" s="47">
        <f ca="1">SchD_1A_1!G107</f>
        <v>80619.163</v>
      </c>
      <c r="H26" s="48">
        <f ca="1">SchD_1A_1!H107</f>
        <v>2.6542547330274493</v>
      </c>
      <c r="I26" s="47">
        <f ca="1">SchD_1A_1!I107</f>
        <v>33349.404000000002</v>
      </c>
      <c r="J26" s="48">
        <f ca="1">SchD_1A_1!J107</f>
        <v>-0.58633403326204214</v>
      </c>
      <c r="K26" s="47">
        <f ca="1">SchD_1A_1!K107</f>
        <v>65974.695000000007</v>
      </c>
      <c r="L26" s="48">
        <f ca="1">SchD_1A_1!L107</f>
        <v>0.97828707823384198</v>
      </c>
      <c r="M26" s="47">
        <f ca="1">SchD_1A_1!M107</f>
        <v>500932.47899999999</v>
      </c>
      <c r="N26" s="49">
        <f ca="1">SchD_1A_1!N107</f>
        <v>6.5927971929237401</v>
      </c>
      <c r="O26" s="48">
        <f ca="1">SchD_1A_1!O107</f>
        <v>21.705952458386641</v>
      </c>
      <c r="P26" s="44"/>
    </row>
    <row r="27" spans="2:16" x14ac:dyDescent="0.25">
      <c r="B27" s="160" t="str">
        <f>SUBSTITUTE(SUBSTITUTE(SUBSTITUTE(SUBSTITUTE(SUBSTITUTE(Financials!B51," (%)","")," ($000)",""),"Adm ",""),"Short Term","ST"),"Admitted ","")</f>
        <v>Net Stock</v>
      </c>
      <c r="C27" s="161"/>
      <c r="D27" s="162"/>
      <c r="E27" s="62">
        <f ca="1">Financials!F51</f>
        <v>692258.06599999999</v>
      </c>
      <c r="F27" s="80">
        <f ca="1">Financials!G51</f>
        <v>-0.20788628675500254</v>
      </c>
      <c r="G27" s="62">
        <f ca="1">Financials!H51</f>
        <v>730028.99800000002</v>
      </c>
      <c r="H27" s="80">
        <f ca="1">Financials!I51</f>
        <v>5.456192402097626E-2</v>
      </c>
      <c r="I27" s="62">
        <f ca="1">Financials!J51</f>
        <v>1075693.3530000001</v>
      </c>
      <c r="J27" s="80">
        <f ca="1">Financials!K51</f>
        <v>0.47349400632986915</v>
      </c>
      <c r="K27" s="62">
        <f ca="1">Financials!L51</f>
        <v>1868828.611</v>
      </c>
      <c r="L27" s="80">
        <f ca="1">Financials!M51</f>
        <v>0.7373246806704028</v>
      </c>
      <c r="M27" s="62">
        <f ca="1">Financials!N51</f>
        <v>2046233.037</v>
      </c>
      <c r="N27" s="81">
        <f ca="1">Financials!O51</f>
        <v>9.492814105894487E-2</v>
      </c>
      <c r="O27" s="80">
        <f ca="1">Financials!P51</f>
        <v>1.9558818271681937</v>
      </c>
      <c r="P27" s="44"/>
    </row>
    <row r="28" spans="2:16" x14ac:dyDescent="0.25">
      <c r="B28" s="163" t="str">
        <f>"    "&amp;SUBSTITUTE(SUBSTITUTE(SUBSTITUTE(SUBSTITUTE(SUBSTITUTE(Financials!B52," (%)","")," ($000)",""),"Adm ",""),"Short Term","ST"),"Admitted ","")</f>
        <v xml:space="preserve">    Net Preferred Stock</v>
      </c>
      <c r="C28" s="164"/>
      <c r="D28" s="165"/>
      <c r="E28" s="47">
        <f ca="1">Financials!F52</f>
        <v>1140.2719999999999</v>
      </c>
      <c r="F28" s="48">
        <f ca="1">Financials!G52</f>
        <v>-0.35763630494631637</v>
      </c>
      <c r="G28" s="47">
        <f ca="1">Financials!H52</f>
        <v>1039.5999999999999</v>
      </c>
      <c r="H28" s="48">
        <f ca="1">Financials!I52</f>
        <v>-8.8287706792765208E-2</v>
      </c>
      <c r="I28" s="47">
        <f ca="1">Financials!J52</f>
        <v>0</v>
      </c>
      <c r="J28" s="48">
        <f ca="1">Financials!K52</f>
        <v>-1</v>
      </c>
      <c r="K28" s="47">
        <f ca="1">Financials!L52</f>
        <v>0</v>
      </c>
      <c r="L28" s="48">
        <f ca="1">Financials!M52</f>
        <v>0</v>
      </c>
      <c r="M28" s="47">
        <f ca="1">Financials!N52</f>
        <v>0</v>
      </c>
      <c r="N28" s="49">
        <f ca="1">Financials!O52</f>
        <v>0</v>
      </c>
      <c r="O28" s="48">
        <f ca="1">Financials!P52</f>
        <v>-1</v>
      </c>
      <c r="P28" s="44"/>
    </row>
    <row r="29" spans="2:16" x14ac:dyDescent="0.25">
      <c r="B29" s="160" t="str">
        <f>"    "&amp;SUBSTITUTE(SUBSTITUTE(SUBSTITUTE(SUBSTITUTE(SUBSTITUTE(Financials!B53," (%)","")," ($000)",""),"Adm ",""),"Short Term","ST"),"Admitted ","")</f>
        <v xml:space="preserve">    Net Common Stock</v>
      </c>
      <c r="C29" s="161"/>
      <c r="D29" s="162"/>
      <c r="E29" s="62">
        <f ca="1">Financials!F53</f>
        <v>691117.79399999999</v>
      </c>
      <c r="F29" s="80">
        <f ca="1">Financials!G53</f>
        <v>-0.20758149944005055</v>
      </c>
      <c r="G29" s="62">
        <f ca="1">Financials!H53</f>
        <v>728989.39800000004</v>
      </c>
      <c r="H29" s="80">
        <f ca="1">Financials!I53</f>
        <v>5.4797610955448883E-2</v>
      </c>
      <c r="I29" s="62">
        <f ca="1">Financials!J53</f>
        <v>1075693.3530000001</v>
      </c>
      <c r="J29" s="80">
        <f ca="1">Financials!K53</f>
        <v>0.47559533232059437</v>
      </c>
      <c r="K29" s="62">
        <f ca="1">Financials!L53</f>
        <v>1868828.611</v>
      </c>
      <c r="L29" s="80">
        <f ca="1">Financials!M53</f>
        <v>0.7373246806704028</v>
      </c>
      <c r="M29" s="62">
        <f ca="1">Financials!N53</f>
        <v>2046233.037</v>
      </c>
      <c r="N29" s="81">
        <f ca="1">Financials!O53</f>
        <v>9.492814105894487E-2</v>
      </c>
      <c r="O29" s="80">
        <f ca="1">Financials!P53</f>
        <v>1.9607587227019074</v>
      </c>
      <c r="P29" s="44"/>
    </row>
    <row r="30" spans="2:16" x14ac:dyDescent="0.25">
      <c r="B30" s="163" t="str">
        <f>SUBSTITUTE(SUBSTITUTE(SUBSTITUTE(SUBSTITUTE(SUBSTITUTE(Financials!B54," (%)","")," ($000)",""),"Adm ",""),"Short Term","ST"),"Admitted ","")</f>
        <v>Net Real Estate</v>
      </c>
      <c r="C30" s="164"/>
      <c r="D30" s="165"/>
      <c r="E30" s="47">
        <f ca="1">Financials!F54</f>
        <v>1816.9110000000001</v>
      </c>
      <c r="F30" s="48">
        <f ca="1">Financials!G54</f>
        <v>-2.8404907089676135E-2</v>
      </c>
      <c r="G30" s="47">
        <f ca="1">Financials!H54</f>
        <v>0</v>
      </c>
      <c r="H30" s="48">
        <f ca="1">Financials!I54</f>
        <v>-1</v>
      </c>
      <c r="I30" s="47">
        <f ca="1">Financials!J54</f>
        <v>0</v>
      </c>
      <c r="J30" s="48">
        <f ca="1">Financials!K54</f>
        <v>0</v>
      </c>
      <c r="K30" s="47">
        <f ca="1">Financials!L54</f>
        <v>0</v>
      </c>
      <c r="L30" s="48">
        <f ca="1">Financials!M54</f>
        <v>0</v>
      </c>
      <c r="M30" s="47">
        <f ca="1">Financials!N54</f>
        <v>743791.69099999999</v>
      </c>
      <c r="N30" s="49">
        <f ca="1">Financials!O54</f>
        <v>0</v>
      </c>
      <c r="O30" s="48">
        <f ca="1">Financials!P54</f>
        <v>408.37156030207314</v>
      </c>
      <c r="P30" s="44"/>
    </row>
    <row r="31" spans="2:16" x14ac:dyDescent="0.25">
      <c r="B31" s="160" t="str">
        <f>"    "&amp;SUBSTITUTE(SUBSTITUTE(SUBSTITUTE(SUBSTITUTE(SUBSTITUTE(SUBSTITUTE(Financials!B55," (%)","")," ($000)",""),"Adm ",""),"Short Term","ST"),"Admitted ",""),"Real Estate","RE")</f>
        <v xml:space="preserve">    Net First Lien RE Loans</v>
      </c>
      <c r="C31" s="161"/>
      <c r="D31" s="162"/>
      <c r="E31" s="62">
        <f ca="1">Financials!F55</f>
        <v>1816.9110000000001</v>
      </c>
      <c r="F31" s="80">
        <f ca="1">Financials!G55</f>
        <v>-2.8404907089676135E-2</v>
      </c>
      <c r="G31" s="62">
        <f ca="1">Financials!H55</f>
        <v>0</v>
      </c>
      <c r="H31" s="80">
        <f ca="1">Financials!I55</f>
        <v>-1</v>
      </c>
      <c r="I31" s="62">
        <f ca="1">Financials!J55</f>
        <v>0</v>
      </c>
      <c r="J31" s="80">
        <f ca="1">Financials!K55</f>
        <v>0</v>
      </c>
      <c r="K31" s="62">
        <f ca="1">Financials!L55</f>
        <v>0</v>
      </c>
      <c r="L31" s="80">
        <f ca="1">Financials!M55</f>
        <v>0</v>
      </c>
      <c r="M31" s="62">
        <f ca="1">Financials!N55</f>
        <v>0</v>
      </c>
      <c r="N31" s="81">
        <f ca="1">Financials!O55</f>
        <v>0</v>
      </c>
      <c r="O31" s="80">
        <f ca="1">Financials!P55</f>
        <v>-1</v>
      </c>
      <c r="P31" s="44"/>
    </row>
    <row r="32" spans="2:16" x14ac:dyDescent="0.25">
      <c r="B32" s="163" t="str">
        <f>"    "&amp;SUBSTITUTE(SUBSTITUTE(SUBSTITUTE(SUBSTITUTE(SUBSTITUTE(SUBSTITUTE(SUBSTITUTE(Financials!B56," (%)","")," ($000)",""),"Adm ",""),"Short Term","ST"),"Admitted ",""),"First","1st"),"Real Estate","RE")</f>
        <v xml:space="preserve">    Net RE Loans Less 1st Liens</v>
      </c>
      <c r="C32" s="164"/>
      <c r="D32" s="165"/>
      <c r="E32" s="47">
        <f ca="1">Financials!F56</f>
        <v>0</v>
      </c>
      <c r="F32" s="48">
        <f ca="1">Financials!G56</f>
        <v>0</v>
      </c>
      <c r="G32" s="47">
        <f ca="1">Financials!H56</f>
        <v>0</v>
      </c>
      <c r="H32" s="48">
        <f ca="1">Financials!I56</f>
        <v>0</v>
      </c>
      <c r="I32" s="47">
        <f ca="1">Financials!J56</f>
        <v>0</v>
      </c>
      <c r="J32" s="48">
        <f ca="1">Financials!K56</f>
        <v>0</v>
      </c>
      <c r="K32" s="47">
        <f ca="1">Financials!L56</f>
        <v>0</v>
      </c>
      <c r="L32" s="48">
        <f ca="1">Financials!M56</f>
        <v>0</v>
      </c>
      <c r="M32" s="47">
        <f ca="1">Financials!N56</f>
        <v>0</v>
      </c>
      <c r="N32" s="49">
        <f ca="1">Financials!O56</f>
        <v>0</v>
      </c>
      <c r="O32" s="48">
        <f ca="1">Financials!P56</f>
        <v>0</v>
      </c>
      <c r="P32" s="44"/>
    </row>
    <row r="33" spans="2:16" x14ac:dyDescent="0.25">
      <c r="B33" s="160" t="str">
        <f>"    "&amp;SUBSTITUTE(SUBSTITUTE(SUBSTITUTE(SUBSTITUTE(SUBSTITUTE(Financials!B57," (%)","")," ($000)",""),"Adm ",""),"Short Term","ST"),"Admitted ","")</f>
        <v xml:space="preserve">    Net Occupied Properties</v>
      </c>
      <c r="C33" s="161"/>
      <c r="D33" s="162"/>
      <c r="E33" s="62">
        <f ca="1">Financials!F57</f>
        <v>0</v>
      </c>
      <c r="F33" s="80">
        <f ca="1">Financials!G57</f>
        <v>0</v>
      </c>
      <c r="G33" s="62">
        <f ca="1">Financials!H57</f>
        <v>0</v>
      </c>
      <c r="H33" s="80">
        <f ca="1">Financials!I57</f>
        <v>0</v>
      </c>
      <c r="I33" s="62">
        <f ca="1">Financials!J57</f>
        <v>0</v>
      </c>
      <c r="J33" s="80">
        <f ca="1">Financials!K57</f>
        <v>0</v>
      </c>
      <c r="K33" s="62">
        <f ca="1">Financials!L57</f>
        <v>0</v>
      </c>
      <c r="L33" s="80">
        <f ca="1">Financials!M57</f>
        <v>0</v>
      </c>
      <c r="M33" s="62">
        <f ca="1">Financials!N57</f>
        <v>0</v>
      </c>
      <c r="N33" s="81">
        <f ca="1">Financials!O57</f>
        <v>0</v>
      </c>
      <c r="O33" s="80">
        <f ca="1">Financials!P57</f>
        <v>0</v>
      </c>
      <c r="P33" s="44"/>
    </row>
    <row r="34" spans="2:16" x14ac:dyDescent="0.25">
      <c r="B34" s="163" t="str">
        <f>"    "&amp;SUBSTITUTE(SUBSTITUTE(SUBSTITUTE(SUBSTITUTE(SUBSTITUTE(Financials!B58," (%)","")," ($000)",""),"Adm ",""),"Short Term","ST"),"Admitted ","")</f>
        <v xml:space="preserve">    Net Income Generating Properties</v>
      </c>
      <c r="C34" s="164"/>
      <c r="D34" s="165"/>
      <c r="E34" s="47">
        <f ca="1">Financials!F58</f>
        <v>0</v>
      </c>
      <c r="F34" s="48">
        <f ca="1">Financials!G58</f>
        <v>0</v>
      </c>
      <c r="G34" s="47">
        <f ca="1">Financials!H58</f>
        <v>0</v>
      </c>
      <c r="H34" s="48">
        <f ca="1">Financials!I58</f>
        <v>0</v>
      </c>
      <c r="I34" s="47">
        <f ca="1">Financials!J58</f>
        <v>0</v>
      </c>
      <c r="J34" s="48">
        <f ca="1">Financials!K58</f>
        <v>0</v>
      </c>
      <c r="K34" s="47">
        <f ca="1">Financials!L58</f>
        <v>0</v>
      </c>
      <c r="L34" s="48">
        <f ca="1">Financials!M58</f>
        <v>0</v>
      </c>
      <c r="M34" s="47">
        <f ca="1">Financials!N58</f>
        <v>743791.69099999999</v>
      </c>
      <c r="N34" s="49">
        <f ca="1">Financials!O58</f>
        <v>0</v>
      </c>
      <c r="O34" s="48">
        <f ca="1">Financials!P58</f>
        <v>0</v>
      </c>
      <c r="P34" s="44"/>
    </row>
    <row r="35" spans="2:16" x14ac:dyDescent="0.25">
      <c r="B35" s="160" t="str">
        <f>"    "&amp;SUBSTITUTE(SUBSTITUTE(SUBSTITUTE(SUBSTITUTE(SUBSTITUTE(Financials!B59," (%)","")," ($000)",""),"Adm ",""),"Short Term","ST"),"Admitted ","")</f>
        <v xml:space="preserve">    Net Properties for Sale</v>
      </c>
      <c r="C35" s="161"/>
      <c r="D35" s="162"/>
      <c r="E35" s="62">
        <f ca="1">Financials!F59</f>
        <v>0</v>
      </c>
      <c r="F35" s="80">
        <f ca="1">Financials!G59</f>
        <v>0</v>
      </c>
      <c r="G35" s="62">
        <f ca="1">Financials!H59</f>
        <v>0</v>
      </c>
      <c r="H35" s="80">
        <f ca="1">Financials!I59</f>
        <v>0</v>
      </c>
      <c r="I35" s="62">
        <f ca="1">Financials!J59</f>
        <v>0</v>
      </c>
      <c r="J35" s="80">
        <f ca="1">Financials!K59</f>
        <v>0</v>
      </c>
      <c r="K35" s="62">
        <f ca="1">Financials!L59</f>
        <v>0</v>
      </c>
      <c r="L35" s="80">
        <f ca="1">Financials!M59</f>
        <v>0</v>
      </c>
      <c r="M35" s="62">
        <f ca="1">Financials!N59</f>
        <v>0</v>
      </c>
      <c r="N35" s="81">
        <f ca="1">Financials!O59</f>
        <v>0</v>
      </c>
      <c r="O35" s="80">
        <f ca="1">Financials!P59</f>
        <v>0</v>
      </c>
      <c r="P35" s="44"/>
    </row>
    <row r="36" spans="2:16" x14ac:dyDescent="0.25">
      <c r="B36" s="163" t="s">
        <v>288</v>
      </c>
      <c r="C36" s="164"/>
      <c r="D36" s="165"/>
      <c r="E36" s="47">
        <f ca="1">Financials!F60</f>
        <v>230170.772</v>
      </c>
      <c r="F36" s="48">
        <f ca="1">Financials!G60</f>
        <v>-0.60472797270082657</v>
      </c>
      <c r="G36" s="47">
        <f ca="1">Financials!H60</f>
        <v>1123572.7920000001</v>
      </c>
      <c r="H36" s="48">
        <f ca="1">Financials!I60</f>
        <v>3.8814746643852773</v>
      </c>
      <c r="I36" s="47">
        <f ca="1">Financials!J60</f>
        <v>548977.11100000003</v>
      </c>
      <c r="J36" s="48">
        <f ca="1">Financials!K60</f>
        <v>-0.51140049411235655</v>
      </c>
      <c r="K36" s="47">
        <f ca="1">Financials!L60</f>
        <v>1024731.39</v>
      </c>
      <c r="L36" s="48">
        <f ca="1">Financials!M60</f>
        <v>0.86661951740279375</v>
      </c>
      <c r="M36" s="47">
        <f ca="1">Financials!N60</f>
        <v>690491.45200000005</v>
      </c>
      <c r="N36" s="49">
        <f ca="1">Financials!O60</f>
        <v>-0.3261732208671777</v>
      </c>
      <c r="O36" s="48">
        <f ca="1">Financials!P60</f>
        <v>1.9999093542598017</v>
      </c>
      <c r="P36" s="44"/>
    </row>
    <row r="37" spans="2:16" x14ac:dyDescent="0.25">
      <c r="B37" s="160" t="str">
        <f>SUBSTITUTE(SUBSTITUTE(SUBSTITUTE(SUBSTITUTE(SUBSTITUTE(Financials!B61," (%)","")," ($000)",""),"Adm ",""),"Short Term","ST"),"Admitted ","")</f>
        <v>Net Other Investments</v>
      </c>
      <c r="C37" s="161"/>
      <c r="D37" s="162"/>
      <c r="E37" s="62">
        <f ca="1">Financials!F61</f>
        <v>2690389.057</v>
      </c>
      <c r="F37" s="80">
        <f ca="1">Financials!G61</f>
        <v>-8.0927233015455902E-2</v>
      </c>
      <c r="G37" s="62">
        <f ca="1">Financials!H61</f>
        <v>2904222.7409999999</v>
      </c>
      <c r="H37" s="80">
        <f ca="1">Financials!I61</f>
        <v>7.9480580492117259E-2</v>
      </c>
      <c r="I37" s="62">
        <f ca="1">Financials!J61</f>
        <v>3227670.7549999999</v>
      </c>
      <c r="J37" s="80">
        <f ca="1">Financials!K61</f>
        <v>0.1113716277452701</v>
      </c>
      <c r="K37" s="62">
        <f ca="1">Financials!L61</f>
        <v>3112709.227</v>
      </c>
      <c r="L37" s="80">
        <f ca="1">Financials!M61</f>
        <v>-3.5617489120261858E-2</v>
      </c>
      <c r="M37" s="62">
        <f ca="1">Financials!N61</f>
        <v>2792641.8790000002</v>
      </c>
      <c r="N37" s="81">
        <f ca="1">Financials!O61</f>
        <v>-0.10282597077288769</v>
      </c>
      <c r="O37" s="80">
        <f ca="1">Financials!P61</f>
        <v>3.8006704544814252E-2</v>
      </c>
      <c r="P37" s="44"/>
    </row>
    <row r="38" spans="2:16" x14ac:dyDescent="0.25">
      <c r="B38" s="174" t="str">
        <f>SUBSTITUTE(SUBSTITUTE(SUBSTITUTE(SUBSTITUTE(SUBSTITUTE(Financials!B62," (%)","")," ($000)",""),"Adm ",""),"Short Term","ST"),"Admitted ","")</f>
        <v>Net Cash &amp; Invested Assets</v>
      </c>
      <c r="C38" s="175"/>
      <c r="D38" s="176"/>
      <c r="E38" s="63">
        <f ca="1">Financials!F62</f>
        <v>25481374.539000001</v>
      </c>
      <c r="F38" s="82">
        <f ca="1">Financials!G62</f>
        <v>-3.3198328517110465E-2</v>
      </c>
      <c r="G38" s="63">
        <f ca="1">Financials!H62</f>
        <v>26533864.206</v>
      </c>
      <c r="H38" s="82">
        <f ca="1">Financials!I62</f>
        <v>4.1304273652472467E-2</v>
      </c>
      <c r="I38" s="63">
        <f ca="1">Financials!J62</f>
        <v>26652455.316</v>
      </c>
      <c r="J38" s="82">
        <f ca="1">Financials!K62</f>
        <v>4.4694247727845582E-3</v>
      </c>
      <c r="K38" s="63">
        <f ca="1">Financials!L62</f>
        <v>26730825.75</v>
      </c>
      <c r="L38" s="82">
        <f ca="1">Financials!M62</f>
        <v>2.9404583206618096E-3</v>
      </c>
      <c r="M38" s="63">
        <f ca="1">Financials!N62</f>
        <v>25681205.577</v>
      </c>
      <c r="N38" s="83">
        <f ca="1">Financials!O62</f>
        <v>-3.9266283159995585E-2</v>
      </c>
      <c r="O38" s="82">
        <f ca="1">Financials!P62</f>
        <v>7.8422393460035877E-3</v>
      </c>
      <c r="P38" s="44"/>
    </row>
    <row r="39" spans="2:16" x14ac:dyDescent="0.25">
      <c r="L39" s="46"/>
    </row>
    <row r="53" spans="2:15" ht="5.25" customHeight="1" x14ac:dyDescent="0.25"/>
    <row r="54" spans="2:15" ht="19.5" customHeight="1" x14ac:dyDescent="0.25">
      <c r="B54" s="171" t="s">
        <v>290</v>
      </c>
      <c r="C54" s="172"/>
      <c r="D54" s="172"/>
      <c r="E54" s="52" t="str">
        <f ca="1">Financials!$F$4</f>
        <v>2011Y</v>
      </c>
      <c r="F54" s="52" t="str">
        <f ca="1">Financials!$G$4</f>
        <v>2011Y
% Chg</v>
      </c>
      <c r="G54" s="52" t="str">
        <f ca="1">Financials!$H$4</f>
        <v>2012Y</v>
      </c>
      <c r="H54" s="52" t="str">
        <f ca="1">Financials!$I$4</f>
        <v>2012Y
% Chg</v>
      </c>
      <c r="I54" s="52" t="str">
        <f ca="1">Financials!$J$4</f>
        <v>2013Y</v>
      </c>
      <c r="J54" s="52" t="str">
        <f ca="1">Financials!$K$4</f>
        <v>2013Y
% Chg</v>
      </c>
      <c r="K54" s="52" t="str">
        <f ca="1">Financials!$L$4</f>
        <v>2014Y</v>
      </c>
      <c r="L54" s="52" t="str">
        <f ca="1">Financials!$M$4</f>
        <v>2014Y
% Chg</v>
      </c>
      <c r="M54" s="52" t="str">
        <f ca="1">Financials!$N$4</f>
        <v>2015Y</v>
      </c>
      <c r="N54" s="52" t="str">
        <f ca="1">Financials!$O$4</f>
        <v>2015Y
% Chg</v>
      </c>
      <c r="O54" s="53" t="str">
        <f>Financials!$P$4</f>
        <v>5 Yr % Chg</v>
      </c>
    </row>
    <row r="55" spans="2:15" x14ac:dyDescent="0.25">
      <c r="B55" s="168" t="str">
        <f>SchBA!C29</f>
        <v>Total Unaffiliated</v>
      </c>
      <c r="C55" s="169"/>
      <c r="D55" s="170"/>
      <c r="E55" s="84">
        <f ca="1">SchBA!E29</f>
        <v>2559981.9620000003</v>
      </c>
      <c r="F55" s="85">
        <f ca="1">SchBA!F29</f>
        <v>1.8418275204888035E-2</v>
      </c>
      <c r="G55" s="84">
        <f ca="1">SchBA!G29</f>
        <v>2513834.8020000001</v>
      </c>
      <c r="H55" s="85">
        <f ca="1">SchBA!H29</f>
        <v>-1.8026361390432344E-2</v>
      </c>
      <c r="I55" s="84">
        <f ca="1">SchBA!I29</f>
        <v>2957050.2060000002</v>
      </c>
      <c r="J55" s="85">
        <f ca="1">SchBA!J29</f>
        <v>0.17631047340397199</v>
      </c>
      <c r="K55" s="84">
        <f ca="1">SchBA!K29</f>
        <v>3056950.102</v>
      </c>
      <c r="L55" s="85">
        <f ca="1">SchBA!L29</f>
        <v>3.3783632011826548E-2</v>
      </c>
      <c r="M55" s="86">
        <f ca="1">SchBA!M29</f>
        <v>2782777.65</v>
      </c>
      <c r="N55" s="87">
        <f ca="1">SchBA!N29</f>
        <v>-8.9688232667135659E-2</v>
      </c>
      <c r="O55" s="85">
        <f ca="1">SchBA!O29</f>
        <v>8.7030178847799178E-2</v>
      </c>
    </row>
    <row r="56" spans="2:15" x14ac:dyDescent="0.25">
      <c r="B56" s="163" t="str">
        <f>"    "&amp;SUBSTITUTE(SchBA!C5,"Unaff: ","")</f>
        <v xml:space="preserve">    Oil &amp; Gas Production</v>
      </c>
      <c r="C56" s="164"/>
      <c r="D56" s="165"/>
      <c r="E56" s="47">
        <f ca="1">SchBA!E5</f>
        <v>0</v>
      </c>
      <c r="F56" s="60">
        <f ca="1">SchBA!F5</f>
        <v>0</v>
      </c>
      <c r="G56" s="47">
        <f ca="1">SchBA!G5</f>
        <v>0</v>
      </c>
      <c r="H56" s="60">
        <f ca="1">SchBA!H5</f>
        <v>0</v>
      </c>
      <c r="I56" s="47">
        <f ca="1">SchBA!I5</f>
        <v>0</v>
      </c>
      <c r="J56" s="60">
        <f ca="1">SchBA!J5</f>
        <v>0</v>
      </c>
      <c r="K56" s="47">
        <f ca="1">SchBA!K5</f>
        <v>0</v>
      </c>
      <c r="L56" s="60">
        <f ca="1">SchBA!L5</f>
        <v>0</v>
      </c>
      <c r="M56" s="55">
        <f ca="1">SchBA!M5</f>
        <v>0</v>
      </c>
      <c r="N56" s="56">
        <f ca="1">SchBA!N5</f>
        <v>0</v>
      </c>
      <c r="O56" s="60">
        <f ca="1">SchBA!O5</f>
        <v>0</v>
      </c>
    </row>
    <row r="57" spans="2:15" x14ac:dyDescent="0.25">
      <c r="B57" s="160" t="str">
        <f>"    "&amp;SUBSTITUTE(SchBA!C6,"Unaff: ","")</f>
        <v xml:space="preserve">    Transport Equip</v>
      </c>
      <c r="C57" s="161"/>
      <c r="D57" s="162"/>
      <c r="E57" s="62">
        <f ca="1">SchBA!E6</f>
        <v>0</v>
      </c>
      <c r="F57" s="61">
        <f ca="1">SchBA!F6</f>
        <v>0</v>
      </c>
      <c r="G57" s="62">
        <f ca="1">SchBA!G6</f>
        <v>0</v>
      </c>
      <c r="H57" s="61">
        <f ca="1">SchBA!H6</f>
        <v>0</v>
      </c>
      <c r="I57" s="62">
        <f ca="1">SchBA!I6</f>
        <v>0</v>
      </c>
      <c r="J57" s="61">
        <f ca="1">SchBA!J6</f>
        <v>0</v>
      </c>
      <c r="K57" s="62">
        <f ca="1">SchBA!K6</f>
        <v>0</v>
      </c>
      <c r="L57" s="61">
        <f ca="1">SchBA!L6</f>
        <v>0</v>
      </c>
      <c r="M57" s="57">
        <f ca="1">SchBA!M6</f>
        <v>0</v>
      </c>
      <c r="N57" s="58">
        <f ca="1">SchBA!N6</f>
        <v>0</v>
      </c>
      <c r="O57" s="61">
        <f ca="1">SchBA!O6</f>
        <v>0</v>
      </c>
    </row>
    <row r="58" spans="2:15" x14ac:dyDescent="0.25">
      <c r="B58" s="163" t="str">
        <f>"    "&amp;SUBSTITUTE(SchBA!C7,"Unaff: ","")</f>
        <v xml:space="preserve">    Mineral Rights</v>
      </c>
      <c r="C58" s="164"/>
      <c r="D58" s="165"/>
      <c r="E58" s="47">
        <f ca="1">SchBA!E7</f>
        <v>0</v>
      </c>
      <c r="F58" s="60">
        <f ca="1">SchBA!F7</f>
        <v>0</v>
      </c>
      <c r="G58" s="47">
        <f ca="1">SchBA!G7</f>
        <v>0</v>
      </c>
      <c r="H58" s="60">
        <f ca="1">SchBA!H7</f>
        <v>0</v>
      </c>
      <c r="I58" s="47">
        <f ca="1">SchBA!I7</f>
        <v>0</v>
      </c>
      <c r="J58" s="60">
        <f ca="1">SchBA!J7</f>
        <v>0</v>
      </c>
      <c r="K58" s="47">
        <f ca="1">SchBA!K7</f>
        <v>0</v>
      </c>
      <c r="L58" s="60">
        <f ca="1">SchBA!L7</f>
        <v>0</v>
      </c>
      <c r="M58" s="55">
        <f ca="1">SchBA!M7</f>
        <v>0</v>
      </c>
      <c r="N58" s="56">
        <f ca="1">SchBA!N7</f>
        <v>0</v>
      </c>
      <c r="O58" s="60">
        <f ca="1">SchBA!O7</f>
        <v>0</v>
      </c>
    </row>
    <row r="59" spans="2:15" x14ac:dyDescent="0.25">
      <c r="B59" s="160" t="str">
        <f>"    "&amp;SUBSTITUTE(SchBA!C8,"Unaff: ","")</f>
        <v xml:space="preserve">    Fix/Var: Bonds</v>
      </c>
      <c r="C59" s="161"/>
      <c r="D59" s="162"/>
      <c r="E59" s="62">
        <f ca="1">SchBA!E8</f>
        <v>0</v>
      </c>
      <c r="F59" s="61">
        <f ca="1">SchBA!F8</f>
        <v>0</v>
      </c>
      <c r="G59" s="62">
        <f ca="1">SchBA!G8</f>
        <v>0</v>
      </c>
      <c r="H59" s="61">
        <f ca="1">SchBA!H8</f>
        <v>0</v>
      </c>
      <c r="I59" s="62">
        <f ca="1">SchBA!I8</f>
        <v>0</v>
      </c>
      <c r="J59" s="61">
        <f ca="1">SchBA!J8</f>
        <v>0</v>
      </c>
      <c r="K59" s="62">
        <f ca="1">SchBA!K8</f>
        <v>0</v>
      </c>
      <c r="L59" s="61">
        <f ca="1">SchBA!L8</f>
        <v>0</v>
      </c>
      <c r="M59" s="57">
        <f ca="1">SchBA!M8</f>
        <v>0</v>
      </c>
      <c r="N59" s="58">
        <f ca="1">SchBA!N8</f>
        <v>0</v>
      </c>
      <c r="O59" s="61">
        <f ca="1">SchBA!O8</f>
        <v>0</v>
      </c>
    </row>
    <row r="60" spans="2:15" x14ac:dyDescent="0.25">
      <c r="B60" s="163" t="str">
        <f>"    "&amp;SUBSTITUTE(SchBA!C9,"Unaff: ","")</f>
        <v xml:space="preserve">    Fix/Var: Mrtg Fund</v>
      </c>
      <c r="C60" s="164"/>
      <c r="D60" s="165"/>
      <c r="E60" s="47">
        <f ca="1">SchBA!E9</f>
        <v>0</v>
      </c>
      <c r="F60" s="60">
        <f ca="1">SchBA!F9</f>
        <v>0</v>
      </c>
      <c r="G60" s="47">
        <f ca="1">SchBA!G9</f>
        <v>0</v>
      </c>
      <c r="H60" s="60">
        <f ca="1">SchBA!H9</f>
        <v>0</v>
      </c>
      <c r="I60" s="47">
        <f ca="1">SchBA!I9</f>
        <v>0</v>
      </c>
      <c r="J60" s="60">
        <f ca="1">SchBA!J9</f>
        <v>0</v>
      </c>
      <c r="K60" s="47">
        <f ca="1">SchBA!K9</f>
        <v>0</v>
      </c>
      <c r="L60" s="60">
        <f ca="1">SchBA!L9</f>
        <v>0</v>
      </c>
      <c r="M60" s="55">
        <f ca="1">SchBA!M9</f>
        <v>0</v>
      </c>
      <c r="N60" s="56">
        <f ca="1">SchBA!N9</f>
        <v>0</v>
      </c>
      <c r="O60" s="60">
        <f ca="1">SchBA!O9</f>
        <v>0</v>
      </c>
    </row>
    <row r="61" spans="2:15" x14ac:dyDescent="0.25">
      <c r="B61" s="160" t="str">
        <f>"    "&amp;SUBSTITUTE(SchBA!C10,"Unaff: ","")</f>
        <v xml:space="preserve">    Fix/Var: Oth Fix Inc</v>
      </c>
      <c r="C61" s="161"/>
      <c r="D61" s="162"/>
      <c r="E61" s="62">
        <f ca="1">SchBA!E10</f>
        <v>0</v>
      </c>
      <c r="F61" s="61">
        <f ca="1">SchBA!F10</f>
        <v>0</v>
      </c>
      <c r="G61" s="62">
        <f ca="1">SchBA!G10</f>
        <v>0</v>
      </c>
      <c r="H61" s="61">
        <f ca="1">SchBA!H10</f>
        <v>0</v>
      </c>
      <c r="I61" s="62">
        <f ca="1">SchBA!I10</f>
        <v>0</v>
      </c>
      <c r="J61" s="61">
        <f ca="1">SchBA!J10</f>
        <v>0</v>
      </c>
      <c r="K61" s="62">
        <f ca="1">SchBA!K10</f>
        <v>0</v>
      </c>
      <c r="L61" s="61">
        <f ca="1">SchBA!L10</f>
        <v>0</v>
      </c>
      <c r="M61" s="57">
        <f ca="1">SchBA!M10</f>
        <v>0</v>
      </c>
      <c r="N61" s="58">
        <f ca="1">SchBA!N10</f>
        <v>0</v>
      </c>
      <c r="O61" s="61">
        <f ca="1">SchBA!O10</f>
        <v>0</v>
      </c>
    </row>
    <row r="62" spans="2:15" x14ac:dyDescent="0.25">
      <c r="B62" s="163" t="str">
        <f>"    "&amp;SUBSTITUTE(SchBA!C11,"Unaff: ","")</f>
        <v xml:space="preserve">    JV, LLCs: Fix Income</v>
      </c>
      <c r="C62" s="164"/>
      <c r="D62" s="165"/>
      <c r="E62" s="47">
        <f ca="1">SchBA!E11</f>
        <v>0</v>
      </c>
      <c r="F62" s="60">
        <f ca="1">SchBA!F11</f>
        <v>0</v>
      </c>
      <c r="G62" s="47">
        <f ca="1">SchBA!G11</f>
        <v>0</v>
      </c>
      <c r="H62" s="60">
        <f ca="1">SchBA!H11</f>
        <v>0</v>
      </c>
      <c r="I62" s="47">
        <f ca="1">SchBA!I11</f>
        <v>0</v>
      </c>
      <c r="J62" s="60">
        <f ca="1">SchBA!J11</f>
        <v>0</v>
      </c>
      <c r="K62" s="47">
        <f ca="1">SchBA!K11</f>
        <v>0</v>
      </c>
      <c r="L62" s="60">
        <f ca="1">SchBA!L11</f>
        <v>0</v>
      </c>
      <c r="M62" s="55">
        <f ca="1">SchBA!M11</f>
        <v>0</v>
      </c>
      <c r="N62" s="56">
        <f ca="1">SchBA!N11</f>
        <v>0</v>
      </c>
      <c r="O62" s="60">
        <f ca="1">SchBA!O11</f>
        <v>0</v>
      </c>
    </row>
    <row r="63" spans="2:15" x14ac:dyDescent="0.25">
      <c r="B63" s="160" t="str">
        <f>"    "&amp;SUBSTITUTE(SchBA!C12,"Unaff: ","")</f>
        <v xml:space="preserve">    JV, LLCs: Common Stock</v>
      </c>
      <c r="C63" s="161"/>
      <c r="D63" s="162"/>
      <c r="E63" s="62">
        <f ca="1">SchBA!E12</f>
        <v>0</v>
      </c>
      <c r="F63" s="61">
        <f ca="1">SchBA!F12</f>
        <v>0</v>
      </c>
      <c r="G63" s="62">
        <f ca="1">SchBA!G12</f>
        <v>0</v>
      </c>
      <c r="H63" s="61">
        <f ca="1">SchBA!H12</f>
        <v>0</v>
      </c>
      <c r="I63" s="62">
        <f ca="1">SchBA!I12</f>
        <v>0</v>
      </c>
      <c r="J63" s="61">
        <f ca="1">SchBA!J12</f>
        <v>0</v>
      </c>
      <c r="K63" s="62">
        <f ca="1">SchBA!K12</f>
        <v>0</v>
      </c>
      <c r="L63" s="61">
        <f ca="1">SchBA!L12</f>
        <v>0</v>
      </c>
      <c r="M63" s="57">
        <f ca="1">SchBA!M12</f>
        <v>0</v>
      </c>
      <c r="N63" s="58">
        <f ca="1">SchBA!N12</f>
        <v>0</v>
      </c>
      <c r="O63" s="61">
        <f ca="1">SchBA!O12</f>
        <v>0</v>
      </c>
    </row>
    <row r="64" spans="2:15" x14ac:dyDescent="0.25">
      <c r="B64" s="163" t="str">
        <f>"    "&amp;SUBSTITUTE(SchBA!C13,"Unaff: ","")</f>
        <v xml:space="preserve">    JV, LLCs: Real Estate</v>
      </c>
      <c r="C64" s="164"/>
      <c r="D64" s="165"/>
      <c r="E64" s="47">
        <f ca="1">SchBA!E13</f>
        <v>502902.83900000004</v>
      </c>
      <c r="F64" s="60">
        <f ca="1">SchBA!F13</f>
        <v>9.3862364006150001E-2</v>
      </c>
      <c r="G64" s="47">
        <f ca="1">SchBA!G13</f>
        <v>497380.19200000004</v>
      </c>
      <c r="H64" s="60">
        <f ca="1">SchBA!H13</f>
        <v>-1.0981538722234174E-2</v>
      </c>
      <c r="I64" s="47">
        <f ca="1">SchBA!I13</f>
        <v>321566.212</v>
      </c>
      <c r="J64" s="60">
        <f ca="1">SchBA!J13</f>
        <v>-0.35348005977688801</v>
      </c>
      <c r="K64" s="47">
        <f ca="1">SchBA!K13</f>
        <v>258178.234</v>
      </c>
      <c r="L64" s="60">
        <f ca="1">SchBA!L13</f>
        <v>-0.19712263177699774</v>
      </c>
      <c r="M64" s="55">
        <f ca="1">SchBA!M13</f>
        <v>0</v>
      </c>
      <c r="N64" s="56">
        <f ca="1">SchBA!N13</f>
        <v>-1</v>
      </c>
      <c r="O64" s="60">
        <f ca="1">SchBA!O13</f>
        <v>-1</v>
      </c>
    </row>
    <row r="65" spans="2:15" x14ac:dyDescent="0.25">
      <c r="B65" s="160" t="str">
        <f>"    "&amp;SUBSTITUTE(SchBA!C14,"Unaff: ","")</f>
        <v xml:space="preserve">    JV LLCs: Mrtg Loans</v>
      </c>
      <c r="C65" s="161"/>
      <c r="D65" s="162"/>
      <c r="E65" s="62" t="str">
        <f ca="1">SchBA!E14</f>
        <v/>
      </c>
      <c r="F65" s="61">
        <f ca="1">SchBA!F14</f>
        <v>0</v>
      </c>
      <c r="G65" s="62" t="str">
        <f ca="1">SchBA!G14</f>
        <v/>
      </c>
      <c r="H65" s="61">
        <f ca="1">SchBA!H14</f>
        <v>0</v>
      </c>
      <c r="I65" s="62">
        <f ca="1">SchBA!I14</f>
        <v>73028.694000000003</v>
      </c>
      <c r="J65" s="61">
        <f ca="1">SchBA!J14</f>
        <v>0</v>
      </c>
      <c r="K65" s="62">
        <f ca="1">SchBA!K14</f>
        <v>62589.061000000002</v>
      </c>
      <c r="L65" s="61">
        <f ca="1">SchBA!L14</f>
        <v>-0.14295248111653214</v>
      </c>
      <c r="M65" s="57">
        <f ca="1">SchBA!M14</f>
        <v>0</v>
      </c>
      <c r="N65" s="58">
        <f ca="1">SchBA!N14</f>
        <v>-1</v>
      </c>
      <c r="O65" s="61">
        <f ca="1">SchBA!O14</f>
        <v>0</v>
      </c>
    </row>
    <row r="66" spans="2:15" x14ac:dyDescent="0.25">
      <c r="B66" s="163" t="str">
        <f>"    "&amp;SUBSTITUTE(SchBA!C15,"Unaff: ","")</f>
        <v xml:space="preserve">    JV, LLCs: Other</v>
      </c>
      <c r="C66" s="164"/>
      <c r="D66" s="165"/>
      <c r="E66" s="47">
        <f ca="1">SchBA!E15</f>
        <v>777088.14199999999</v>
      </c>
      <c r="F66" s="60">
        <f ca="1">SchBA!F15</f>
        <v>-2.5096617805572707E-2</v>
      </c>
      <c r="G66" s="47">
        <f ca="1">SchBA!G15</f>
        <v>759537.20900000003</v>
      </c>
      <c r="H66" s="60">
        <f ca="1">SchBA!H15</f>
        <v>-2.258551128425268E-2</v>
      </c>
      <c r="I66" s="47">
        <f ca="1">SchBA!I15</f>
        <v>1083930.1969999999</v>
      </c>
      <c r="J66" s="60">
        <f ca="1">SchBA!J15</f>
        <v>0.42709295101828237</v>
      </c>
      <c r="K66" s="47">
        <f ca="1">SchBA!K15</f>
        <v>1207707.7560000001</v>
      </c>
      <c r="L66" s="60">
        <f ca="1">SchBA!L15</f>
        <v>0.11419329338972206</v>
      </c>
      <c r="M66" s="55">
        <f ca="1">SchBA!M15</f>
        <v>1391388.825</v>
      </c>
      <c r="N66" s="56">
        <f ca="1">SchBA!N15</f>
        <v>0.15209065942274202</v>
      </c>
      <c r="O66" s="60">
        <f ca="1">SchBA!O15</f>
        <v>0.79051609437633141</v>
      </c>
    </row>
    <row r="67" spans="2:15" x14ac:dyDescent="0.25">
      <c r="B67" s="160" t="str">
        <f>"    "&amp;SUBSTITUTE(SchBA!C16,"Unaff: ","")</f>
        <v xml:space="preserve">    Surplus Debentures</v>
      </c>
      <c r="C67" s="161"/>
      <c r="D67" s="162"/>
      <c r="E67" s="62">
        <f ca="1">SchBA!E16</f>
        <v>0</v>
      </c>
      <c r="F67" s="61">
        <f ca="1">SchBA!F16</f>
        <v>0</v>
      </c>
      <c r="G67" s="62">
        <f ca="1">SchBA!G16</f>
        <v>0</v>
      </c>
      <c r="H67" s="61">
        <f ca="1">SchBA!H16</f>
        <v>0</v>
      </c>
      <c r="I67" s="62">
        <f ca="1">SchBA!I16</f>
        <v>0</v>
      </c>
      <c r="J67" s="61">
        <f ca="1">SchBA!J16</f>
        <v>0</v>
      </c>
      <c r="K67" s="62">
        <f ca="1">SchBA!K16</f>
        <v>0</v>
      </c>
      <c r="L67" s="61">
        <f ca="1">SchBA!L16</f>
        <v>0</v>
      </c>
      <c r="M67" s="57">
        <f ca="1">SchBA!M16</f>
        <v>0</v>
      </c>
      <c r="N67" s="58">
        <f ca="1">SchBA!N16</f>
        <v>0</v>
      </c>
      <c r="O67" s="61">
        <f ca="1">SchBA!O16</f>
        <v>0</v>
      </c>
    </row>
    <row r="68" spans="2:15" x14ac:dyDescent="0.25">
      <c r="B68" s="163" t="str">
        <f>"    "&amp;SUBSTITUTE(SchBA!C17,"Unaff: ","")</f>
        <v xml:space="preserve">    Collateral Loans</v>
      </c>
      <c r="C68" s="164"/>
      <c r="D68" s="165"/>
      <c r="E68" s="47">
        <f ca="1">SchBA!E17</f>
        <v>0</v>
      </c>
      <c r="F68" s="60">
        <f ca="1">SchBA!F17</f>
        <v>0</v>
      </c>
      <c r="G68" s="47">
        <f ca="1">SchBA!G17</f>
        <v>0</v>
      </c>
      <c r="H68" s="60">
        <f ca="1">SchBA!H17</f>
        <v>0</v>
      </c>
      <c r="I68" s="47">
        <f ca="1">SchBA!I17</f>
        <v>0</v>
      </c>
      <c r="J68" s="60">
        <f ca="1">SchBA!J17</f>
        <v>0</v>
      </c>
      <c r="K68" s="47">
        <f ca="1">SchBA!K17</f>
        <v>0</v>
      </c>
      <c r="L68" s="60">
        <f ca="1">SchBA!L17</f>
        <v>0</v>
      </c>
      <c r="M68" s="55">
        <f ca="1">SchBA!M17</f>
        <v>0</v>
      </c>
      <c r="N68" s="56">
        <f ca="1">SchBA!N17</f>
        <v>0</v>
      </c>
      <c r="O68" s="60">
        <f ca="1">SchBA!O17</f>
        <v>0</v>
      </c>
    </row>
    <row r="69" spans="2:15" x14ac:dyDescent="0.25">
      <c r="B69" s="160" t="str">
        <f>"    "&amp;SUBSTITUTE(SchBA!C18,"Unaff: ","")</f>
        <v xml:space="preserve">    Noncollateral Loans</v>
      </c>
      <c r="C69" s="161"/>
      <c r="D69" s="162"/>
      <c r="E69" s="62">
        <f ca="1">SchBA!E18</f>
        <v>0</v>
      </c>
      <c r="F69" s="61">
        <f ca="1">SchBA!F18</f>
        <v>0</v>
      </c>
      <c r="G69" s="62">
        <f ca="1">SchBA!G18</f>
        <v>0</v>
      </c>
      <c r="H69" s="61">
        <f ca="1">SchBA!H18</f>
        <v>0</v>
      </c>
      <c r="I69" s="62">
        <f ca="1">SchBA!I18</f>
        <v>0</v>
      </c>
      <c r="J69" s="61">
        <f ca="1">SchBA!J18</f>
        <v>0</v>
      </c>
      <c r="K69" s="62">
        <f ca="1">SchBA!K18</f>
        <v>0</v>
      </c>
      <c r="L69" s="61">
        <f ca="1">SchBA!L18</f>
        <v>0</v>
      </c>
      <c r="M69" s="57">
        <f ca="1">SchBA!M18</f>
        <v>0</v>
      </c>
      <c r="N69" s="58">
        <f ca="1">SchBA!N18</f>
        <v>0</v>
      </c>
      <c r="O69" s="61">
        <f ca="1">SchBA!O18</f>
        <v>0</v>
      </c>
    </row>
    <row r="70" spans="2:15" x14ac:dyDescent="0.25">
      <c r="B70" s="163" t="str">
        <f>"    "&amp;SUBSTITUTE(SchBA!C19,"Unaff: ","")</f>
        <v xml:space="preserve">    Capital Notes</v>
      </c>
      <c r="C70" s="164"/>
      <c r="D70" s="165"/>
      <c r="E70" s="47">
        <f ca="1">SchBA!E19</f>
        <v>0</v>
      </c>
      <c r="F70" s="60">
        <f ca="1">SchBA!F19</f>
        <v>0</v>
      </c>
      <c r="G70" s="47">
        <f ca="1">SchBA!G19</f>
        <v>0</v>
      </c>
      <c r="H70" s="60">
        <f ca="1">SchBA!H19</f>
        <v>0</v>
      </c>
      <c r="I70" s="47">
        <f ca="1">SchBA!I19</f>
        <v>0</v>
      </c>
      <c r="J70" s="60">
        <f ca="1">SchBA!J19</f>
        <v>0</v>
      </c>
      <c r="K70" s="47">
        <f ca="1">SchBA!K19</f>
        <v>0</v>
      </c>
      <c r="L70" s="60">
        <f ca="1">SchBA!L19</f>
        <v>0</v>
      </c>
      <c r="M70" s="55">
        <f ca="1">SchBA!M19</f>
        <v>0</v>
      </c>
      <c r="N70" s="56">
        <f ca="1">SchBA!N19</f>
        <v>0</v>
      </c>
      <c r="O70" s="60">
        <f ca="1">SchBA!O19</f>
        <v>0</v>
      </c>
    </row>
    <row r="71" spans="2:15" x14ac:dyDescent="0.25">
      <c r="B71" s="160" t="str">
        <f>"    "&amp;SUBSTITUTE(SchBA!C20,"Unaff: ","")</f>
        <v xml:space="preserve">    Guaranteed Federal LIHTC</v>
      </c>
      <c r="C71" s="161"/>
      <c r="D71" s="162"/>
      <c r="E71" s="62">
        <f ca="1">SchBA!E20</f>
        <v>0</v>
      </c>
      <c r="F71" s="61">
        <f ca="1">SchBA!F20</f>
        <v>0</v>
      </c>
      <c r="G71" s="62">
        <f ca="1">SchBA!G20</f>
        <v>0</v>
      </c>
      <c r="H71" s="61">
        <f ca="1">SchBA!H20</f>
        <v>0</v>
      </c>
      <c r="I71" s="62">
        <f ca="1">SchBA!I20</f>
        <v>0</v>
      </c>
      <c r="J71" s="61">
        <f ca="1">SchBA!J20</f>
        <v>0</v>
      </c>
      <c r="K71" s="62">
        <f ca="1">SchBA!K20</f>
        <v>0</v>
      </c>
      <c r="L71" s="61">
        <f ca="1">SchBA!L20</f>
        <v>0</v>
      </c>
      <c r="M71" s="57">
        <f ca="1">SchBA!M20</f>
        <v>0</v>
      </c>
      <c r="N71" s="58">
        <f ca="1">SchBA!N20</f>
        <v>0</v>
      </c>
      <c r="O71" s="61">
        <f ca="1">SchBA!O20</f>
        <v>0</v>
      </c>
    </row>
    <row r="72" spans="2:15" x14ac:dyDescent="0.25">
      <c r="B72" s="163" t="str">
        <f>"    "&amp;SUBSTITUTE(SchBA!C21,"Unaff: ","")</f>
        <v xml:space="preserve">    Non-Guaranteed Fed LIHTC</v>
      </c>
      <c r="C72" s="164"/>
      <c r="D72" s="165"/>
      <c r="E72" s="47">
        <f ca="1">SchBA!E21</f>
        <v>0</v>
      </c>
      <c r="F72" s="60">
        <f ca="1">SchBA!F21</f>
        <v>0</v>
      </c>
      <c r="G72" s="47">
        <f ca="1">SchBA!G21</f>
        <v>0</v>
      </c>
      <c r="H72" s="60">
        <f ca="1">SchBA!H21</f>
        <v>0</v>
      </c>
      <c r="I72" s="47">
        <f ca="1">SchBA!I21</f>
        <v>0</v>
      </c>
      <c r="J72" s="60">
        <f ca="1">SchBA!J21</f>
        <v>0</v>
      </c>
      <c r="K72" s="47">
        <f ca="1">SchBA!K21</f>
        <v>0</v>
      </c>
      <c r="L72" s="60">
        <f ca="1">SchBA!L21</f>
        <v>0</v>
      </c>
      <c r="M72" s="55">
        <f ca="1">SchBA!M21</f>
        <v>0</v>
      </c>
      <c r="N72" s="56">
        <f ca="1">SchBA!N21</f>
        <v>0</v>
      </c>
      <c r="O72" s="60">
        <f ca="1">SchBA!O21</f>
        <v>0</v>
      </c>
    </row>
    <row r="73" spans="2:15" x14ac:dyDescent="0.25">
      <c r="B73" s="160" t="str">
        <f>"    "&amp;SUBSTITUTE(SchBA!C22,"Unaff: ","")</f>
        <v xml:space="preserve">    Guaranteed State LIHTC</v>
      </c>
      <c r="C73" s="161"/>
      <c r="D73" s="162"/>
      <c r="E73" s="62" t="str">
        <f ca="1">SchBA!E22</f>
        <v/>
      </c>
      <c r="F73" s="61">
        <f ca="1">SchBA!F22</f>
        <v>0</v>
      </c>
      <c r="G73" s="62" t="str">
        <f ca="1">SchBA!G22</f>
        <v/>
      </c>
      <c r="H73" s="61">
        <f ca="1">SchBA!H22</f>
        <v>0</v>
      </c>
      <c r="I73" s="62">
        <f ca="1">SchBA!I22</f>
        <v>0</v>
      </c>
      <c r="J73" s="61">
        <f ca="1">SchBA!J22</f>
        <v>0</v>
      </c>
      <c r="K73" s="62">
        <f ca="1">SchBA!K22</f>
        <v>0</v>
      </c>
      <c r="L73" s="61">
        <f ca="1">SchBA!L22</f>
        <v>0</v>
      </c>
      <c r="M73" s="57">
        <f ca="1">SchBA!M22</f>
        <v>0</v>
      </c>
      <c r="N73" s="58">
        <f ca="1">SchBA!N22</f>
        <v>0</v>
      </c>
      <c r="O73" s="61">
        <f ca="1">SchBA!O22</f>
        <v>0</v>
      </c>
    </row>
    <row r="74" spans="2:15" x14ac:dyDescent="0.25">
      <c r="B74" s="163" t="str">
        <f>"    "&amp;SUBSTITUTE(SchBA!C23,"Unaff: ","")</f>
        <v xml:space="preserve">    Non-guaranteed State LIHTC</v>
      </c>
      <c r="C74" s="164"/>
      <c r="D74" s="165"/>
      <c r="E74" s="47" t="str">
        <f ca="1">SchBA!E23</f>
        <v/>
      </c>
      <c r="F74" s="60">
        <f ca="1">SchBA!F23</f>
        <v>0</v>
      </c>
      <c r="G74" s="47" t="str">
        <f ca="1">SchBA!G23</f>
        <v/>
      </c>
      <c r="H74" s="60">
        <f ca="1">SchBA!H23</f>
        <v>0</v>
      </c>
      <c r="I74" s="47">
        <f ca="1">SchBA!I23</f>
        <v>0</v>
      </c>
      <c r="J74" s="60">
        <f ca="1">SchBA!J23</f>
        <v>0</v>
      </c>
      <c r="K74" s="47">
        <f ca="1">SchBA!K23</f>
        <v>0</v>
      </c>
      <c r="L74" s="60">
        <f ca="1">SchBA!L23</f>
        <v>0</v>
      </c>
      <c r="M74" s="55">
        <f ca="1">SchBA!M23</f>
        <v>0</v>
      </c>
      <c r="N74" s="56">
        <f ca="1">SchBA!N23</f>
        <v>0</v>
      </c>
      <c r="O74" s="60">
        <f ca="1">SchBA!O23</f>
        <v>0</v>
      </c>
    </row>
    <row r="75" spans="2:15" x14ac:dyDescent="0.25">
      <c r="B75" s="160" t="str">
        <f>"    "&amp;SUBSTITUTE(SchBA!C24,"Unaff: ","")</f>
        <v xml:space="preserve">    State LIHTC</v>
      </c>
      <c r="C75" s="161"/>
      <c r="D75" s="162"/>
      <c r="E75" s="62">
        <f ca="1">SchBA!E24</f>
        <v>0</v>
      </c>
      <c r="F75" s="61">
        <f ca="1">SchBA!F24</f>
        <v>0</v>
      </c>
      <c r="G75" s="62">
        <f ca="1">SchBA!G24</f>
        <v>0</v>
      </c>
      <c r="H75" s="61">
        <f ca="1">SchBA!H24</f>
        <v>0</v>
      </c>
      <c r="I75" s="62" t="str">
        <f ca="1">SchBA!I24</f>
        <v/>
      </c>
      <c r="J75" s="61">
        <f ca="1">SchBA!J24</f>
        <v>0</v>
      </c>
      <c r="K75" s="62" t="str">
        <f ca="1">SchBA!K24</f>
        <v/>
      </c>
      <c r="L75" s="61">
        <f ca="1">SchBA!L24</f>
        <v>0</v>
      </c>
      <c r="M75" s="57" t="str">
        <f ca="1">SchBA!M24</f>
        <v/>
      </c>
      <c r="N75" s="58">
        <f ca="1">SchBA!N24</f>
        <v>0</v>
      </c>
      <c r="O75" s="61">
        <f ca="1">SchBA!O24</f>
        <v>0</v>
      </c>
    </row>
    <row r="76" spans="2:15" x14ac:dyDescent="0.25">
      <c r="B76" s="163" t="str">
        <f>"    "&amp;SUBSTITUTE(SchBA!C25,"Unaff: ","")</f>
        <v xml:space="preserve">    Other LIHTC</v>
      </c>
      <c r="C76" s="164"/>
      <c r="D76" s="165"/>
      <c r="E76" s="47">
        <f ca="1">SchBA!E25</f>
        <v>0</v>
      </c>
      <c r="F76" s="60">
        <f ca="1">SchBA!F25</f>
        <v>0</v>
      </c>
      <c r="G76" s="47">
        <f ca="1">SchBA!G25</f>
        <v>0</v>
      </c>
      <c r="H76" s="60">
        <f ca="1">SchBA!H25</f>
        <v>0</v>
      </c>
      <c r="I76" s="47">
        <f ca="1">SchBA!I25</f>
        <v>0</v>
      </c>
      <c r="J76" s="60">
        <f ca="1">SchBA!J25</f>
        <v>0</v>
      </c>
      <c r="K76" s="47">
        <f ca="1">SchBA!K25</f>
        <v>0</v>
      </c>
      <c r="L76" s="60">
        <f ca="1">SchBA!L25</f>
        <v>0</v>
      </c>
      <c r="M76" s="55">
        <f ca="1">SchBA!M25</f>
        <v>0</v>
      </c>
      <c r="N76" s="56">
        <f ca="1">SchBA!N25</f>
        <v>0</v>
      </c>
      <c r="O76" s="60">
        <f ca="1">SchBA!O25</f>
        <v>0</v>
      </c>
    </row>
    <row r="77" spans="2:15" x14ac:dyDescent="0.25">
      <c r="B77" s="160" t="str">
        <f>"    "&amp;SUBSTITUTE(SUBSTITUTE(SchBA!C26,"Unaff: ",""),"Finance","Fin")</f>
        <v xml:space="preserve">    Working Capital Fin Investment</v>
      </c>
      <c r="C77" s="161"/>
      <c r="D77" s="162"/>
      <c r="E77" s="62" t="str">
        <f ca="1">SchBA!E26</f>
        <v/>
      </c>
      <c r="F77" s="61">
        <f ca="1">SchBA!F26</f>
        <v>0</v>
      </c>
      <c r="G77" s="62" t="str">
        <f ca="1">SchBA!G26</f>
        <v/>
      </c>
      <c r="H77" s="61">
        <f ca="1">SchBA!H26</f>
        <v>0</v>
      </c>
      <c r="I77" s="62">
        <f ca="1">SchBA!I26</f>
        <v>0</v>
      </c>
      <c r="J77" s="61">
        <f ca="1">SchBA!J26</f>
        <v>0</v>
      </c>
      <c r="K77" s="62">
        <f ca="1">SchBA!K26</f>
        <v>0</v>
      </c>
      <c r="L77" s="61">
        <f ca="1">SchBA!L26</f>
        <v>0</v>
      </c>
      <c r="M77" s="57">
        <f ca="1">SchBA!M26</f>
        <v>0</v>
      </c>
      <c r="N77" s="58">
        <f ca="1">SchBA!N26</f>
        <v>0</v>
      </c>
      <c r="O77" s="61">
        <f ca="1">SchBA!O26</f>
        <v>0</v>
      </c>
    </row>
    <row r="78" spans="2:15" x14ac:dyDescent="0.25">
      <c r="B78" s="163" t="str">
        <f>"    "&amp;SUBSTITUTE(SchBA!C27,"Unaff: ","")</f>
        <v xml:space="preserve">    Other Assets</v>
      </c>
      <c r="C78" s="164"/>
      <c r="D78" s="165"/>
      <c r="E78" s="47">
        <f ca="1">SchBA!E27</f>
        <v>0</v>
      </c>
      <c r="F78" s="60">
        <f ca="1">SchBA!F27</f>
        <v>0</v>
      </c>
      <c r="G78" s="47">
        <f ca="1">SchBA!G27</f>
        <v>0</v>
      </c>
      <c r="H78" s="60">
        <f ca="1">SchBA!H27</f>
        <v>0</v>
      </c>
      <c r="I78" s="47">
        <f ca="1">SchBA!I27</f>
        <v>0</v>
      </c>
      <c r="J78" s="60">
        <f ca="1">SchBA!J27</f>
        <v>0</v>
      </c>
      <c r="K78" s="47">
        <f ca="1">SchBA!K27</f>
        <v>0</v>
      </c>
      <c r="L78" s="60">
        <f ca="1">SchBA!L27</f>
        <v>0</v>
      </c>
      <c r="M78" s="55">
        <f ca="1">SchBA!M27</f>
        <v>0</v>
      </c>
      <c r="N78" s="56">
        <f ca="1">SchBA!N27</f>
        <v>0</v>
      </c>
      <c r="O78" s="60">
        <f ca="1">SchBA!O27</f>
        <v>0</v>
      </c>
    </row>
    <row r="79" spans="2:15" x14ac:dyDescent="0.25">
      <c r="B79" s="160" t="str">
        <f>"    "&amp;SUBSTITUTE(SchBA!C28,"Unaff: ","")</f>
        <v xml:space="preserve">    Non-Conforming LT Assets</v>
      </c>
      <c r="C79" s="161"/>
      <c r="D79" s="162"/>
      <c r="E79" s="62">
        <f ca="1">SchBA!E28</f>
        <v>1279990.9809999999</v>
      </c>
      <c r="F79" s="61">
        <f ca="1">SchBA!F28</f>
        <v>1.8418275204887813E-2</v>
      </c>
      <c r="G79" s="62">
        <f ca="1">SchBA!G28</f>
        <v>1256917.4010000001</v>
      </c>
      <c r="H79" s="61">
        <f ca="1">SchBA!H28</f>
        <v>-1.8026361390432233E-2</v>
      </c>
      <c r="I79" s="62">
        <f ca="1">SchBA!I28</f>
        <v>1478525.1030000001</v>
      </c>
      <c r="J79" s="61">
        <f ca="1">SchBA!J28</f>
        <v>0.17631047340397199</v>
      </c>
      <c r="K79" s="62">
        <f ca="1">SchBA!K28</f>
        <v>1528475.051</v>
      </c>
      <c r="L79" s="61">
        <f ca="1">SchBA!L28</f>
        <v>3.3783632011826548E-2</v>
      </c>
      <c r="M79" s="57">
        <f ca="1">SchBA!M28</f>
        <v>1391388.825</v>
      </c>
      <c r="N79" s="58">
        <f ca="1">SchBA!N28</f>
        <v>-8.9688232667135659E-2</v>
      </c>
      <c r="O79" s="61">
        <f ca="1">SchBA!O28</f>
        <v>8.7030178847799178E-2</v>
      </c>
    </row>
    <row r="80" spans="2:15" x14ac:dyDescent="0.25">
      <c r="B80" s="163" t="str">
        <f>SchBA!Q29</f>
        <v>Total Affiliated</v>
      </c>
      <c r="C80" s="164"/>
      <c r="D80" s="165"/>
      <c r="E80" s="47">
        <f ca="1">SchBA!S29</f>
        <v>2329864.8500000006</v>
      </c>
      <c r="F80" s="60">
        <f>SchBA!T29</f>
        <v>0</v>
      </c>
      <c r="G80" s="47">
        <f ca="1">SchBA!U29</f>
        <v>2462256.3559999997</v>
      </c>
      <c r="H80" s="60">
        <f>SchBA!V29</f>
        <v>0</v>
      </c>
      <c r="I80" s="47">
        <f ca="1">SchBA!W29</f>
        <v>2526855.0959999999</v>
      </c>
      <c r="J80" s="60">
        <f>SchBA!X29</f>
        <v>0</v>
      </c>
      <c r="K80" s="47">
        <f ca="1">SchBA!Y29</f>
        <v>2504536.852</v>
      </c>
      <c r="L80" s="60">
        <f>SchBA!Z29</f>
        <v>0</v>
      </c>
      <c r="M80" s="47">
        <f ca="1">SchBA!AA29</f>
        <v>2316608.4880000004</v>
      </c>
      <c r="N80" s="56">
        <f>SchBA!AB29</f>
        <v>0</v>
      </c>
      <c r="O80" s="60">
        <f>SchBA!AC29</f>
        <v>0</v>
      </c>
    </row>
    <row r="81" spans="2:15" x14ac:dyDescent="0.25">
      <c r="B81" s="174" t="s">
        <v>291</v>
      </c>
      <c r="C81" s="175"/>
      <c r="D81" s="176"/>
      <c r="E81" s="63">
        <f ca="1">SchBA!AG29</f>
        <v>4889846.8120000008</v>
      </c>
      <c r="F81" s="64">
        <f ca="1">SchBA!AH29</f>
        <v>-4.934133576804034E-2</v>
      </c>
      <c r="G81" s="63">
        <f ca="1">SchBA!AI29</f>
        <v>4976091.1579999998</v>
      </c>
      <c r="H81" s="64">
        <f ca="1">SchBA!AJ29</f>
        <v>1.7637433096748589E-2</v>
      </c>
      <c r="I81" s="63">
        <f ca="1">SchBA!AK29</f>
        <v>5483905.3020000001</v>
      </c>
      <c r="J81" s="64">
        <f ca="1">SchBA!AL29</f>
        <v>0.10205081214872713</v>
      </c>
      <c r="K81" s="63">
        <f ca="1">SchBA!AM29</f>
        <v>5561486.9539999999</v>
      </c>
      <c r="L81" s="64">
        <f ca="1">SchBA!AN29</f>
        <v>1.4147153848864891E-2</v>
      </c>
      <c r="M81" s="65">
        <f ca="1">SchBA!AO29</f>
        <v>5099386.1380000003</v>
      </c>
      <c r="N81" s="66">
        <f ca="1">SchBA!AP29</f>
        <v>-8.3089436300419983E-2</v>
      </c>
      <c r="O81" s="64">
        <f ca="1">SchBA!AQ29</f>
        <v>4.2851920327192428E-2</v>
      </c>
    </row>
    <row r="82" spans="2:15" x14ac:dyDescent="0.25">
      <c r="B82" s="43"/>
      <c r="C82" s="43"/>
      <c r="D82" s="43"/>
      <c r="E82" s="43"/>
      <c r="F82" s="43"/>
      <c r="G82" s="43"/>
      <c r="H82" s="43"/>
      <c r="I82" s="43"/>
      <c r="J82" s="43"/>
      <c r="K82" s="43"/>
      <c r="L82" s="43"/>
      <c r="M82" s="43"/>
      <c r="N82" s="43"/>
      <c r="O82" s="43"/>
    </row>
    <row r="90" spans="2:15" ht="18.75" customHeight="1" x14ac:dyDescent="0.25"/>
    <row r="91" spans="2:15" ht="18" x14ac:dyDescent="0.25">
      <c r="B91" s="171" t="s">
        <v>54</v>
      </c>
      <c r="C91" s="172"/>
      <c r="D91" s="172"/>
      <c r="E91" s="54" t="str">
        <f ca="1">Financials!$F$4</f>
        <v>2011Y</v>
      </c>
      <c r="F91" s="54" t="str">
        <f ca="1">Financials!$G$4</f>
        <v>2011Y
% Chg</v>
      </c>
      <c r="G91" s="54" t="str">
        <f ca="1">Financials!$H$4</f>
        <v>2012Y</v>
      </c>
      <c r="H91" s="54" t="str">
        <f ca="1">Financials!$I$4</f>
        <v>2012Y
% Chg</v>
      </c>
      <c r="I91" s="54" t="str">
        <f ca="1">Financials!$J$4</f>
        <v>2013Y</v>
      </c>
      <c r="J91" s="54" t="str">
        <f ca="1">Financials!$K$4</f>
        <v>2013Y
% Chg</v>
      </c>
      <c r="K91" s="54" t="str">
        <f ca="1">Financials!$L$4</f>
        <v>2014Y</v>
      </c>
      <c r="L91" s="54" t="str">
        <f ca="1">Financials!$M$4</f>
        <v>2014Y
% Chg</v>
      </c>
      <c r="M91" s="54" t="str">
        <f ca="1">Financials!$N$4</f>
        <v>2015Y</v>
      </c>
      <c r="N91" s="54" t="str">
        <f ca="1">Financials!$O$4</f>
        <v>2015Y
% Chg</v>
      </c>
      <c r="O91" s="59" t="str">
        <f>Financials!$P$4</f>
        <v>5 Yr % Chg</v>
      </c>
    </row>
    <row r="92" spans="2:15" x14ac:dyDescent="0.25">
      <c r="B92" s="168" t="str">
        <f>SUBSTITUTE(SUBSTITUTE(SUBSTITUTE(SUBSTITUTE(SUBSTITUTE(SUBSTITUTE(SUBSTITUTE(Financials!B33,"Short-Term","ST"),"(%)",""),"($000)",""),"/ ","/"),"Cash Flow: ",""),"Reinsurance","Re"),"Capital Gains Taxes","Cap Gain Tax")</f>
        <v xml:space="preserve">Cash &amp; ST Investments/Liabilities </v>
      </c>
      <c r="C92" s="169"/>
      <c r="D92" s="170"/>
      <c r="E92" s="96">
        <f ca="1">Financials!F33</f>
        <v>8.1222760000000012E-3</v>
      </c>
      <c r="F92" s="85">
        <f ca="1">Financials!G33</f>
        <v>-0.63222338179258775</v>
      </c>
      <c r="G92" s="96">
        <f ca="1">Financials!H33</f>
        <v>3.9561093999999998E-2</v>
      </c>
      <c r="H92" s="85">
        <f ca="1">Financials!I33</f>
        <v>3.870690678327108</v>
      </c>
      <c r="I92" s="96">
        <f ca="1">Financials!J33</f>
        <v>1.9538161999999998E-2</v>
      </c>
      <c r="J92" s="85">
        <f ca="1">Financials!K33</f>
        <v>-0.50612685281150216</v>
      </c>
      <c r="K92" s="96">
        <f ca="1">Financials!L33</f>
        <v>3.8882907000000001E-2</v>
      </c>
      <c r="L92" s="85">
        <f ca="1">Financials!M33</f>
        <v>0.99010055295887134</v>
      </c>
      <c r="M92" s="96">
        <f ca="1">Financials!N33</f>
        <v>2.6139991999999997E-2</v>
      </c>
      <c r="N92" s="87">
        <f ca="1">Financials!O33</f>
        <v>-0.32772536785894124</v>
      </c>
      <c r="O92" s="85">
        <f ca="1">Financials!P33</f>
        <v>2.2183087597614257</v>
      </c>
    </row>
    <row r="93" spans="2:15" x14ac:dyDescent="0.25">
      <c r="B93" s="163" t="str">
        <f>SUBSTITUTE(SUBSTITUTE(SUBSTITUTE(SUBSTITUTE(SUBSTITUTE(SUBSTITUTE(SUBSTITUTE(Financials!B34,"Short-Term","ST"),"(%)",""),"($000)",""),"/ ","/"),"Cash Flow: ",""),"Reinsurance","Re"),"Capital Gains Taxes","Cap Gain Tax")</f>
        <v xml:space="preserve">Liquid Investments/Liabilities </v>
      </c>
      <c r="C93" s="164"/>
      <c r="D93" s="165"/>
      <c r="E93" s="100">
        <f ca="1">Financials!F34</f>
        <v>0.81283203799999992</v>
      </c>
      <c r="F93" s="60">
        <f ca="1">Financials!G34</f>
        <v>-8.780523734160095E-2</v>
      </c>
      <c r="G93" s="100">
        <f ca="1">Financials!H34</f>
        <v>0.836928216</v>
      </c>
      <c r="H93" s="60">
        <f ca="1">Financials!I34</f>
        <v>2.9644719786500406E-2</v>
      </c>
      <c r="I93" s="100">
        <f ca="1">Financials!J34</f>
        <v>0.85202865799999994</v>
      </c>
      <c r="J93" s="60">
        <f ca="1">Financials!K34</f>
        <v>1.8042696746646492E-2</v>
      </c>
      <c r="K93" s="100">
        <f ca="1">Financials!L34</f>
        <v>0.92806476500000001</v>
      </c>
      <c r="L93" s="60">
        <f ca="1">Financials!M34</f>
        <v>8.9241255309982837E-2</v>
      </c>
      <c r="M93" s="100">
        <f ca="1">Financials!N34</f>
        <v>0.82501673600000003</v>
      </c>
      <c r="N93" s="56">
        <f ca="1">Financials!O34</f>
        <v>-0.11103538555307613</v>
      </c>
      <c r="O93" s="60">
        <f ca="1">Financials!P34</f>
        <v>1.4990425365098758E-2</v>
      </c>
    </row>
    <row r="94" spans="2:15" x14ac:dyDescent="0.25">
      <c r="B94" s="160" t="str">
        <f>SUBSTITUTE(SUBSTITUTE(SUBSTITUTE(SUBSTITUTE(SUBSTITUTE(SUBSTITUTE(SUBSTITUTE(Financials!B35,"Short-Term","ST"),"(%)",""),"($000)",""),"/ ","/"),"Cash Flow: ",""),"Reinsurance","Re"),"Capital Gains Taxes","Cap Gain Tax")</f>
        <v xml:space="preserve">Cash &amp; ST Investments/C&amp;S </v>
      </c>
      <c r="C94" s="161"/>
      <c r="D94" s="162"/>
      <c r="E94" s="94">
        <f ca="1">Financials!F35</f>
        <v>2.6763534999999998E-2</v>
      </c>
      <c r="F94" s="61">
        <f ca="1">Financials!G35</f>
        <v>-0.58494598489288174</v>
      </c>
      <c r="G94" s="94">
        <f ca="1">Financials!H35</f>
        <v>0.121291992</v>
      </c>
      <c r="H94" s="61">
        <f ca="1">Financials!I35</f>
        <v>3.5319869740675145</v>
      </c>
      <c r="I94" s="94">
        <f ca="1">Financials!J35</f>
        <v>5.8481955000000002E-2</v>
      </c>
      <c r="J94" s="61">
        <f ca="1">Financials!K35</f>
        <v>-0.51784158182512163</v>
      </c>
      <c r="K94" s="94">
        <f ca="1">Financials!L35</f>
        <v>0.106753687</v>
      </c>
      <c r="L94" s="61">
        <f ca="1">Financials!M35</f>
        <v>0.82541241995073511</v>
      </c>
      <c r="M94" s="94">
        <f ca="1">Financials!N35</f>
        <v>7.6793589999999995E-2</v>
      </c>
      <c r="N94" s="58">
        <f ca="1">Financials!O35</f>
        <v>-0.2806469532054664</v>
      </c>
      <c r="O94" s="61">
        <f ca="1">Financials!P35</f>
        <v>1.8693365805376607</v>
      </c>
    </row>
    <row r="95" spans="2:15" x14ac:dyDescent="0.25">
      <c r="B95" s="163" t="str">
        <f>SUBSTITUTE(SUBSTITUTE(SUBSTITUTE(SUBSTITUTE(SUBSTITUTE(SUBSTITUTE(SUBSTITUTE(Financials!B36,"Short-Term","ST"),"(%)",""),"($000)",""),"/ ","/"),"Cash Flow: ",""),"Reinsurance","Re"),"Capital Gains Taxes","Cap Gain Tax")</f>
        <v xml:space="preserve">Liabilities/Invested Assets </v>
      </c>
      <c r="C95" s="164"/>
      <c r="D95" s="165"/>
      <c r="E95" s="100">
        <f ca="1">Financials!F36</f>
        <v>1.112114719</v>
      </c>
      <c r="F95" s="60">
        <f ca="1">Financials!G36</f>
        <v>0.11166664397248072</v>
      </c>
      <c r="G95" s="100">
        <f ca="1">Financials!H36</f>
        <v>1.0703662780000001</v>
      </c>
      <c r="H95" s="60">
        <f ca="1">Financials!I36</f>
        <v>-3.7539689284518785E-2</v>
      </c>
      <c r="I95" s="100">
        <f ca="1">Financials!J36</f>
        <v>1.054224998</v>
      </c>
      <c r="J95" s="60">
        <f ca="1">Financials!K36</f>
        <v>-1.5080146237566705E-2</v>
      </c>
      <c r="K95" s="100">
        <f ca="1">Financials!L36</f>
        <v>0.98591378600000001</v>
      </c>
      <c r="L95" s="60">
        <f ca="1">Financials!M36</f>
        <v>-6.4797564210292036E-2</v>
      </c>
      <c r="M95" s="100">
        <f ca="1">Financials!N36</f>
        <v>1.0285785119999999</v>
      </c>
      <c r="N95" s="56">
        <f ca="1">Financials!O36</f>
        <v>4.3274297008359275E-2</v>
      </c>
      <c r="O95" s="60">
        <f ca="1">Financials!P36</f>
        <v>-7.5114739129713892E-2</v>
      </c>
    </row>
    <row r="96" spans="2:15" x14ac:dyDescent="0.25">
      <c r="B96" s="160" t="str">
        <f>SUBSTITUTE(SUBSTITUTE(SUBSTITUTE(SUBSTITUTE(SUBSTITUTE(SUBSTITUTE(SUBSTITUTE(Financials!B37,"Short-Term","ST"),"(%)",""),"($000)",""),"/ ","/"),"Cash Flow: ",""),"Reinsurance","Re"),"Capital Gains Taxes","Cap Gain Tax")</f>
        <v xml:space="preserve">Affiliated Investments/C&amp;S </v>
      </c>
      <c r="C96" s="161"/>
      <c r="D96" s="162"/>
      <c r="E96" s="94">
        <f ca="1">Financials!F37</f>
        <v>0.108474944</v>
      </c>
      <c r="F96" s="61">
        <f ca="1">Financials!G37</f>
        <v>-3.7641799168930401E-3</v>
      </c>
      <c r="G96" s="94">
        <f ca="1">Financials!H37</f>
        <v>0.100998476</v>
      </c>
      <c r="H96" s="61">
        <f ca="1">Financials!I37</f>
        <v>-6.8923455724485105E-2</v>
      </c>
      <c r="I96" s="94">
        <f ca="1">Financials!J37</f>
        <v>9.9836565000000002E-2</v>
      </c>
      <c r="J96" s="61">
        <f ca="1">Financials!K37</f>
        <v>-1.150424289570473E-2</v>
      </c>
      <c r="K96" s="94">
        <f ca="1">Financials!L37</f>
        <v>0.131485411</v>
      </c>
      <c r="L96" s="61">
        <f ca="1">Financials!M37</f>
        <v>0.31700655967079783</v>
      </c>
      <c r="M96" s="94">
        <f ca="1">Financials!N37</f>
        <v>8.227978200000001E-2</v>
      </c>
      <c r="N96" s="58">
        <f ca="1">Financials!O37</f>
        <v>-0.37422881082981885</v>
      </c>
      <c r="O96" s="61">
        <f ca="1">Financials!P37</f>
        <v>-0.24148583105053267</v>
      </c>
    </row>
    <row r="97" spans="2:15" x14ac:dyDescent="0.25">
      <c r="B97" s="163" t="str">
        <f>SUBSTITUTE(SUBSTITUTE(SUBSTITUTE(SUBSTITUTE(SUBSTITUTE(SUBSTITUTE(SUBSTITUTE(Financials!B38,"Short-Term","ST"),"(%)",""),"($000)",""),"/ ","/"),"Cash Flow: ",""),"Reinsurance","Re"),"Capital Gains Taxes","Cap Gain Tax")</f>
        <v xml:space="preserve">Net Adm Cash &amp; Invested Assets </v>
      </c>
      <c r="C97" s="164"/>
      <c r="D97" s="165"/>
      <c r="E97" s="101">
        <f ca="1">Financials!F38</f>
        <v>25481374.539000001</v>
      </c>
      <c r="F97" s="60">
        <f ca="1">Financials!G38</f>
        <v>-3.3198328517110465E-2</v>
      </c>
      <c r="G97" s="101">
        <f ca="1">Financials!H38</f>
        <v>26533864.206</v>
      </c>
      <c r="H97" s="60">
        <f ca="1">Financials!I38</f>
        <v>4.1304273652472467E-2</v>
      </c>
      <c r="I97" s="101">
        <f ca="1">Financials!J38</f>
        <v>26652455.316</v>
      </c>
      <c r="J97" s="60">
        <f ca="1">Financials!K38</f>
        <v>4.4694247727845582E-3</v>
      </c>
      <c r="K97" s="101">
        <f ca="1">Financials!L38</f>
        <v>26730825.75</v>
      </c>
      <c r="L97" s="60">
        <f ca="1">Financials!M38</f>
        <v>2.9404583206618096E-3</v>
      </c>
      <c r="M97" s="101">
        <f ca="1">Financials!N38</f>
        <v>25681205.577</v>
      </c>
      <c r="N97" s="56">
        <f ca="1">Financials!O38</f>
        <v>-3.9266283159995585E-2</v>
      </c>
      <c r="O97" s="60">
        <f ca="1">Financials!P38</f>
        <v>7.8422393460035877E-3</v>
      </c>
    </row>
    <row r="98" spans="2:15" x14ac:dyDescent="0.25">
      <c r="B98" s="163" t="str">
        <f>SUBSTITUTE(SUBSTITUTE(SUBSTITUTE(SUBSTITUTE(SUBSTITUTE(SUBSTITUTE(SUBSTITUTE(Financials!B42,"Short-Term","ST"),"(%)",""),"($000)",""),"/ ","/"),"Cash Flow: ",""),"Reinsurance","Re"),"Capital Gains Taxes","Cap Gain Tax")</f>
        <v xml:space="preserve">Premiums Collected Net of Re </v>
      </c>
      <c r="C98" s="164"/>
      <c r="D98" s="165"/>
      <c r="E98" s="101">
        <f ca="1">Financials!F42</f>
        <v>5092862.3880000003</v>
      </c>
      <c r="F98" s="60">
        <f ca="1">Financials!G42</f>
        <v>-0.14829345409300965</v>
      </c>
      <c r="G98" s="101">
        <f ca="1">Financials!H42</f>
        <v>5816724.0430000005</v>
      </c>
      <c r="H98" s="60">
        <f ca="1">Financials!I42</f>
        <v>0.14213257689930736</v>
      </c>
      <c r="I98" s="101">
        <f ca="1">Financials!J42</f>
        <v>6165511.6540000001</v>
      </c>
      <c r="J98" s="60">
        <f ca="1">Financials!K42</f>
        <v>5.9962894650252396E-2</v>
      </c>
      <c r="K98" s="101">
        <f ca="1">Financials!L42</f>
        <v>5698773.3190000001</v>
      </c>
      <c r="L98" s="60">
        <f ca="1">Financials!M42</f>
        <v>-7.5701476404994583E-2</v>
      </c>
      <c r="M98" s="101">
        <f ca="1">Financials!N42</f>
        <v>5110715.8670000006</v>
      </c>
      <c r="N98" s="56">
        <f ca="1">Financials!O42</f>
        <v>-0.10319018130434954</v>
      </c>
      <c r="O98" s="60">
        <f ca="1">Financials!P42</f>
        <v>3.5055883390973097E-3</v>
      </c>
    </row>
    <row r="99" spans="2:15" x14ac:dyDescent="0.25">
      <c r="B99" s="160" t="str">
        <f>SUBSTITUTE(SUBSTITUTE(SUBSTITUTE(SUBSTITUTE(SUBSTITUTE(SUBSTITUTE(SUBSTITUTE(Financials!B43,"Short-Term","ST"),"(%)",""),"($000)",""),"/ ","/"),"Cash Flow: ",""),"Reinsurance","Re"),"Capital Gains Taxes","Cap Gain Tax")</f>
        <v xml:space="preserve">Benefit &amp; Loss Related Pymts </v>
      </c>
      <c r="C99" s="161"/>
      <c r="D99" s="162"/>
      <c r="E99" s="95">
        <f ca="1">Financials!F43</f>
        <v>4110016.3820000002</v>
      </c>
      <c r="F99" s="61">
        <f ca="1">Financials!G43</f>
        <v>0.37975075939878256</v>
      </c>
      <c r="G99" s="95">
        <f ca="1">Financials!H43</f>
        <v>3910078.0530000003</v>
      </c>
      <c r="H99" s="61">
        <f ca="1">Financials!I43</f>
        <v>-4.8646601477220108E-2</v>
      </c>
      <c r="I99" s="95">
        <f ca="1">Financials!J43</f>
        <v>4344742.6310000001</v>
      </c>
      <c r="J99" s="61">
        <f ca="1">Financials!K43</f>
        <v>0.11116519212871068</v>
      </c>
      <c r="K99" s="95">
        <f ca="1">Financials!L43</f>
        <v>2498696.6040000003</v>
      </c>
      <c r="L99" s="61">
        <f ca="1">Financials!M43</f>
        <v>-0.42489191737810894</v>
      </c>
      <c r="M99" s="95">
        <f ca="1">Financials!N43</f>
        <v>3438866.8810000001</v>
      </c>
      <c r="N99" s="58">
        <f ca="1">Financials!O43</f>
        <v>0.37626427934265516</v>
      </c>
      <c r="O99" s="61">
        <f ca="1">Financials!P43</f>
        <v>-0.1632960646919388</v>
      </c>
    </row>
    <row r="100" spans="2:15" x14ac:dyDescent="0.25">
      <c r="B100" s="163" t="str">
        <f>SUBSTITUTE(SUBSTITUTE(SUBSTITUTE(SUBSTITUTE(SUBSTITUTE(SUBSTITUTE(SUBSTITUTE(Financials!B44,"Short-Term","ST"),"(%)",""),"($000)",""),"/ ","/"),"Cash Flow: ",""),"Reinsurance","Re"),"Capital Gains Taxes","Cap Gain Tax")</f>
        <v xml:space="preserve">Exp &amp; WI For Deductions </v>
      </c>
      <c r="C100" s="164"/>
      <c r="D100" s="165"/>
      <c r="E100" s="101">
        <f ca="1">Financials!F44</f>
        <v>2113062.2489999998</v>
      </c>
      <c r="F100" s="60">
        <f ca="1">Financials!G44</f>
        <v>6.2988398921033362E-3</v>
      </c>
      <c r="G100" s="101">
        <f ca="1">Financials!H44</f>
        <v>2044512.1610000001</v>
      </c>
      <c r="H100" s="60">
        <f ca="1">Financials!I44</f>
        <v>-3.2441111487577223E-2</v>
      </c>
      <c r="I100" s="101">
        <f ca="1">Financials!J44</f>
        <v>1950125.696</v>
      </c>
      <c r="J100" s="60">
        <f ca="1">Financials!K44</f>
        <v>-4.6165763550085392E-2</v>
      </c>
      <c r="K100" s="101">
        <f ca="1">Financials!L44</f>
        <v>1924763.8970000001</v>
      </c>
      <c r="L100" s="60">
        <f ca="1">Financials!M44</f>
        <v>-1.3005212459904936E-2</v>
      </c>
      <c r="M100" s="101">
        <f ca="1">Financials!N44</f>
        <v>1700037.416</v>
      </c>
      <c r="N100" s="56">
        <f ca="1">Financials!O44</f>
        <v>-0.1167553492406348</v>
      </c>
      <c r="O100" s="60">
        <f ca="1">Financials!P44</f>
        <v>-0.19546269079174672</v>
      </c>
    </row>
    <row r="101" spans="2:15" x14ac:dyDescent="0.25">
      <c r="B101" s="160" t="str">
        <f>SUBSTITUTE(SUBSTITUTE(SUBSTITUTE(SUBSTITUTE(SUBSTITUTE(SUBSTITUTE(SUBSTITUTE(Financials!B45,"Short-Term","ST"),"(%)",""),"($000)",""),"/ ","/"),"Cash Flow: ",""),"Reinsurance","Re"),"Capital Gains Taxes","Cap Gain Tax")</f>
        <v xml:space="preserve">Cash From Operations </v>
      </c>
      <c r="C101" s="161"/>
      <c r="D101" s="162"/>
      <c r="E101" s="95">
        <f ca="1">Financials!F45</f>
        <v>-224717.20800000001</v>
      </c>
      <c r="F101" s="61">
        <f ca="1">Financials!G45</f>
        <v>-1.1301685261153833</v>
      </c>
      <c r="G101" s="95">
        <f ca="1">Financials!H45</f>
        <v>748674.58900000004</v>
      </c>
      <c r="H101" s="61">
        <f ca="1">Financials!I45</f>
        <v>-4.3316299880336713</v>
      </c>
      <c r="I101" s="95">
        <f ca="1">Financials!J45</f>
        <v>581726.59400000004</v>
      </c>
      <c r="J101" s="61">
        <f ca="1">Financials!K45</f>
        <v>-0.22299140033988785</v>
      </c>
      <c r="K101" s="95">
        <f ca="1">Financials!L45</f>
        <v>1977046.835</v>
      </c>
      <c r="L101" s="61">
        <f ca="1">Financials!M45</f>
        <v>2.3985842411048512</v>
      </c>
      <c r="M101" s="95">
        <f ca="1">Financials!N45</f>
        <v>611429.14600000007</v>
      </c>
      <c r="N101" s="58">
        <f ca="1">Financials!O45</f>
        <v>-0.69073613473602913</v>
      </c>
      <c r="O101" s="61">
        <f ca="1">Financials!P45</f>
        <v>-3.7208826215035566</v>
      </c>
    </row>
    <row r="102" spans="2:15" x14ac:dyDescent="0.25">
      <c r="B102" s="163" t="str">
        <f>SUBSTITUTE(SUBSTITUTE(SUBSTITUTE(SUBSTITUTE(SUBSTITUTE(SUBSTITUTE(SUBSTITUTE(Financials!B46,"Short-Term","ST"),"(%)",""),"($000)",""),"/ ","/"),"Cash Flow: ",""),"Reinsurance","Re"),"Capital Gains Taxes","Cap Gain Tax")</f>
        <v xml:space="preserve">Income Taxes Excl Cap Gain Tax </v>
      </c>
      <c r="C102" s="164"/>
      <c r="D102" s="165"/>
      <c r="E102" s="101">
        <f ca="1">Financials!F46</f>
        <v>86730.845000000001</v>
      </c>
      <c r="F102" s="60">
        <f ca="1">Financials!G46</f>
        <v>0.21814822038186343</v>
      </c>
      <c r="G102" s="101">
        <f ca="1">Financials!H46</f>
        <v>31407.648000000001</v>
      </c>
      <c r="H102" s="60">
        <f ca="1">Financials!I46</f>
        <v>-0.63787222412049593</v>
      </c>
      <c r="I102" s="101">
        <f ca="1">Financials!J46</f>
        <v>101314.72100000001</v>
      </c>
      <c r="J102" s="60">
        <f ca="1">Financials!K46</f>
        <v>2.2257977738415815</v>
      </c>
      <c r="K102" s="101">
        <f ca="1">Financials!L46</f>
        <v>59867.466</v>
      </c>
      <c r="L102" s="60">
        <f ca="1">Financials!M46</f>
        <v>-0.40909410390618361</v>
      </c>
      <c r="M102" s="101">
        <f ca="1">Financials!N46</f>
        <v>101644.997</v>
      </c>
      <c r="N102" s="56">
        <f ca="1">Financials!O46</f>
        <v>0.69783362803429827</v>
      </c>
      <c r="O102" s="60">
        <f ca="1">Financials!P46</f>
        <v>0.1719590302619558</v>
      </c>
    </row>
    <row r="103" spans="2:15" x14ac:dyDescent="0.25">
      <c r="B103" s="181" t="str">
        <f>SUBSTITUTE(SUBSTITUTE(SUBSTITUTE(SUBSTITUTE(SUBSTITUTE(SUBSTITUTE(SUBSTITUTE(Financials!B47,"Short-Term","ST"),"(%)",""),"($000)",""),"/ ","/"),"Cash Flow: ",""),"Reinsurance","Re"),"Capital Gains Taxes","Cap Gain Tax")</f>
        <v xml:space="preserve">Dividends Paid to Policyholders </v>
      </c>
      <c r="C103" s="182"/>
      <c r="D103" s="183"/>
      <c r="E103" s="97">
        <f ca="1">Financials!F47</f>
        <v>8299.6869999999999</v>
      </c>
      <c r="F103" s="99">
        <f ca="1">Financials!G47</f>
        <v>0.14199416762960126</v>
      </c>
      <c r="G103" s="97">
        <f ca="1">Financials!H47</f>
        <v>5265.03</v>
      </c>
      <c r="H103" s="99">
        <f ca="1">Financials!I47</f>
        <v>-0.3656351137097098</v>
      </c>
      <c r="I103" s="97">
        <f ca="1">Financials!J47</f>
        <v>5882.241</v>
      </c>
      <c r="J103" s="99">
        <f ca="1">Financials!K47</f>
        <v>0.11722839186101508</v>
      </c>
      <c r="K103" s="97">
        <f ca="1">Financials!L47</f>
        <v>6717.7219999999998</v>
      </c>
      <c r="L103" s="99">
        <f ca="1">Financials!M47</f>
        <v>0.14203447291601945</v>
      </c>
      <c r="M103" s="97">
        <f ca="1">Financials!N47</f>
        <v>6238.3710000000001</v>
      </c>
      <c r="N103" s="98">
        <f ca="1">Financials!O47</f>
        <v>-7.1356182944158686E-2</v>
      </c>
      <c r="O103" s="99">
        <f ca="1">Financials!P47</f>
        <v>-0.24836069119233051</v>
      </c>
    </row>
    <row r="104" spans="2:15" ht="4.5" customHeight="1" x14ac:dyDescent="0.25"/>
    <row r="105" spans="2:15" ht="18" x14ac:dyDescent="0.25">
      <c r="B105" s="171" t="s">
        <v>30</v>
      </c>
      <c r="C105" s="172"/>
      <c r="D105" s="172"/>
      <c r="E105" s="52" t="str">
        <f ca="1">Financials!$F$4</f>
        <v>2011Y</v>
      </c>
      <c r="F105" s="52" t="str">
        <f ca="1">Financials!$G$4</f>
        <v>2011Y
% Chg</v>
      </c>
      <c r="G105" s="52" t="str">
        <f ca="1">Financials!$H$4</f>
        <v>2012Y</v>
      </c>
      <c r="H105" s="52" t="str">
        <f ca="1">Financials!$I$4</f>
        <v>2012Y
% Chg</v>
      </c>
      <c r="I105" s="52" t="str">
        <f ca="1">Financials!$J$4</f>
        <v>2013Y</v>
      </c>
      <c r="J105" s="52" t="str">
        <f ca="1">Financials!$K$4</f>
        <v>2013Y
% Chg</v>
      </c>
      <c r="K105" s="52" t="str">
        <f ca="1">Financials!$L$4</f>
        <v>2014Y</v>
      </c>
      <c r="L105" s="52" t="str">
        <f ca="1">Financials!$M$4</f>
        <v>2014Y
% Chg</v>
      </c>
      <c r="M105" s="52" t="str">
        <f ca="1">Financials!$N$4</f>
        <v>2015Y</v>
      </c>
      <c r="N105" s="52" t="str">
        <f ca="1">Financials!$O$4</f>
        <v>2015Y
% Chg</v>
      </c>
      <c r="O105" s="53" t="str">
        <f>Financials!$P$4</f>
        <v>5 Yr % Chg</v>
      </c>
    </row>
    <row r="106" spans="2:15" x14ac:dyDescent="0.25">
      <c r="B106" s="168" t="str">
        <f>SUBSTITUTE(SUBSTITUTE(Financials!B7,"(%)",""),"($000)","")</f>
        <v xml:space="preserve">GPW to PHS </v>
      </c>
      <c r="C106" s="169"/>
      <c r="D106" s="170"/>
      <c r="E106" s="103">
        <f ca="1">Financials!F7</f>
        <v>1.6302879219999999</v>
      </c>
      <c r="F106" s="104">
        <f ca="1">Financials!G7</f>
        <v>0.14237666840984753</v>
      </c>
      <c r="G106" s="103">
        <f ca="1">Financials!H7</f>
        <v>1.5465181050000001</v>
      </c>
      <c r="H106" s="104">
        <f ca="1">Financials!I7</f>
        <v>-5.1383449432191641E-2</v>
      </c>
      <c r="I106" s="103">
        <f ca="1">Financials!J7</f>
        <v>1.5609354450000001</v>
      </c>
      <c r="J106" s="104">
        <f ca="1">Financials!K7</f>
        <v>9.3224514820666737E-3</v>
      </c>
      <c r="K106" s="103">
        <f ca="1">Financials!L7</f>
        <v>1.4643751570000001</v>
      </c>
      <c r="L106" s="104">
        <f ca="1">Financials!M7</f>
        <v>-6.1860526205169242E-2</v>
      </c>
      <c r="M106" s="103">
        <f ca="1">Financials!N7</f>
        <v>1.601263943</v>
      </c>
      <c r="N106" s="105">
        <f ca="1">Financials!O7</f>
        <v>9.3479314604351771E-2</v>
      </c>
      <c r="O106" s="104">
        <f ca="1">Financials!P7</f>
        <v>-1.7802977381071505E-2</v>
      </c>
    </row>
    <row r="107" spans="2:15" x14ac:dyDescent="0.25">
      <c r="B107" s="163" t="str">
        <f>SUBSTITUTE(SUBSTITUTE(Financials!B8,"(%)",""),"($000)","")</f>
        <v xml:space="preserve">NPW to PHS </v>
      </c>
      <c r="C107" s="164"/>
      <c r="D107" s="165"/>
      <c r="E107" s="106">
        <f ca="1">Financials!F8</f>
        <v>0.61688971999999997</v>
      </c>
      <c r="F107" s="107">
        <f ca="1">Financials!G8</f>
        <v>8.7576388316841225E-3</v>
      </c>
      <c r="G107" s="106">
        <f ca="1">Financials!H8</f>
        <v>0.60967175500000004</v>
      </c>
      <c r="H107" s="107">
        <f ca="1">Financials!I8</f>
        <v>-1.1700575914930011E-2</v>
      </c>
      <c r="I107" s="106">
        <f ca="1">Financials!J8</f>
        <v>0.61176591199999997</v>
      </c>
      <c r="J107" s="107">
        <f ca="1">Financials!K8</f>
        <v>3.4348926005272062E-3</v>
      </c>
      <c r="K107" s="106">
        <f ca="1">Financials!L8</f>
        <v>0.57226289399999997</v>
      </c>
      <c r="L107" s="107">
        <f ca="1">Financials!M8</f>
        <v>-6.4572113655132823E-2</v>
      </c>
      <c r="M107" s="106">
        <f ca="1">Financials!N8</f>
        <v>0.56296397900000006</v>
      </c>
      <c r="N107" s="108">
        <f ca="1">Financials!O8</f>
        <v>-1.6249376112790426E-2</v>
      </c>
      <c r="O107" s="107">
        <f ca="1">Financials!P8</f>
        <v>-8.7415528662075803E-2</v>
      </c>
    </row>
    <row r="108" spans="2:15" x14ac:dyDescent="0.25">
      <c r="B108" s="160" t="str">
        <f>SUBSTITUTE(SUBSTITUTE(Financials!B9,"(%)",""),"($000)","")</f>
        <v xml:space="preserve">Chg in NPW </v>
      </c>
      <c r="C108" s="161"/>
      <c r="D108" s="162"/>
      <c r="E108" s="109">
        <f ca="1">Financials!F9</f>
        <v>-3.9320982999999997E-2</v>
      </c>
      <c r="F108" s="110">
        <f ca="1">Financials!G9</f>
        <v>-0.52831795670719661</v>
      </c>
      <c r="G108" s="109">
        <f ca="1">Financials!H9</f>
        <v>6.4512885999999992E-2</v>
      </c>
      <c r="H108" s="110">
        <f ca="1">Financials!I9</f>
        <v>-2.6406732761487675</v>
      </c>
      <c r="I108" s="109">
        <f ca="1">Financials!J9</f>
        <v>1.6839643000000001E-2</v>
      </c>
      <c r="J108" s="110">
        <f ca="1">Financials!K9</f>
        <v>-0.73897241242625533</v>
      </c>
      <c r="K108" s="109">
        <f ca="1">Financials!L9</f>
        <v>-4.3455647E-2</v>
      </c>
      <c r="L108" s="110">
        <f ca="1">Financials!M9</f>
        <v>-3.5805563098932676</v>
      </c>
      <c r="M108" s="109">
        <f ca="1">Financials!N9</f>
        <v>-7.8508778000000001E-2</v>
      </c>
      <c r="N108" s="111">
        <f ca="1">Financials!O9</f>
        <v>0.80664156260289954</v>
      </c>
      <c r="O108" s="110">
        <f ca="1">Financials!P9</f>
        <v>0.9966128008549533</v>
      </c>
    </row>
    <row r="109" spans="2:15" x14ac:dyDescent="0.25">
      <c r="B109" s="163" t="str">
        <f>SUBSTITUTE(SUBSTITUTE(Financials!B10,"(%)",""),"($000)","")</f>
        <v xml:space="preserve">Surplus Aid to PHS </v>
      </c>
      <c r="C109" s="164"/>
      <c r="D109" s="165"/>
      <c r="E109" s="106">
        <f ca="1">Financials!F10</f>
        <v>5.9604701000000003E-2</v>
      </c>
      <c r="F109" s="107">
        <f ca="1">Financials!G10</f>
        <v>-4.204269953962525E-2</v>
      </c>
      <c r="G109" s="106">
        <f ca="1">Financials!H10</f>
        <v>5.9289487000000002E-2</v>
      </c>
      <c r="H109" s="107">
        <f ca="1">Financials!I10</f>
        <v>-5.2884083757085421E-3</v>
      </c>
      <c r="I109" s="106">
        <f ca="1">Financials!J10</f>
        <v>5.7368541000000002E-2</v>
      </c>
      <c r="J109" s="107">
        <f ca="1">Financials!K10</f>
        <v>-3.2399437019922317E-2</v>
      </c>
      <c r="K109" s="106">
        <f ca="1">Financials!L10</f>
        <v>5.5261942000000001E-2</v>
      </c>
      <c r="L109" s="107">
        <f ca="1">Financials!M10</f>
        <v>-3.6720456251449707E-2</v>
      </c>
      <c r="M109" s="106">
        <f ca="1">Financials!N10</f>
        <v>6.963917E-2</v>
      </c>
      <c r="N109" s="108">
        <f ca="1">Financials!O10</f>
        <v>0.26016508793701099</v>
      </c>
      <c r="O109" s="107">
        <f ca="1">Financials!P10</f>
        <v>0.1683502950547473</v>
      </c>
    </row>
    <row r="110" spans="2:15" x14ac:dyDescent="0.25">
      <c r="B110" s="160" t="str">
        <f>SUBSTITUTE(SUBSTITUTE(Financials!B11,"(%)",""),"($000)","")</f>
        <v xml:space="preserve">2-Yr Overall Operating Ratio </v>
      </c>
      <c r="C110" s="161"/>
      <c r="D110" s="162"/>
      <c r="E110" s="109">
        <f ca="1">Financials!F11</f>
        <v>0.80599999999999994</v>
      </c>
      <c r="F110" s="110">
        <f ca="1">Financials!G11</f>
        <v>-7.3891625615765122E-3</v>
      </c>
      <c r="G110" s="109">
        <f ca="1">Financials!H11</f>
        <v>0.85599999999999998</v>
      </c>
      <c r="H110" s="110">
        <f ca="1">Financials!I11</f>
        <v>6.2034739454094323E-2</v>
      </c>
      <c r="I110" s="109">
        <f ca="1">Financials!J11</f>
        <v>0.84299999999999997</v>
      </c>
      <c r="J110" s="110">
        <f ca="1">Financials!K11</f>
        <v>-1.5186915887850483E-2</v>
      </c>
      <c r="K110" s="109">
        <f ca="1">Financials!L11</f>
        <v>0.82599999999999996</v>
      </c>
      <c r="L110" s="110">
        <f ca="1">Financials!M11</f>
        <v>-2.0166073546856511E-2</v>
      </c>
      <c r="M110" s="109">
        <f ca="1">Financials!N11</f>
        <v>0.86</v>
      </c>
      <c r="N110" s="111">
        <f ca="1">Financials!O11</f>
        <v>4.1162227602905554E-2</v>
      </c>
      <c r="O110" s="110">
        <f ca="1">Financials!P11</f>
        <v>6.6997518610421913E-2</v>
      </c>
    </row>
    <row r="111" spans="2:15" x14ac:dyDescent="0.25">
      <c r="B111" s="163" t="str">
        <f>SUBSTITUTE(SUBSTITUTE(Financials!B12,"(%)",""),"($000)","")</f>
        <v xml:space="preserve">Invest Yield </v>
      </c>
      <c r="C111" s="164"/>
      <c r="D111" s="165"/>
      <c r="E111" s="106">
        <f ca="1">Financials!F12</f>
        <v>3.7000000000000005E-2</v>
      </c>
      <c r="F111" s="107">
        <f ca="1">Financials!G12</f>
        <v>-2.631578947368407E-2</v>
      </c>
      <c r="G111" s="106">
        <f ca="1">Financials!H12</f>
        <v>3.2000000000000001E-2</v>
      </c>
      <c r="H111" s="107">
        <f ca="1">Financials!I12</f>
        <v>-0.1351351351351352</v>
      </c>
      <c r="I111" s="106">
        <f ca="1">Financials!J12</f>
        <v>2.7000000000000003E-2</v>
      </c>
      <c r="J111" s="107">
        <f ca="1">Financials!K12</f>
        <v>-0.15624999999999989</v>
      </c>
      <c r="K111" s="106">
        <f ca="1">Financials!L12</f>
        <v>2.6000000000000002E-2</v>
      </c>
      <c r="L111" s="107">
        <f ca="1">Financials!M12</f>
        <v>-3.703703703703709E-2</v>
      </c>
      <c r="M111" s="106">
        <f ca="1">Financials!N12</f>
        <v>2.6000000000000002E-2</v>
      </c>
      <c r="N111" s="108">
        <f ca="1">Financials!O12</f>
        <v>0</v>
      </c>
      <c r="O111" s="107">
        <f ca="1">Financials!P12</f>
        <v>-0.29729729729729737</v>
      </c>
    </row>
    <row r="112" spans="2:15" x14ac:dyDescent="0.25">
      <c r="B112" s="160" t="str">
        <f>SUBSTITUTE(SUBSTITUTE(Financials!B13,"(%)",""),"($000)","")</f>
        <v xml:space="preserve">Gross Chg in PHS </v>
      </c>
      <c r="C112" s="161"/>
      <c r="D112" s="162"/>
      <c r="E112" s="109">
        <f ca="1">Financials!F13</f>
        <v>-4.7661221999999996E-2</v>
      </c>
      <c r="F112" s="110">
        <f ca="1">Financials!G13</f>
        <v>-4.4205406741450135</v>
      </c>
      <c r="G112" s="109">
        <f ca="1">Financials!H13</f>
        <v>7.7115761000000005E-2</v>
      </c>
      <c r="H112" s="110">
        <f ca="1">Financials!I13</f>
        <v>-2.6179979816715573</v>
      </c>
      <c r="I112" s="109">
        <f ca="1">Financials!J13</f>
        <v>1.3358864E-2</v>
      </c>
      <c r="J112" s="110">
        <f ca="1">Financials!K13</f>
        <v>-0.82676869388606566</v>
      </c>
      <c r="K112" s="109">
        <f ca="1">Financials!L13</f>
        <v>2.2574127000000003E-2</v>
      </c>
      <c r="L112" s="110">
        <f ca="1">Financials!M13</f>
        <v>0.6898238502914622</v>
      </c>
      <c r="M112" s="109">
        <f ca="1">Financials!N13</f>
        <v>-6.3287788999999997E-2</v>
      </c>
      <c r="N112" s="111">
        <f ca="1">Financials!O13</f>
        <v>-3.803554219394619</v>
      </c>
      <c r="O112" s="110">
        <f ca="1">Financials!P13</f>
        <v>0.32786752719013368</v>
      </c>
    </row>
    <row r="113" spans="2:15" x14ac:dyDescent="0.25">
      <c r="B113" s="163" t="str">
        <f>SUBSTITUTE(SUBSTITUTE(Financials!B14,"(%)",""),"($000)","")</f>
        <v xml:space="preserve">Net Chg in Adj PHS </v>
      </c>
      <c r="C113" s="164"/>
      <c r="D113" s="165"/>
      <c r="E113" s="106">
        <f ca="1">Financials!F14</f>
        <v>0.03</v>
      </c>
      <c r="F113" s="107">
        <f ca="1">Financials!G14</f>
        <v>-0.4</v>
      </c>
      <c r="G113" s="106">
        <f ca="1">Financials!H14</f>
        <v>0.13</v>
      </c>
      <c r="H113" s="107">
        <f ca="1">Financials!I14</f>
        <v>3.3333333333333339</v>
      </c>
      <c r="I113" s="106">
        <f ca="1">Financials!J14</f>
        <v>0.06</v>
      </c>
      <c r="J113" s="107">
        <f ca="1">Financials!K14</f>
        <v>-0.53846153846153855</v>
      </c>
      <c r="K113" s="106">
        <f ca="1">Financials!L14</f>
        <v>0.02</v>
      </c>
      <c r="L113" s="107">
        <f ca="1">Financials!M14</f>
        <v>-0.66666666666666663</v>
      </c>
      <c r="M113" s="106">
        <f ca="1">Financials!N14</f>
        <v>-0.04</v>
      </c>
      <c r="N113" s="108">
        <f ca="1">Financials!O14</f>
        <v>-3</v>
      </c>
      <c r="O113" s="107">
        <f ca="1">Financials!P14</f>
        <v>-2.3333333333333335</v>
      </c>
    </row>
    <row r="114" spans="2:15" x14ac:dyDescent="0.25">
      <c r="B114" s="160" t="str">
        <f>SUBSTITUTE(SUBSTITUTE(Financials!B15,"(%)",""),"($000)","")</f>
        <v xml:space="preserve">Liab to Liq Assets </v>
      </c>
      <c r="C114" s="161"/>
      <c r="D114" s="162"/>
      <c r="E114" s="109">
        <f ca="1">Financials!F15</f>
        <v>1.1707729469999999</v>
      </c>
      <c r="F114" s="110">
        <f ca="1">Financials!G15</f>
        <v>0.10414651585721368</v>
      </c>
      <c r="G114" s="109">
        <f ca="1">Financials!H15</f>
        <v>1.135909171</v>
      </c>
      <c r="H114" s="110">
        <f ca="1">Financials!I15</f>
        <v>-2.9778426371513955E-2</v>
      </c>
      <c r="I114" s="109">
        <f ca="1">Financials!J15</f>
        <v>1.1253185999999999</v>
      </c>
      <c r="J114" s="110">
        <f ca="1">Financials!K15</f>
        <v>-9.3234311953627191E-3</v>
      </c>
      <c r="K114" s="109">
        <f ca="1">Financials!L15</f>
        <v>1.047676528</v>
      </c>
      <c r="L114" s="110">
        <f ca="1">Financials!M15</f>
        <v>-6.8995635547124179E-2</v>
      </c>
      <c r="M114" s="109">
        <f ca="1">Financials!N15</f>
        <v>1.099387117</v>
      </c>
      <c r="N114" s="111">
        <f ca="1">Financials!O15</f>
        <v>4.9357399557967474E-2</v>
      </c>
      <c r="O114" s="110">
        <f ca="1">Financials!P15</f>
        <v>-6.097324864135234E-2</v>
      </c>
    </row>
    <row r="115" spans="2:15" x14ac:dyDescent="0.25">
      <c r="B115" s="163" t="str">
        <f>SUBSTITUTE(SUBSTITUTE(Financials!B16,"(%)",""),"($000)","")</f>
        <v xml:space="preserve">Gross Agents' Bal to PHS </v>
      </c>
      <c r="C115" s="164"/>
      <c r="D115" s="165"/>
      <c r="E115" s="106">
        <f ca="1">Financials!F16</f>
        <v>0.57485780799999997</v>
      </c>
      <c r="F115" s="107">
        <f ca="1">Financials!G16</f>
        <v>0.45405600193876894</v>
      </c>
      <c r="G115" s="106">
        <f ca="1">Financials!H16</f>
        <v>0.555626854</v>
      </c>
      <c r="H115" s="107">
        <f ca="1">Financials!I16</f>
        <v>-3.3453410099632763E-2</v>
      </c>
      <c r="I115" s="106">
        <f ca="1">Financials!J16</f>
        <v>0.48981668300000003</v>
      </c>
      <c r="J115" s="107">
        <f ca="1">Financials!K16</f>
        <v>-0.11844310714326989</v>
      </c>
      <c r="K115" s="106">
        <f ca="1">Financials!L16</f>
        <v>0.40702636599999997</v>
      </c>
      <c r="L115" s="107">
        <f ca="1">Financials!M16</f>
        <v>-0.16902306490038443</v>
      </c>
      <c r="M115" s="106">
        <f ca="1">Financials!N16</f>
        <v>0.40016287499999997</v>
      </c>
      <c r="N115" s="108">
        <f ca="1">Financials!O16</f>
        <v>-1.6862521874074332E-2</v>
      </c>
      <c r="O115" s="107">
        <f ca="1">Financials!P16</f>
        <v>-0.30389242447238363</v>
      </c>
    </row>
    <row r="116" spans="2:15" x14ac:dyDescent="0.25">
      <c r="B116" s="160" t="str">
        <f>SUBSTITUTE(SUBSTITUTE(Financials!B17,"(%)",""),"($000)","")</f>
        <v xml:space="preserve">1-Yr Res Dev to PHS </v>
      </c>
      <c r="C116" s="161"/>
      <c r="D116" s="162"/>
      <c r="E116" s="109" t="str">
        <f ca="1">Financials!F17</f>
        <v>NM</v>
      </c>
      <c r="F116" s="110" t="str">
        <f ca="1">Financials!G17</f>
        <v/>
      </c>
      <c r="G116" s="109" t="str">
        <f ca="1">Financials!H17</f>
        <v>NM</v>
      </c>
      <c r="H116" s="110" t="str">
        <f ca="1">Financials!I17</f>
        <v/>
      </c>
      <c r="I116" s="109" t="str">
        <f ca="1">Financials!J17</f>
        <v>NM</v>
      </c>
      <c r="J116" s="110" t="str">
        <f ca="1">Financials!K17</f>
        <v/>
      </c>
      <c r="K116" s="109" t="str">
        <f ca="1">Financials!L17</f>
        <v>NM</v>
      </c>
      <c r="L116" s="110" t="str">
        <f ca="1">Financials!M17</f>
        <v/>
      </c>
      <c r="M116" s="109" t="str">
        <f ca="1">Financials!N17</f>
        <v>NM</v>
      </c>
      <c r="N116" s="111" t="str">
        <f ca="1">Financials!O17</f>
        <v/>
      </c>
      <c r="O116" s="110" t="str">
        <f ca="1">Financials!P17</f>
        <v/>
      </c>
    </row>
    <row r="117" spans="2:15" x14ac:dyDescent="0.25">
      <c r="B117" s="163" t="str">
        <f>SUBSTITUTE(SUBSTITUTE(Financials!B18,"(%)",""),"($000)","")</f>
        <v xml:space="preserve">2-Yr Res Dev to PHS </v>
      </c>
      <c r="C117" s="164"/>
      <c r="D117" s="165"/>
      <c r="E117" s="106" t="str">
        <f ca="1">Financials!F18</f>
        <v>NM</v>
      </c>
      <c r="F117" s="107" t="str">
        <f ca="1">Financials!G18</f>
        <v/>
      </c>
      <c r="G117" s="106" t="str">
        <f ca="1">Financials!H18</f>
        <v>NM</v>
      </c>
      <c r="H117" s="107" t="str">
        <f ca="1">Financials!I18</f>
        <v/>
      </c>
      <c r="I117" s="106" t="str">
        <f ca="1">Financials!J18</f>
        <v>NM</v>
      </c>
      <c r="J117" s="107" t="str">
        <f ca="1">Financials!K18</f>
        <v/>
      </c>
      <c r="K117" s="106" t="str">
        <f ca="1">Financials!L18</f>
        <v>NM</v>
      </c>
      <c r="L117" s="107" t="str">
        <f ca="1">Financials!M18</f>
        <v/>
      </c>
      <c r="M117" s="106" t="str">
        <f ca="1">Financials!N18</f>
        <v>NM</v>
      </c>
      <c r="N117" s="108" t="str">
        <f ca="1">Financials!O18</f>
        <v/>
      </c>
      <c r="O117" s="107" t="str">
        <f ca="1">Financials!P18</f>
        <v/>
      </c>
    </row>
    <row r="118" spans="2:15" x14ac:dyDescent="0.25">
      <c r="B118" s="160" t="str">
        <f>SUBSTITUTE(SUBSTITUTE(Financials!B19,"(%)",""),"($000)","")</f>
        <v xml:space="preserve">Est Curr Res Defic to PHS </v>
      </c>
      <c r="C118" s="161"/>
      <c r="D118" s="162"/>
      <c r="E118" s="109">
        <f ca="1">Financials!F19</f>
        <v>-0.188848461</v>
      </c>
      <c r="F118" s="110">
        <f ca="1">Financials!G19</f>
        <v>0.78592051632843973</v>
      </c>
      <c r="G118" s="109">
        <f ca="1">Financials!H19</f>
        <v>3.7457014000000004E-2</v>
      </c>
      <c r="H118" s="110">
        <f ca="1">Financials!I19</f>
        <v>-1.198344290452015</v>
      </c>
      <c r="I118" s="109">
        <f ca="1">Financials!J19</f>
        <v>7.4122921000000008E-2</v>
      </c>
      <c r="J118" s="110">
        <f ca="1">Financials!K19</f>
        <v>0.97887960316324207</v>
      </c>
      <c r="K118" s="109">
        <f ca="1">Financials!L19</f>
        <v>-4.1628656999999999E-2</v>
      </c>
      <c r="L118" s="110">
        <f ca="1">Financials!M19</f>
        <v>-1.5616165207520627</v>
      </c>
      <c r="M118" s="109">
        <f ca="1">Financials!N19</f>
        <v>-5.8493112E-2</v>
      </c>
      <c r="N118" s="111">
        <f ca="1">Financials!O19</f>
        <v>0.40511648021698132</v>
      </c>
      <c r="O118" s="110">
        <f ca="1">Financials!P19</f>
        <v>-0.69026429079557072</v>
      </c>
    </row>
    <row r="119" spans="2:15" x14ac:dyDescent="0.25">
      <c r="B119" s="163" t="str">
        <f>SUBSTITUTE(SUBSTITUTE(Financials!B20,"(%)",""),"($000)","")</f>
        <v xml:space="preserve">Net Chg in C&amp;S </v>
      </c>
      <c r="C119" s="164"/>
      <c r="D119" s="165"/>
      <c r="E119" s="106">
        <f ca="1">Financials!F20</f>
        <v>2.8192227E-2</v>
      </c>
      <c r="F119" s="107">
        <f ca="1">Financials!G20</f>
        <v>-0.47038052942734598</v>
      </c>
      <c r="G119" s="106">
        <f ca="1">Financials!H20</f>
        <v>0.12978917800000001</v>
      </c>
      <c r="H119" s="107">
        <f ca="1">Financials!I20</f>
        <v>3.6037220826861249</v>
      </c>
      <c r="I119" s="106">
        <f ca="1">Financials!J20</f>
        <v>5.9778247E-2</v>
      </c>
      <c r="J119" s="107">
        <f ca="1">Financials!K20</f>
        <v>-0.53942040529758195</v>
      </c>
      <c r="K119" s="106">
        <f ca="1">Financials!L20</f>
        <v>2.2574127000000003E-2</v>
      </c>
      <c r="L119" s="107">
        <f ca="1">Financials!M20</f>
        <v>-0.62236886939826119</v>
      </c>
      <c r="M119" s="106">
        <f ca="1">Financials!N20</f>
        <v>-3.5264112E-2</v>
      </c>
      <c r="N119" s="108">
        <f ca="1">Financials!O20</f>
        <v>-2.5621473202485303</v>
      </c>
      <c r="O119" s="107">
        <f ca="1">Financials!P20</f>
        <v>-2.250845206375502</v>
      </c>
    </row>
    <row r="120" spans="2:15" x14ac:dyDescent="0.25">
      <c r="B120" s="160" t="str">
        <f>SUBSTITUTE(SUBSTITUTE(Financials!B21,"(%)",""),"($000)","")</f>
        <v xml:space="preserve">Gross Chg C&amp;S </v>
      </c>
      <c r="C120" s="161"/>
      <c r="D120" s="162"/>
      <c r="E120" s="109">
        <f ca="1">Financials!F21</f>
        <v>-4.7661221999999996E-2</v>
      </c>
      <c r="F120" s="110">
        <f ca="1">Financials!G21</f>
        <v>-4.4205406741450135</v>
      </c>
      <c r="G120" s="109">
        <f ca="1">Financials!H21</f>
        <v>7.7115761000000005E-2</v>
      </c>
      <c r="H120" s="110">
        <f ca="1">Financials!I21</f>
        <v>-2.6179979816715573</v>
      </c>
      <c r="I120" s="109">
        <f ca="1">Financials!J21</f>
        <v>1.3358864E-2</v>
      </c>
      <c r="J120" s="110">
        <f ca="1">Financials!K21</f>
        <v>-0.82676869388606566</v>
      </c>
      <c r="K120" s="109">
        <f ca="1">Financials!L21</f>
        <v>2.2574127000000003E-2</v>
      </c>
      <c r="L120" s="110">
        <f ca="1">Financials!M21</f>
        <v>0.6898238502914622</v>
      </c>
      <c r="M120" s="109">
        <f ca="1">Financials!N21</f>
        <v>-6.3287788999999997E-2</v>
      </c>
      <c r="N120" s="111">
        <f ca="1">Financials!O21</f>
        <v>-3.803554219394619</v>
      </c>
      <c r="O120" s="110">
        <f ca="1">Financials!P21</f>
        <v>0.32786752719013368</v>
      </c>
    </row>
    <row r="121" spans="2:15" x14ac:dyDescent="0.25">
      <c r="B121" s="163" t="str">
        <f>SUBSTITUTE(SUBSTITUTE(Financials!B22,"(%)",""),"($000)","")</f>
        <v xml:space="preserve">Net Inc to Tot Inc (Incl Rlzd Cap Gains) </v>
      </c>
      <c r="C121" s="164"/>
      <c r="D121" s="165"/>
      <c r="E121" s="106">
        <f ca="1">Financials!F22</f>
        <v>9.0486511519999997</v>
      </c>
      <c r="F121" s="107" t="str">
        <f ca="1">Financials!G22</f>
        <v/>
      </c>
      <c r="G121" s="106">
        <f ca="1">Financials!H22</f>
        <v>2.494310204</v>
      </c>
      <c r="H121" s="107">
        <f ca="1">Financials!I22</f>
        <v>-0.72434452802960703</v>
      </c>
      <c r="I121" s="106">
        <f ca="1">Financials!J22</f>
        <v>10.434972836</v>
      </c>
      <c r="J121" s="107">
        <f ca="1">Financials!K22</f>
        <v>3.1835104628389681</v>
      </c>
      <c r="K121" s="106">
        <f ca="1">Financials!L22</f>
        <v>7.4067238719999997</v>
      </c>
      <c r="L121" s="107">
        <f ca="1">Financials!M22</f>
        <v>-0.29020190196880358</v>
      </c>
      <c r="M121" s="106">
        <f ca="1">Financials!N22</f>
        <v>7.856809256</v>
      </c>
      <c r="N121" s="108">
        <f ca="1">Financials!O22</f>
        <v>6.0767134265863554E-2</v>
      </c>
      <c r="O121" s="107">
        <f ca="1">Financials!P22</f>
        <v>-0.13171486843501201</v>
      </c>
    </row>
    <row r="122" spans="2:15" x14ac:dyDescent="0.25">
      <c r="B122" s="160" t="str">
        <f>SUBSTITUTE(SUBSTITUTE(Financials!B23,"(%)",""),"($000)","")</f>
        <v xml:space="preserve">Adeq of Inv Inc </v>
      </c>
      <c r="C122" s="161"/>
      <c r="D122" s="162"/>
      <c r="E122" s="109" t="str">
        <f ca="1">Financials!F23</f>
        <v>NM</v>
      </c>
      <c r="F122" s="110" t="str">
        <f ca="1">Financials!G23</f>
        <v/>
      </c>
      <c r="G122" s="109" t="str">
        <f ca="1">Financials!H23</f>
        <v>NM</v>
      </c>
      <c r="H122" s="110" t="str">
        <f ca="1">Financials!I23</f>
        <v/>
      </c>
      <c r="I122" s="109" t="str">
        <f ca="1">Financials!J23</f>
        <v>NM</v>
      </c>
      <c r="J122" s="110" t="str">
        <f ca="1">Financials!K23</f>
        <v/>
      </c>
      <c r="K122" s="109" t="str">
        <f ca="1">Financials!L23</f>
        <v>NM</v>
      </c>
      <c r="L122" s="110" t="str">
        <f ca="1">Financials!M23</f>
        <v/>
      </c>
      <c r="M122" s="109" t="str">
        <f ca="1">Financials!N23</f>
        <v>NM</v>
      </c>
      <c r="N122" s="111" t="str">
        <f ca="1">Financials!O23</f>
        <v/>
      </c>
      <c r="O122" s="110" t="str">
        <f ca="1">Financials!P23</f>
        <v/>
      </c>
    </row>
    <row r="123" spans="2:15" x14ac:dyDescent="0.25">
      <c r="B123" s="163" t="str">
        <f>SUBSTITUTE(SUBSTITUTE(Financials!B24,"(%)",""),"($000)","")</f>
        <v xml:space="preserve">Non-Adm to Adm Assets </v>
      </c>
      <c r="C123" s="164"/>
      <c r="D123" s="165"/>
      <c r="E123" s="106">
        <f ca="1">Financials!F24</f>
        <v>3.0654055999999999E-2</v>
      </c>
      <c r="F123" s="107">
        <f ca="1">Financials!G24</f>
        <v>-0.13494507628055286</v>
      </c>
      <c r="G123" s="106">
        <f ca="1">Financials!H24</f>
        <v>2.3415286E-2</v>
      </c>
      <c r="H123" s="107">
        <f ca="1">Financials!I24</f>
        <v>-0.23614395432695756</v>
      </c>
      <c r="I123" s="106">
        <f ca="1">Financials!J24</f>
        <v>2.0422582000000002E-2</v>
      </c>
      <c r="J123" s="107">
        <f ca="1">Financials!K24</f>
        <v>-0.12780984182725763</v>
      </c>
      <c r="K123" s="106">
        <f ca="1">Financials!L24</f>
        <v>1.6679335999999999E-2</v>
      </c>
      <c r="L123" s="107">
        <f ca="1">Financials!M24</f>
        <v>-0.18328955662902968</v>
      </c>
      <c r="M123" s="106">
        <f ca="1">Financials!N24</f>
        <v>2.0146489E-2</v>
      </c>
      <c r="N123" s="108">
        <f ca="1">Financials!O24</f>
        <v>0.20787116465547562</v>
      </c>
      <c r="O123" s="107">
        <f ca="1">Financials!P24</f>
        <v>-0.34277901103853925</v>
      </c>
    </row>
    <row r="124" spans="2:15" x14ac:dyDescent="0.25">
      <c r="B124" s="160" t="str">
        <f>SUBSTITUTE(SUBSTITUTE(Financials!B25,"(%)",""),"($000)","")</f>
        <v xml:space="preserve">Tot RE &amp; Tot Mrtg Loans to Cash &amp; Inv Assets </v>
      </c>
      <c r="C124" s="161"/>
      <c r="D124" s="162"/>
      <c r="E124" s="109">
        <f ca="1">Financials!F25</f>
        <v>1.8751971999999999E-2</v>
      </c>
      <c r="F124" s="110">
        <f ca="1">Financials!G25</f>
        <v>0.10372220155944545</v>
      </c>
      <c r="G124" s="109">
        <f ca="1">Financials!H25</f>
        <v>1.7589527000000001E-2</v>
      </c>
      <c r="H124" s="110">
        <f ca="1">Financials!I25</f>
        <v>-6.1990546914212463E-2</v>
      </c>
      <c r="I124" s="109">
        <f ca="1">Financials!J25</f>
        <v>2.2155728E-2</v>
      </c>
      <c r="J124" s="110">
        <f ca="1">Financials!K25</f>
        <v>0.25959771402607923</v>
      </c>
      <c r="K124" s="109">
        <f ca="1">Financials!L25</f>
        <v>2.8065394E-2</v>
      </c>
      <c r="L124" s="110">
        <f ca="1">Financials!M25</f>
        <v>0.26673309944949675</v>
      </c>
      <c r="M124" s="109">
        <f ca="1">Financials!N25</f>
        <v>2.9002786999999999E-2</v>
      </c>
      <c r="N124" s="111">
        <f ca="1">Financials!O25</f>
        <v>3.3400314992905411E-2</v>
      </c>
      <c r="O124" s="110">
        <f ca="1">Financials!P25</f>
        <v>0.54665264005300362</v>
      </c>
    </row>
    <row r="125" spans="2:15" x14ac:dyDescent="0.25">
      <c r="B125" s="163" t="str">
        <f>SUBSTITUTE(SUBSTITUTE(Financials!B26,"(%)",""),"($000)","")</f>
        <v xml:space="preserve">Tot Aff Inv to C&amp;S </v>
      </c>
      <c r="C125" s="164"/>
      <c r="D125" s="165"/>
      <c r="E125" s="106">
        <f ca="1">Financials!F26</f>
        <v>0.129537548</v>
      </c>
      <c r="F125" s="107">
        <f ca="1">Financials!G26</f>
        <v>-1.9498683061285993E-2</v>
      </c>
      <c r="G125" s="106">
        <f ca="1">Financials!H26</f>
        <v>0.129125192</v>
      </c>
      <c r="H125" s="107">
        <f ca="1">Financials!I26</f>
        <v>-3.1832932332485075E-3</v>
      </c>
      <c r="I125" s="106">
        <f ca="1">Financials!J26</f>
        <v>0.12762432799999998</v>
      </c>
      <c r="J125" s="107">
        <f ca="1">Financials!K26</f>
        <v>-1.1623324440052096E-2</v>
      </c>
      <c r="K125" s="106">
        <f ca="1">Financials!L26</f>
        <v>0.15525893500000001</v>
      </c>
      <c r="L125" s="107">
        <f ca="1">Financials!M26</f>
        <v>0.21653087176294505</v>
      </c>
      <c r="M125" s="106">
        <f ca="1">Financials!N26</f>
        <v>0.113940287</v>
      </c>
      <c r="N125" s="108">
        <f ca="1">Financials!O26</f>
        <v>-0.26612734397540472</v>
      </c>
      <c r="O125" s="107">
        <f ca="1">Financials!P26</f>
        <v>-0.12040725828776688</v>
      </c>
    </row>
    <row r="126" spans="2:15" x14ac:dyDescent="0.25">
      <c r="B126" s="160" t="str">
        <f>SUBSTITUTE(SUBSTITUTE(Financials!B27,"(%)",""),"($000)","")</f>
        <v xml:space="preserve">Surplus Relief </v>
      </c>
      <c r="C126" s="161"/>
      <c r="D126" s="162"/>
      <c r="E126" s="109" t="str">
        <f ca="1">Financials!F27</f>
        <v>NM</v>
      </c>
      <c r="F126" s="110" t="str">
        <f ca="1">Financials!G27</f>
        <v/>
      </c>
      <c r="G126" s="109" t="str">
        <f ca="1">Financials!H27</f>
        <v>NM</v>
      </c>
      <c r="H126" s="110" t="str">
        <f ca="1">Financials!I27</f>
        <v/>
      </c>
      <c r="I126" s="109" t="str">
        <f ca="1">Financials!J27</f>
        <v>NM</v>
      </c>
      <c r="J126" s="110" t="str">
        <f ca="1">Financials!K27</f>
        <v/>
      </c>
      <c r="K126" s="109" t="str">
        <f ca="1">Financials!L27</f>
        <v>NM</v>
      </c>
      <c r="L126" s="110" t="str">
        <f ca="1">Financials!M27</f>
        <v/>
      </c>
      <c r="M126" s="109" t="str">
        <f ca="1">Financials!N27</f>
        <v>NM</v>
      </c>
      <c r="N126" s="111" t="str">
        <f ca="1">Financials!O27</f>
        <v/>
      </c>
      <c r="O126" s="110" t="str">
        <f ca="1">Financials!P27</f>
        <v/>
      </c>
    </row>
    <row r="127" spans="2:15" x14ac:dyDescent="0.25">
      <c r="B127" s="163" t="str">
        <f>SUBSTITUTE(SUBSTITUTE(Financials!B28,"(%)",""),"($000)","")</f>
        <v xml:space="preserve">Chg in Premium </v>
      </c>
      <c r="C127" s="164"/>
      <c r="D127" s="165"/>
      <c r="E127" s="106" t="str">
        <f ca="1">Financials!F28</f>
        <v>NM</v>
      </c>
      <c r="F127" s="107" t="str">
        <f ca="1">Financials!G28</f>
        <v/>
      </c>
      <c r="G127" s="106" t="str">
        <f ca="1">Financials!H28</f>
        <v>NM</v>
      </c>
      <c r="H127" s="107" t="str">
        <f ca="1">Financials!I28</f>
        <v/>
      </c>
      <c r="I127" s="106" t="str">
        <f ca="1">Financials!J28</f>
        <v>NM</v>
      </c>
      <c r="J127" s="107" t="str">
        <f ca="1">Financials!K28</f>
        <v/>
      </c>
      <c r="K127" s="106" t="str">
        <f ca="1">Financials!L28</f>
        <v>NM</v>
      </c>
      <c r="L127" s="107" t="str">
        <f ca="1">Financials!M28</f>
        <v/>
      </c>
      <c r="M127" s="106" t="str">
        <f ca="1">Financials!N28</f>
        <v>NM</v>
      </c>
      <c r="N127" s="108" t="str">
        <f ca="1">Financials!O28</f>
        <v/>
      </c>
      <c r="O127" s="107" t="str">
        <f ca="1">Financials!P28</f>
        <v/>
      </c>
    </row>
    <row r="128" spans="2:15" x14ac:dyDescent="0.25">
      <c r="B128" s="160" t="str">
        <f>SUBSTITUTE(SUBSTITUTE(Financials!B29,"(%)",""),"($000)","")</f>
        <v xml:space="preserve">Chg in Prod Mix </v>
      </c>
      <c r="C128" s="161"/>
      <c r="D128" s="162"/>
      <c r="E128" s="109" t="str">
        <f ca="1">Financials!F29</f>
        <v>NM</v>
      </c>
      <c r="F128" s="110" t="str">
        <f ca="1">Financials!G29</f>
        <v/>
      </c>
      <c r="G128" s="109" t="str">
        <f ca="1">Financials!H29</f>
        <v>NM</v>
      </c>
      <c r="H128" s="110" t="str">
        <f ca="1">Financials!I29</f>
        <v/>
      </c>
      <c r="I128" s="109" t="str">
        <f ca="1">Financials!J29</f>
        <v>NM</v>
      </c>
      <c r="J128" s="110" t="str">
        <f ca="1">Financials!K29</f>
        <v/>
      </c>
      <c r="K128" s="109" t="str">
        <f ca="1">Financials!L29</f>
        <v>NM</v>
      </c>
      <c r="L128" s="110" t="str">
        <f ca="1">Financials!M29</f>
        <v/>
      </c>
      <c r="M128" s="109" t="str">
        <f ca="1">Financials!N29</f>
        <v>NM</v>
      </c>
      <c r="N128" s="111" t="str">
        <f ca="1">Financials!O29</f>
        <v/>
      </c>
      <c r="O128" s="110" t="str">
        <f ca="1">Financials!P29</f>
        <v/>
      </c>
    </row>
    <row r="129" spans="2:15" x14ac:dyDescent="0.25">
      <c r="B129" s="163" t="str">
        <f>SUBSTITUTE(SUBSTITUTE(Financials!B30,"(%)",""),"($000)","")</f>
        <v xml:space="preserve">Chg in Asset Mix </v>
      </c>
      <c r="C129" s="164"/>
      <c r="D129" s="165"/>
      <c r="E129" s="106">
        <f ca="1">Financials!F30</f>
        <v>4.0000000000000001E-3</v>
      </c>
      <c r="F129" s="107">
        <f ca="1">Financials!G30</f>
        <v>1</v>
      </c>
      <c r="G129" s="106">
        <f ca="1">Financials!H30</f>
        <v>5.0000000000000001E-3</v>
      </c>
      <c r="H129" s="107">
        <f ca="1">Financials!I30</f>
        <v>0.25</v>
      </c>
      <c r="I129" s="106">
        <f ca="1">Financials!J30</f>
        <v>4.0000000000000001E-3</v>
      </c>
      <c r="J129" s="107">
        <f ca="1">Financials!K30</f>
        <v>-0.19999999999999996</v>
      </c>
      <c r="K129" s="106">
        <f ca="1">Financials!L30</f>
        <v>6.0000000000000001E-3</v>
      </c>
      <c r="L129" s="107">
        <f ca="1">Financials!M30</f>
        <v>0.5</v>
      </c>
      <c r="M129" s="106">
        <f ca="1">Financials!N30</f>
        <v>5.0000000000000001E-3</v>
      </c>
      <c r="N129" s="108">
        <f ca="1">Financials!O30</f>
        <v>-0.16666666666666663</v>
      </c>
      <c r="O129" s="107">
        <f ca="1">Financials!P30</f>
        <v>0.25</v>
      </c>
    </row>
    <row r="130" spans="2:15" x14ac:dyDescent="0.25">
      <c r="B130" s="181" t="str">
        <f>SUBSTITUTE(SUBSTITUTE(Financials!B31,"(%)",""),"($000)","")</f>
        <v xml:space="preserve">Chg in Reserving </v>
      </c>
      <c r="C130" s="182"/>
      <c r="D130" s="183"/>
      <c r="E130" s="117" t="str">
        <f ca="1">Financials!F31</f>
        <v>NM</v>
      </c>
      <c r="F130" s="112" t="str">
        <f ca="1">Financials!G31</f>
        <v/>
      </c>
      <c r="G130" s="117" t="str">
        <f ca="1">Financials!H31</f>
        <v>NM</v>
      </c>
      <c r="H130" s="112" t="str">
        <f ca="1">Financials!I31</f>
        <v/>
      </c>
      <c r="I130" s="117" t="str">
        <f ca="1">Financials!J31</f>
        <v>NM</v>
      </c>
      <c r="J130" s="112" t="str">
        <f ca="1">Financials!K31</f>
        <v/>
      </c>
      <c r="K130" s="117" t="str">
        <f ca="1">Financials!L31</f>
        <v>NM</v>
      </c>
      <c r="L130" s="112" t="str">
        <f ca="1">Financials!M31</f>
        <v/>
      </c>
      <c r="M130" s="117" t="str">
        <f ca="1">Financials!N31</f>
        <v>NM</v>
      </c>
      <c r="N130" s="113" t="str">
        <f ca="1">Financials!O31</f>
        <v/>
      </c>
      <c r="O130" s="112" t="str">
        <f ca="1">Financials!P31</f>
        <v/>
      </c>
    </row>
    <row r="131" spans="2:15" x14ac:dyDescent="0.25">
      <c r="E131" s="21"/>
      <c r="F131" s="21"/>
      <c r="G131" s="21"/>
      <c r="H131" s="21"/>
      <c r="I131" s="21"/>
      <c r="J131" s="21"/>
      <c r="K131" s="21"/>
      <c r="L131" s="21"/>
      <c r="M131" s="21"/>
      <c r="N131" s="21"/>
      <c r="O131" s="21"/>
    </row>
  </sheetData>
  <mergeCells count="112">
    <mergeCell ref="N5:O5"/>
    <mergeCell ref="N6:O6"/>
    <mergeCell ref="N7:O7"/>
    <mergeCell ref="B129:D129"/>
    <mergeCell ref="B130:D130"/>
    <mergeCell ref="B123:D123"/>
    <mergeCell ref="B124:D124"/>
    <mergeCell ref="B125:D125"/>
    <mergeCell ref="B126:D126"/>
    <mergeCell ref="B127:D127"/>
    <mergeCell ref="B128:D128"/>
    <mergeCell ref="B117:D117"/>
    <mergeCell ref="B118:D118"/>
    <mergeCell ref="B119:D119"/>
    <mergeCell ref="B120:D120"/>
    <mergeCell ref="B121:D121"/>
    <mergeCell ref="B122:D122"/>
    <mergeCell ref="B111:D111"/>
    <mergeCell ref="B112:D112"/>
    <mergeCell ref="B113:D113"/>
    <mergeCell ref="B114:D114"/>
    <mergeCell ref="B115:D115"/>
    <mergeCell ref="B116:D116"/>
    <mergeCell ref="B105:D105"/>
    <mergeCell ref="B106:D106"/>
    <mergeCell ref="B107:D107"/>
    <mergeCell ref="B108:D108"/>
    <mergeCell ref="B109:D109"/>
    <mergeCell ref="B110:D110"/>
    <mergeCell ref="B100:D100"/>
    <mergeCell ref="B101:D101"/>
    <mergeCell ref="B102:D102"/>
    <mergeCell ref="B103:D103"/>
    <mergeCell ref="F5:H5"/>
    <mergeCell ref="F6:H6"/>
    <mergeCell ref="F7:H7"/>
    <mergeCell ref="F8:H8"/>
    <mergeCell ref="B97:D97"/>
    <mergeCell ref="B98:D98"/>
    <mergeCell ref="B99:D99"/>
    <mergeCell ref="B91:D91"/>
    <mergeCell ref="B92:D92"/>
    <mergeCell ref="B93:D93"/>
    <mergeCell ref="B94:D94"/>
    <mergeCell ref="B95:D95"/>
    <mergeCell ref="B96:D96"/>
    <mergeCell ref="B76:D76"/>
    <mergeCell ref="B77:D77"/>
    <mergeCell ref="B78:D78"/>
    <mergeCell ref="B79:D79"/>
    <mergeCell ref="B80:D80"/>
    <mergeCell ref="B81:D81"/>
    <mergeCell ref="B70:D70"/>
    <mergeCell ref="B71:D71"/>
    <mergeCell ref="B72:D72"/>
    <mergeCell ref="B73:D73"/>
    <mergeCell ref="B74:D74"/>
    <mergeCell ref="B75:D75"/>
    <mergeCell ref="B64:D64"/>
    <mergeCell ref="B65:D65"/>
    <mergeCell ref="B66:D66"/>
    <mergeCell ref="B67:D67"/>
    <mergeCell ref="B68:D68"/>
    <mergeCell ref="B69:D69"/>
    <mergeCell ref="B58:D58"/>
    <mergeCell ref="B59:D59"/>
    <mergeCell ref="B60:D60"/>
    <mergeCell ref="B61:D61"/>
    <mergeCell ref="B62:D62"/>
    <mergeCell ref="B63:D63"/>
    <mergeCell ref="B54:D54"/>
    <mergeCell ref="B55:D55"/>
    <mergeCell ref="B56:D56"/>
    <mergeCell ref="B57:D57"/>
    <mergeCell ref="I5:K5"/>
    <mergeCell ref="I6:K6"/>
    <mergeCell ref="I7:K7"/>
    <mergeCell ref="I8:K8"/>
    <mergeCell ref="B34:D34"/>
    <mergeCell ref="B35:D35"/>
    <mergeCell ref="B36:D36"/>
    <mergeCell ref="B37:D37"/>
    <mergeCell ref="B38:D38"/>
    <mergeCell ref="C5:E5"/>
    <mergeCell ref="C6:E6"/>
    <mergeCell ref="C7:E7"/>
    <mergeCell ref="C8:E8"/>
    <mergeCell ref="B10:D10"/>
    <mergeCell ref="B28:D28"/>
    <mergeCell ref="B29:D29"/>
    <mergeCell ref="B30:D30"/>
    <mergeCell ref="B31:D31"/>
    <mergeCell ref="B32:D32"/>
    <mergeCell ref="B33:D33"/>
    <mergeCell ref="B23:D23"/>
    <mergeCell ref="B24:D24"/>
    <mergeCell ref="B25:D25"/>
    <mergeCell ref="B26:D26"/>
    <mergeCell ref="B4:E4"/>
    <mergeCell ref="B27:D27"/>
    <mergeCell ref="B17:D17"/>
    <mergeCell ref="B18:D18"/>
    <mergeCell ref="B19:D19"/>
    <mergeCell ref="B20:D20"/>
    <mergeCell ref="B21:D21"/>
    <mergeCell ref="B22:D22"/>
    <mergeCell ref="B11:D11"/>
    <mergeCell ref="B12:D12"/>
    <mergeCell ref="B13:D13"/>
    <mergeCell ref="B14:D14"/>
    <mergeCell ref="B15:D15"/>
    <mergeCell ref="B16:D16"/>
  </mergeCells>
  <pageMargins left="0.15" right="0.15" top="0.4" bottom="0.28000000000000003" header="0" footer="0"/>
  <pageSetup fitToWidth="0" fitToHeight="0" orientation="portrait" r:id="rId1"/>
  <headerFooter>
    <oddFooter>&amp;R&amp;"Arial,Regular"&amp;7Data Provided by SNL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C122"/>
  <sheetViews>
    <sheetView topLeftCell="A91" workbookViewId="0">
      <selection activeCell="B123" sqref="B123"/>
    </sheetView>
  </sheetViews>
  <sheetFormatPr defaultRowHeight="15" x14ac:dyDescent="0.25"/>
  <cols>
    <col min="2" max="2" width="12" style="42" bestFit="1" customWidth="1"/>
  </cols>
  <sheetData>
    <row r="1" spans="2:3" x14ac:dyDescent="0.25">
      <c r="B1" s="114" t="s">
        <v>139</v>
      </c>
      <c r="C1" t="str">
        <f>[1]!SNLData("287",B1,"124459")</f>
        <v>AEGON N.V. (SNL Life Group)</v>
      </c>
    </row>
    <row r="2" spans="2:3" x14ac:dyDescent="0.25">
      <c r="B2" s="114" t="s">
        <v>140</v>
      </c>
      <c r="C2" t="str">
        <f>[1]!SNLData("287",B2,"124459")</f>
        <v>Aetna Inc. (SNL Health Group)</v>
      </c>
    </row>
    <row r="3" spans="2:3" x14ac:dyDescent="0.25">
      <c r="B3" s="114" t="s">
        <v>141</v>
      </c>
      <c r="C3" t="str">
        <f>[1]!SNLData("287",B3,"124459")</f>
        <v>Aetna Inc. (SNL Life Group)</v>
      </c>
    </row>
    <row r="4" spans="2:3" x14ac:dyDescent="0.25">
      <c r="B4" s="114" t="s">
        <v>135</v>
      </c>
      <c r="C4" t="str">
        <f>[1]!SNLData("287",B4,"124459")</f>
        <v>Aflac Incorporated (SNL Life Group)</v>
      </c>
    </row>
    <row r="5" spans="2:3" x14ac:dyDescent="0.25">
      <c r="B5" s="114" t="s">
        <v>142</v>
      </c>
      <c r="C5" t="str">
        <f>[1]!SNLData("287",B5,"124459")</f>
        <v>Alleghany Corporation (SNL P&amp;C Group)</v>
      </c>
    </row>
    <row r="6" spans="2:3" x14ac:dyDescent="0.25">
      <c r="B6" s="114" t="s">
        <v>143</v>
      </c>
      <c r="C6" t="str">
        <f>[1]!SNLData("287",B6,"124459")</f>
        <v>Allianz Group (SNL Life Group)</v>
      </c>
    </row>
    <row r="7" spans="2:3" x14ac:dyDescent="0.25">
      <c r="B7" s="114" t="s">
        <v>144</v>
      </c>
      <c r="C7" t="str">
        <f>[1]!SNLData("287",B7,"124459")</f>
        <v>Allianz Group (SNL P&amp;C Group)</v>
      </c>
    </row>
    <row r="8" spans="2:3" x14ac:dyDescent="0.25">
      <c r="B8" s="114" t="s">
        <v>145</v>
      </c>
      <c r="C8" t="str">
        <f>[1]!SNLData("287",B8,"124459")</f>
        <v>Allstate Corporation (SNL Life Group)</v>
      </c>
    </row>
    <row r="9" spans="2:3" x14ac:dyDescent="0.25">
      <c r="B9" s="114" t="s">
        <v>146</v>
      </c>
      <c r="C9" t="str">
        <f>[1]!SNLData("287",B9,"124459")</f>
        <v>Allstate Corporation (SNL P&amp;C Group)</v>
      </c>
    </row>
    <row r="10" spans="2:3" x14ac:dyDescent="0.25">
      <c r="B10" s="114" t="s">
        <v>147</v>
      </c>
      <c r="C10" t="str">
        <f>[1]!SNLData("287",B10,"124459")</f>
        <v>Ambac Financial Group, Inc. (SNL P&amp;C Group)</v>
      </c>
    </row>
    <row r="11" spans="2:3" x14ac:dyDescent="0.25">
      <c r="B11" s="114" t="s">
        <v>148</v>
      </c>
      <c r="C11" t="str">
        <f>[1]!SNLData("287",B11,"124459")</f>
        <v>American Equity Investment Life Holding Company (SNL Life Group)</v>
      </c>
    </row>
    <row r="12" spans="2:3" x14ac:dyDescent="0.25">
      <c r="B12" s="114" t="s">
        <v>149</v>
      </c>
      <c r="C12" t="str">
        <f>[1]!SNLData("287",B12,"124459")</f>
        <v>American Family Insurance Group (SNL P&amp;C Group)</v>
      </c>
    </row>
    <row r="13" spans="2:3" x14ac:dyDescent="0.25">
      <c r="B13" s="114" t="s">
        <v>150</v>
      </c>
      <c r="C13" t="str">
        <f>[1]!SNLData("287",B13,"124459")</f>
        <v>American Family Life Insurance Company</v>
      </c>
    </row>
    <row r="14" spans="2:3" x14ac:dyDescent="0.25">
      <c r="B14" s="114" t="s">
        <v>151</v>
      </c>
      <c r="C14" t="str">
        <f>[1]!SNLData("287",B14,"124459")</f>
        <v>American Financial Group, Inc. (SNL Life Group)</v>
      </c>
    </row>
    <row r="15" spans="2:3" x14ac:dyDescent="0.25">
      <c r="B15" s="114" t="s">
        <v>152</v>
      </c>
      <c r="C15" t="str">
        <f>[1]!SNLData("287",B15,"124459")</f>
        <v>American Financial Group, Inc. (SNL P&amp;C Group)</v>
      </c>
    </row>
    <row r="16" spans="2:3" x14ac:dyDescent="0.25">
      <c r="B16" s="114" t="s">
        <v>35</v>
      </c>
      <c r="C16" t="str">
        <f>[1]!SNLData("287",B16,"124459")</f>
        <v>American International Group, Inc. (SNL Life Group)</v>
      </c>
    </row>
    <row r="17" spans="2:3" x14ac:dyDescent="0.25">
      <c r="B17" s="114" t="s">
        <v>153</v>
      </c>
      <c r="C17" t="str">
        <f>[1]!SNLData("287",B17,"124459")</f>
        <v>American International Group, Inc. (SNL P&amp;C Group)</v>
      </c>
    </row>
    <row r="18" spans="2:3" x14ac:dyDescent="0.25">
      <c r="B18" s="114" t="s">
        <v>154</v>
      </c>
      <c r="C18" t="str">
        <f>[1]!SNLData("287",B18,"124459")</f>
        <v>American National Insurance Company (SNL Life Group)</v>
      </c>
    </row>
    <row r="19" spans="2:3" x14ac:dyDescent="0.25">
      <c r="B19" s="114" t="s">
        <v>155</v>
      </c>
      <c r="C19" t="str">
        <f>[1]!SNLData("287",B19,"124459")</f>
        <v>Ameriprise Financial, Inc. (SNL Life Group)</v>
      </c>
    </row>
    <row r="20" spans="2:3" x14ac:dyDescent="0.25">
      <c r="B20" s="114" t="s">
        <v>156</v>
      </c>
      <c r="C20" t="str">
        <f>[1]!SNLData("287",B20,"124459")</f>
        <v>Ameritas Mutual Holding Company (SNL Life Group)</v>
      </c>
    </row>
    <row r="21" spans="2:3" x14ac:dyDescent="0.25">
      <c r="B21" s="114" t="s">
        <v>157</v>
      </c>
      <c r="C21" t="str">
        <f>[1]!SNLData("287",B21,"124459")</f>
        <v>Anthem, Inc. (SNL Health Group)</v>
      </c>
    </row>
    <row r="22" spans="2:3" x14ac:dyDescent="0.25">
      <c r="B22" s="114" t="s">
        <v>158</v>
      </c>
      <c r="C22" t="str">
        <f>[1]!SNLData("287",B22,"124459")</f>
        <v>Assurant, Inc. (SNL Life Group)</v>
      </c>
    </row>
    <row r="23" spans="2:3" x14ac:dyDescent="0.25">
      <c r="B23" s="114" t="s">
        <v>159</v>
      </c>
      <c r="C23" t="str">
        <f>[1]!SNLData("287",B23,"124459")</f>
        <v>Assured Guaranty Ltd. (SNL P&amp;C Group)</v>
      </c>
    </row>
    <row r="24" spans="2:3" x14ac:dyDescent="0.25">
      <c r="B24" s="114" t="s">
        <v>160</v>
      </c>
      <c r="C24" t="str">
        <f>[1]!SNLData("287",B24,"124459")</f>
        <v>Athene Holding Ltd. (SNL Life Group)</v>
      </c>
    </row>
    <row r="25" spans="2:3" x14ac:dyDescent="0.25">
      <c r="B25" s="114" t="s">
        <v>161</v>
      </c>
      <c r="C25" t="str">
        <f>[1]!SNLData("287",B25,"124459")</f>
        <v>Auto Club Exchange Group (SNL P&amp;C Group)</v>
      </c>
    </row>
    <row r="26" spans="2:3" x14ac:dyDescent="0.25">
      <c r="B26" s="114" t="s">
        <v>162</v>
      </c>
      <c r="C26" t="str">
        <f>[1]!SNLData("287",B26,"124459")</f>
        <v>Auto-Owners Insurance Company (SNL P&amp;C Group)</v>
      </c>
    </row>
    <row r="27" spans="2:3" x14ac:dyDescent="0.25">
      <c r="B27" s="114" t="s">
        <v>163</v>
      </c>
      <c r="C27" t="str">
        <f>[1]!SNLData("287",B27,"124459")</f>
        <v>AXA (SNL Life Group)</v>
      </c>
    </row>
    <row r="28" spans="2:3" x14ac:dyDescent="0.25">
      <c r="B28" s="114" t="s">
        <v>164</v>
      </c>
      <c r="C28" t="str">
        <f>[1]!SNLData("287",B28,"124459")</f>
        <v>Berkshire Hathaway Inc. (SNL Life Group)</v>
      </c>
    </row>
    <row r="29" spans="2:3" x14ac:dyDescent="0.25">
      <c r="B29" s="114" t="s">
        <v>165</v>
      </c>
      <c r="C29" t="str">
        <f>[1]!SNLData("287",B29,"124459")</f>
        <v>Blue Cross Blue Shield of Michigan Mutual Insurance Company (SNL Health Group)</v>
      </c>
    </row>
    <row r="30" spans="2:3" x14ac:dyDescent="0.25">
      <c r="B30" s="114" t="s">
        <v>166</v>
      </c>
      <c r="C30" t="str">
        <f>[1]!SNLData("287",B30,"124459")</f>
        <v>Canada Pension Plan Investment Board (SNL Life Group)</v>
      </c>
    </row>
    <row r="31" spans="2:3" x14ac:dyDescent="0.25">
      <c r="B31" s="114" t="s">
        <v>167</v>
      </c>
      <c r="C31" t="str">
        <f>[1]!SNLData("287",B31,"124459")</f>
        <v>Chubb Limited (SNL P&amp;C Group)</v>
      </c>
    </row>
    <row r="32" spans="2:3" x14ac:dyDescent="0.25">
      <c r="B32" s="114" t="s">
        <v>168</v>
      </c>
      <c r="C32" t="str">
        <f>[1]!SNLData("287",B32,"124459")</f>
        <v>Cigna Corporation (SNL Life Group)</v>
      </c>
    </row>
    <row r="33" spans="2:3" x14ac:dyDescent="0.25">
      <c r="B33" s="114" t="s">
        <v>169</v>
      </c>
      <c r="C33" t="str">
        <f>[1]!SNLData("287",B33,"124459")</f>
        <v>Cincinnati Financial Corporation (SNL P&amp;C Group)</v>
      </c>
    </row>
    <row r="34" spans="2:3" x14ac:dyDescent="0.25">
      <c r="B34" s="114" t="s">
        <v>170</v>
      </c>
      <c r="C34" t="str">
        <f>[1]!SNLData("287",B34,"124459")</f>
        <v>CNA Financial Corporation (SNL P&amp;C Group)</v>
      </c>
    </row>
    <row r="35" spans="2:3" x14ac:dyDescent="0.25">
      <c r="B35" s="114" t="s">
        <v>171</v>
      </c>
      <c r="C35" t="str">
        <f>[1]!SNLData("287",B35,"124459")</f>
        <v>CNO Financial Group, Inc. (SNL Life Group)</v>
      </c>
    </row>
    <row r="36" spans="2:3" x14ac:dyDescent="0.25">
      <c r="B36" s="114" t="s">
        <v>172</v>
      </c>
      <c r="C36" t="str">
        <f>[1]!SNLData("287",B36,"124459")</f>
        <v>COUNTRY Financial (SNL Life Group)</v>
      </c>
    </row>
    <row r="37" spans="2:3" x14ac:dyDescent="0.25">
      <c r="B37" s="114" t="s">
        <v>173</v>
      </c>
      <c r="C37" t="str">
        <f>[1]!SNLData("287",B37,"124459")</f>
        <v>CSAA Insurance Exchange (SNL P&amp;C Group)</v>
      </c>
    </row>
    <row r="38" spans="2:3" x14ac:dyDescent="0.25">
      <c r="B38" s="114" t="s">
        <v>174</v>
      </c>
      <c r="C38" t="str">
        <f>[1]!SNLData("287",B38,"124459")</f>
        <v>CUNA Mutual Insurance Group (SNL Life Group)</v>
      </c>
    </row>
    <row r="39" spans="2:3" x14ac:dyDescent="0.25">
      <c r="B39" s="114" t="s">
        <v>175</v>
      </c>
      <c r="C39" t="str">
        <f>[1]!SNLData("287",B39,"124459")</f>
        <v>Dai-ichi Life Holdings, Inc. (SNL Life Group)</v>
      </c>
    </row>
    <row r="40" spans="2:3" x14ac:dyDescent="0.25">
      <c r="B40" s="114" t="s">
        <v>176</v>
      </c>
      <c r="C40" t="str">
        <f>[1]!SNLData("287",B40,"124459")</f>
        <v>Delaware Life Partners, LLC (SNL Life Group)</v>
      </c>
    </row>
    <row r="41" spans="2:3" x14ac:dyDescent="0.25">
      <c r="B41" s="114" t="s">
        <v>177</v>
      </c>
      <c r="C41" t="str">
        <f>[1]!SNLData("287",B41,"124459")</f>
        <v>EquiTrust Life Insurance Company</v>
      </c>
    </row>
    <row r="42" spans="2:3" x14ac:dyDescent="0.25">
      <c r="B42" s="114" t="s">
        <v>178</v>
      </c>
      <c r="C42" t="str">
        <f>[1]!SNLData("287",B42,"124459")</f>
        <v>Erie Insurance Group (SNL P&amp;C Group)</v>
      </c>
    </row>
    <row r="43" spans="2:3" x14ac:dyDescent="0.25">
      <c r="B43" s="114" t="s">
        <v>179</v>
      </c>
      <c r="C43" t="str">
        <f>[1]!SNLData("287",B43,"124459")</f>
        <v>Everest Re Group, Ltd. (SNL P&amp;C Group)</v>
      </c>
    </row>
    <row r="44" spans="2:3" x14ac:dyDescent="0.25">
      <c r="B44" s="114" t="s">
        <v>180</v>
      </c>
      <c r="C44" t="str">
        <f>[1]!SNLData("287",B44,"124459")</f>
        <v>Fairfax Financial Holdings Limited (SNL P&amp;C Group)</v>
      </c>
    </row>
    <row r="45" spans="2:3" x14ac:dyDescent="0.25">
      <c r="B45" s="114" t="s">
        <v>181</v>
      </c>
      <c r="C45" t="str">
        <f>[1]!SNLData("287",B45,"124459")</f>
        <v>Farmers Insurance Group of Companies (SNL P&amp;C Group)</v>
      </c>
    </row>
    <row r="46" spans="2:3" x14ac:dyDescent="0.25">
      <c r="B46" s="114" t="s">
        <v>182</v>
      </c>
      <c r="C46" t="str">
        <f>[1]!SNLData("287",B46,"124459")</f>
        <v>FBL Financial Group, Inc. (SNL Life Group)</v>
      </c>
    </row>
    <row r="47" spans="2:3" x14ac:dyDescent="0.25">
      <c r="B47" s="114" t="s">
        <v>183</v>
      </c>
      <c r="C47" t="str">
        <f>[1]!SNLData("287",B47,"124459")</f>
        <v>Fidelity &amp; Guaranty Life Group (SNL Life Group)</v>
      </c>
    </row>
    <row r="48" spans="2:3" x14ac:dyDescent="0.25">
      <c r="B48" s="114" t="s">
        <v>184</v>
      </c>
      <c r="C48" t="str">
        <f>[1]!SNLData("287",B48,"124459")</f>
        <v>FM Global (SNL P&amp;C Group)</v>
      </c>
    </row>
    <row r="49" spans="2:3" x14ac:dyDescent="0.25">
      <c r="B49" s="114" t="s">
        <v>185</v>
      </c>
      <c r="C49" t="str">
        <f>[1]!SNLData("287",B49,"124459")</f>
        <v>General Electric Company (SNL Life Group)</v>
      </c>
    </row>
    <row r="50" spans="2:3" x14ac:dyDescent="0.25">
      <c r="B50" s="114" t="s">
        <v>186</v>
      </c>
      <c r="C50" t="str">
        <f>[1]!SNLData("287",B50,"124459")</f>
        <v>Genworth Financial, Inc. (SNL Life Group)</v>
      </c>
    </row>
    <row r="51" spans="2:3" x14ac:dyDescent="0.25">
      <c r="B51" s="114" t="s">
        <v>187</v>
      </c>
      <c r="C51" t="str">
        <f>[1]!SNLData("287",B51,"124459")</f>
        <v>Global Atlantic Financial Group Limited (SNL Life Group)</v>
      </c>
    </row>
    <row r="52" spans="2:3" x14ac:dyDescent="0.25">
      <c r="B52" s="114" t="s">
        <v>298</v>
      </c>
      <c r="C52" s="114" t="s">
        <v>188</v>
      </c>
    </row>
    <row r="53" spans="2:3" x14ac:dyDescent="0.25">
      <c r="B53" s="114" t="s">
        <v>189</v>
      </c>
      <c r="C53" t="str">
        <f>[1]!SNLData("287",B53,"124459")</f>
        <v>Guardian Life Insurance Company of America (SNL Life Group)</v>
      </c>
    </row>
    <row r="54" spans="2:3" x14ac:dyDescent="0.25">
      <c r="B54" s="114" t="s">
        <v>190</v>
      </c>
      <c r="C54" t="str">
        <f>[1]!SNLData("287",B54,"124459")</f>
        <v>Guggenheim Capital, LLC (SNL Life Group)</v>
      </c>
    </row>
    <row r="55" spans="2:3" x14ac:dyDescent="0.25">
      <c r="B55" s="114" t="s">
        <v>191</v>
      </c>
      <c r="C55" t="str">
        <f>[1]!SNLData("287",B55,"124459")</f>
        <v>Hanover Insurance Group, Inc. (SNL P&amp;C Group)</v>
      </c>
    </row>
    <row r="56" spans="2:3" x14ac:dyDescent="0.25">
      <c r="B56" s="114" t="s">
        <v>192</v>
      </c>
      <c r="C56" t="str">
        <f>[1]!SNLData("287",B56,"124459")</f>
        <v>Hartford Financial Services Group, Inc. (SNL Life Group)</v>
      </c>
    </row>
    <row r="57" spans="2:3" x14ac:dyDescent="0.25">
      <c r="B57" s="114" t="s">
        <v>193</v>
      </c>
      <c r="C57" t="str">
        <f>[1]!SNLData("287",B57,"124459")</f>
        <v>Hartford Financial Services Group, Inc. (SNL P&amp;C Group)</v>
      </c>
    </row>
    <row r="58" spans="2:3" x14ac:dyDescent="0.25">
      <c r="B58" s="114" t="s">
        <v>195</v>
      </c>
      <c r="C58" t="str">
        <f>[1]!SNLData("287",B58,"124459")</f>
        <v>Health Care Service Corporation, a Mutual Legal Reserve Company (SNL Health Group)</v>
      </c>
    </row>
    <row r="59" spans="2:3" x14ac:dyDescent="0.25">
      <c r="B59" s="114" t="s">
        <v>194</v>
      </c>
      <c r="C59" t="str">
        <f>[1]!SNLData("287",B59,"124459")</f>
        <v>Highmark Insurance Group (SNL Health Group)</v>
      </c>
    </row>
    <row r="60" spans="2:3" x14ac:dyDescent="0.25">
      <c r="B60" s="114" t="s">
        <v>196</v>
      </c>
      <c r="C60" t="str">
        <f>[1]!SNLData("287",B60,"124459")</f>
        <v>Horace Mann Educators Corporation (SNL Life Group)</v>
      </c>
    </row>
    <row r="61" spans="2:3" x14ac:dyDescent="0.25">
      <c r="B61" s="114" t="s">
        <v>197</v>
      </c>
      <c r="C61" t="str">
        <f>[1]!SNLData("287",B61,"124459")</f>
        <v>Humana Inc. (SNL Health Group)</v>
      </c>
    </row>
    <row r="62" spans="2:3" x14ac:dyDescent="0.25">
      <c r="B62" s="114" t="s">
        <v>198</v>
      </c>
      <c r="C62" t="str">
        <f>[1]!SNLData("287",B62,"124459")</f>
        <v>Jackson National Life Group (SNL Life Group)</v>
      </c>
    </row>
    <row r="63" spans="2:3" x14ac:dyDescent="0.25">
      <c r="B63" s="114" t="s">
        <v>199</v>
      </c>
      <c r="C63" t="str">
        <f>[1]!SNLData("287",B63,"124459")</f>
        <v>Liberty Life Assurance Company of Boston</v>
      </c>
    </row>
    <row r="64" spans="2:3" x14ac:dyDescent="0.25">
      <c r="B64" s="114" t="s">
        <v>200</v>
      </c>
      <c r="C64" t="str">
        <f>[1]!SNLData("287",B64,"124459")</f>
        <v>Liberty Mutual (SNL P&amp;C Group)</v>
      </c>
    </row>
    <row r="65" spans="2:3" x14ac:dyDescent="0.25">
      <c r="B65" s="114" t="s">
        <v>201</v>
      </c>
      <c r="C65" t="str">
        <f>[1]!SNLData("287",B65,"124459")</f>
        <v>Lincoln Benefit Life Company</v>
      </c>
    </row>
    <row r="66" spans="2:3" x14ac:dyDescent="0.25">
      <c r="B66" s="114" t="s">
        <v>203</v>
      </c>
      <c r="C66" t="str">
        <f>[1]!SNLData("287",B66,"124459")</f>
        <v>Lincoln National Corporation (SNL Life Group)</v>
      </c>
    </row>
    <row r="67" spans="2:3" x14ac:dyDescent="0.25">
      <c r="B67" s="114" t="s">
        <v>137</v>
      </c>
      <c r="C67" t="str">
        <f>[1]!SNLData("287",B67,"124459")</f>
        <v>Manulife Financial Corporation (SNL Life Group)</v>
      </c>
    </row>
    <row r="68" spans="2:3" x14ac:dyDescent="0.25">
      <c r="B68" s="114" t="s">
        <v>204</v>
      </c>
      <c r="C68" t="str">
        <f>[1]!SNLData("287",B68,"124459")</f>
        <v>Markel Corporation (SNL P&amp;C Group)</v>
      </c>
    </row>
    <row r="69" spans="2:3" x14ac:dyDescent="0.25">
      <c r="B69" s="114" t="s">
        <v>37</v>
      </c>
      <c r="C69" t="str">
        <f>[1]!SNLData("287",B69,"124459")</f>
        <v>Massachusetts Mutual Life Insurance Company (SNL Life Group)</v>
      </c>
    </row>
    <row r="70" spans="2:3" x14ac:dyDescent="0.25">
      <c r="B70" s="114" t="s">
        <v>205</v>
      </c>
      <c r="C70" t="str">
        <f>[1]!SNLData("287",B70,"124459")</f>
        <v>MBIA Inc. (SNL P&amp;C Group)</v>
      </c>
    </row>
    <row r="71" spans="2:3" x14ac:dyDescent="0.25">
      <c r="B71" s="114" t="s">
        <v>206</v>
      </c>
      <c r="C71" t="str">
        <f>[1]!SNLData("287",B71,"124459")</f>
        <v>Medical Liability Mutual Insurance Company</v>
      </c>
    </row>
    <row r="72" spans="2:3" x14ac:dyDescent="0.25">
      <c r="B72" s="114" t="s">
        <v>207</v>
      </c>
      <c r="C72" t="str">
        <f>[1]!SNLData("287",B72,"124459")</f>
        <v>Meiji Yasuda Life Insurance Company (SNL Life Group)</v>
      </c>
    </row>
    <row r="73" spans="2:3" x14ac:dyDescent="0.25">
      <c r="B73" s="114" t="s">
        <v>39</v>
      </c>
      <c r="C73" t="str">
        <f>[1]!SNLData("287",B73,"124459")</f>
        <v>MetLife, Inc. (SNL Life Group)</v>
      </c>
    </row>
    <row r="74" spans="2:3" x14ac:dyDescent="0.25">
      <c r="B74" s="114" t="s">
        <v>208</v>
      </c>
      <c r="C74" t="str">
        <f>[1]!SNLData("287",B74,"124459")</f>
        <v>Munich American Reassurance Company</v>
      </c>
    </row>
    <row r="75" spans="2:3" x14ac:dyDescent="0.25">
      <c r="B75" s="114" t="s">
        <v>209</v>
      </c>
      <c r="C75" t="str">
        <f>[1]!SNLData("287",B75,"124459")</f>
        <v>Munich-American Holding Corp. (SNL P&amp;C Group)</v>
      </c>
    </row>
    <row r="76" spans="2:3" x14ac:dyDescent="0.25">
      <c r="B76" s="114" t="s">
        <v>210</v>
      </c>
      <c r="C76" t="str">
        <f>[1]!SNLData("287",B76,"124459")</f>
        <v>Mutual of America Life Insurance Company</v>
      </c>
    </row>
    <row r="77" spans="2:3" x14ac:dyDescent="0.25">
      <c r="B77" s="114" t="s">
        <v>211</v>
      </c>
      <c r="C77" t="str">
        <f>[1]!SNLData("287",B77,"124459")</f>
        <v>Mutual of Omaha Insurance Company (SNL Life Group)</v>
      </c>
    </row>
    <row r="78" spans="2:3" x14ac:dyDescent="0.25">
      <c r="B78" s="114" t="s">
        <v>212</v>
      </c>
      <c r="C78" t="str">
        <f>[1]!SNLData("287",B78,"124459")</f>
        <v>Nassau Reinsurance Group Holdings L.P. (SNL Life Group)</v>
      </c>
    </row>
    <row r="79" spans="2:3" x14ac:dyDescent="0.25">
      <c r="B79" s="114" t="s">
        <v>213</v>
      </c>
      <c r="C79" t="str">
        <f>[1]!SNLData("287",B79,"124459")</f>
        <v>National Life Group (SNL Life Group)</v>
      </c>
    </row>
    <row r="80" spans="2:3" x14ac:dyDescent="0.25">
      <c r="B80" s="114" t="s">
        <v>214</v>
      </c>
      <c r="C80" t="str">
        <f>[1]!SNLData("287",B80,"124459")</f>
        <v>National Western Life Insurance Company</v>
      </c>
    </row>
    <row r="81" spans="2:3" x14ac:dyDescent="0.25">
      <c r="B81" s="114" t="s">
        <v>215</v>
      </c>
      <c r="C81" t="str">
        <f>[1]!SNLData("287",B81,"124459")</f>
        <v>Nationwide Mutual Group (SNL Life Group)</v>
      </c>
    </row>
    <row r="82" spans="2:3" x14ac:dyDescent="0.25">
      <c r="B82" s="114" t="s">
        <v>216</v>
      </c>
      <c r="C82" t="str">
        <f>[1]!SNLData("287",B82,"124459")</f>
        <v>Nationwide Mutual Group (SNL P&amp;C Group)</v>
      </c>
    </row>
    <row r="83" spans="2:3" x14ac:dyDescent="0.25">
      <c r="B83" s="114" t="s">
        <v>217</v>
      </c>
      <c r="C83" t="str">
        <f>[1]!SNLData("287",B83,"124459")</f>
        <v>New Jersey Manufacturers Insurance Company (SNL P&amp;C Group)</v>
      </c>
    </row>
    <row r="84" spans="2:3" x14ac:dyDescent="0.25">
      <c r="B84" s="114" t="s">
        <v>65</v>
      </c>
      <c r="C84" t="s">
        <v>40</v>
      </c>
    </row>
    <row r="85" spans="2:3" x14ac:dyDescent="0.25">
      <c r="B85" s="114" t="s">
        <v>42</v>
      </c>
      <c r="C85" t="str">
        <f>[1]!SNLData("287",B85,"124459")</f>
        <v>Northwestern Mutual Life Insurance Company (SNL Life Group)</v>
      </c>
    </row>
    <row r="86" spans="2:3" x14ac:dyDescent="0.25">
      <c r="B86" s="114" t="s">
        <v>218</v>
      </c>
      <c r="C86" t="str">
        <f>[1]!SNLData("287",B86,"124459")</f>
        <v>Ohio National Mutual Holdings, Inc. (SNL Life Group)</v>
      </c>
    </row>
    <row r="87" spans="2:3" x14ac:dyDescent="0.25">
      <c r="B87" s="114" t="s">
        <v>219</v>
      </c>
      <c r="C87" t="str">
        <f>[1]!SNLData("287",B87,"124459")</f>
        <v>Old Republic International Corporation (SNL P&amp;C Group)</v>
      </c>
    </row>
    <row r="88" spans="2:3" x14ac:dyDescent="0.25">
      <c r="B88" s="114" t="s">
        <v>220</v>
      </c>
      <c r="C88" t="str">
        <f>[1]!SNLData("287",B88,"124459")</f>
        <v>OneAmerica Financial Partners, Inc. (SNL Life Group)</v>
      </c>
    </row>
    <row r="89" spans="2:3" x14ac:dyDescent="0.25">
      <c r="B89" s="114" t="s">
        <v>221</v>
      </c>
      <c r="C89" t="str">
        <f>[1]!SNLData("287",B89,"124459")</f>
        <v>Pacific Mutual Holding Company (SNL Life Group)</v>
      </c>
    </row>
    <row r="90" spans="2:3" x14ac:dyDescent="0.25">
      <c r="B90" s="116" t="s">
        <v>222</v>
      </c>
      <c r="C90" t="str">
        <f>[1]!SNLData("287",B90,"124459")</f>
        <v>Penn Mutual Life Insurance Company (SNL Life Group)</v>
      </c>
    </row>
    <row r="91" spans="2:3" x14ac:dyDescent="0.25">
      <c r="B91" s="116" t="s">
        <v>223</v>
      </c>
      <c r="C91" t="str">
        <f>[1]!SNLData("287",B91,"124459")</f>
        <v>Principal Financial Group, Inc. (SNL Life Group)</v>
      </c>
    </row>
    <row r="92" spans="2:3" x14ac:dyDescent="0.25">
      <c r="B92" s="114" t="s">
        <v>224</v>
      </c>
      <c r="C92" t="str">
        <f>[1]!SNLData("287",B92,"124459")</f>
        <v>Progressive Corporation (SNL P&amp;C Group)</v>
      </c>
    </row>
    <row r="93" spans="2:3" x14ac:dyDescent="0.25">
      <c r="B93" s="116" t="s">
        <v>44</v>
      </c>
      <c r="C93" t="str">
        <f>[1]!SNLData("287",B93,"124459")</f>
        <v>Prudential Financial, Inc. (SNL Life Group)</v>
      </c>
    </row>
    <row r="94" spans="2:3" x14ac:dyDescent="0.25">
      <c r="B94" s="116" t="s">
        <v>225</v>
      </c>
      <c r="C94" t="str">
        <f>[1]!SNLData("287",B94,"124459")</f>
        <v>Reinsurance Group of America, Incorporated (SNL Life Group)</v>
      </c>
    </row>
    <row r="95" spans="2:3" x14ac:dyDescent="0.25">
      <c r="B95" s="116" t="s">
        <v>226</v>
      </c>
      <c r="C95" t="str">
        <f>[1]!SNLData("287",B95,"124459")</f>
        <v>Sammons Enterprises, Inc. (SNL Life Group)</v>
      </c>
    </row>
    <row r="96" spans="2:3" x14ac:dyDescent="0.25">
      <c r="B96" s="116" t="s">
        <v>227</v>
      </c>
      <c r="C96" t="str">
        <f>[1]!SNLData("287",B96,"124459")</f>
        <v>Securian Financial Group (SNL Life Group)</v>
      </c>
    </row>
    <row r="97" spans="2:3" x14ac:dyDescent="0.25">
      <c r="B97" s="114" t="s">
        <v>228</v>
      </c>
      <c r="C97" t="str">
        <f>[1]!SNLData("287",B97,"124459")</f>
        <v>Sentry Insurance a Mutual Company (SNL P&amp;C Group)</v>
      </c>
    </row>
    <row r="98" spans="2:3" x14ac:dyDescent="0.25">
      <c r="B98" s="116" t="s">
        <v>229</v>
      </c>
      <c r="C98" t="str">
        <f>[1]!SNLData("287",B98,"124459")</f>
        <v>Southern Farm Bureau Life Insurance Company</v>
      </c>
    </row>
    <row r="99" spans="2:3" x14ac:dyDescent="0.25">
      <c r="B99" s="114" t="s">
        <v>230</v>
      </c>
      <c r="C99" t="str">
        <f>[1]!SNLData("287",B99,"124459")</f>
        <v>State Compensation Insurance Fund</v>
      </c>
    </row>
    <row r="100" spans="2:3" x14ac:dyDescent="0.25">
      <c r="B100" s="116" t="s">
        <v>231</v>
      </c>
      <c r="C100" t="str">
        <f>[1]!SNLData("287",B100,"124459")</f>
        <v>State Farm Mutual Automobile Insurance Company (SNL Life Group)</v>
      </c>
    </row>
    <row r="101" spans="2:3" x14ac:dyDescent="0.25">
      <c r="B101" s="114" t="s">
        <v>45</v>
      </c>
      <c r="C101" t="str">
        <f>[1]!SNLData("287",B101,"124459")</f>
        <v>State Farm Mutual Automobile Insurance Company (SNL P&amp;C Group)</v>
      </c>
    </row>
    <row r="102" spans="2:3" x14ac:dyDescent="0.25">
      <c r="B102" s="116" t="s">
        <v>232</v>
      </c>
      <c r="C102" t="str">
        <f>[1]!SNLData("287",B102,"124459")</f>
        <v>Sumitomo Life Insurance Company (SNL Life Group)</v>
      </c>
    </row>
    <row r="103" spans="2:3" x14ac:dyDescent="0.25">
      <c r="B103" s="116" t="s">
        <v>233</v>
      </c>
      <c r="C103" t="str">
        <f>[1]!SNLData("287",B103,"124459")</f>
        <v>Sun Life Financial Inc. (SNL Life Group)</v>
      </c>
    </row>
    <row r="104" spans="2:3" x14ac:dyDescent="0.25">
      <c r="B104" s="116" t="s">
        <v>234</v>
      </c>
      <c r="C104" t="str">
        <f>[1]!SNLData("287",B104,"124459")</f>
        <v>Swiss Re Life &amp; Health America Inc.</v>
      </c>
    </row>
    <row r="105" spans="2:3" x14ac:dyDescent="0.25">
      <c r="B105" s="114" t="s">
        <v>235</v>
      </c>
      <c r="C105" t="str">
        <f>[1]!SNLData("287",B105,"124459")</f>
        <v>Swiss Re Limited (SNL P&amp;C Group)</v>
      </c>
    </row>
    <row r="106" spans="2:3" x14ac:dyDescent="0.25">
      <c r="B106" s="114" t="s">
        <v>236</v>
      </c>
      <c r="C106" t="str">
        <f>[1]!SNLData("287",B106,"124459")</f>
        <v>Texas Mutual Insurance Company</v>
      </c>
    </row>
    <row r="107" spans="2:3" x14ac:dyDescent="0.25">
      <c r="B107" s="116" t="s">
        <v>47</v>
      </c>
      <c r="C107" t="str">
        <f>[1]!SNLData("287",B107,"124459")</f>
        <v>TIAA (SNL Life Group)</v>
      </c>
    </row>
    <row r="108" spans="2:3" x14ac:dyDescent="0.25">
      <c r="B108" s="116" t="s">
        <v>237</v>
      </c>
      <c r="C108" t="str">
        <f>[1]!SNLData("287",B108,"124459")</f>
        <v>Tokio Marine Group (SNL Life Group)</v>
      </c>
    </row>
    <row r="109" spans="2:3" x14ac:dyDescent="0.25">
      <c r="B109" s="114" t="s">
        <v>238</v>
      </c>
      <c r="C109" t="str">
        <f>[1]!SNLData("287",B109,"124459")</f>
        <v>Tokio Marine Group (SNL P&amp;C Group)</v>
      </c>
    </row>
    <row r="110" spans="2:3" x14ac:dyDescent="0.25">
      <c r="B110" s="116" t="s">
        <v>239</v>
      </c>
      <c r="C110" t="str">
        <f>[1]!SNLData("287",B110,"124459")</f>
        <v>Torchmark Corporation (SNL Life Group)</v>
      </c>
    </row>
    <row r="111" spans="2:3" x14ac:dyDescent="0.25">
      <c r="B111" s="114" t="s">
        <v>240</v>
      </c>
      <c r="C111" t="str">
        <f>[1]!SNLData("287",B111,"124459")</f>
        <v>Travelers Companies, Inc. (SNL P&amp;C Group)</v>
      </c>
    </row>
    <row r="112" spans="2:3" x14ac:dyDescent="0.25">
      <c r="B112" s="114" t="s">
        <v>241</v>
      </c>
      <c r="C112" t="str">
        <f>[1]!SNLData("287",B112,"124459")</f>
        <v>UnitedHealth Group Incorporated (SNL Health Group)</v>
      </c>
    </row>
    <row r="113" spans="2:3" x14ac:dyDescent="0.25">
      <c r="B113" s="116" t="s">
        <v>242</v>
      </c>
      <c r="C113" t="str">
        <f>[1]!SNLData("287",B113,"124459")</f>
        <v>UnitedHealth Group Incorporated (SNL Life Group)</v>
      </c>
    </row>
    <row r="114" spans="2:3" x14ac:dyDescent="0.25">
      <c r="B114" s="116" t="s">
        <v>243</v>
      </c>
      <c r="C114" t="str">
        <f>[1]!SNLData("287",B114,"124459")</f>
        <v>Unum Group (SNL Life Group)</v>
      </c>
    </row>
    <row r="115" spans="2:3" x14ac:dyDescent="0.25">
      <c r="B115" s="116" t="s">
        <v>297</v>
      </c>
      <c r="C115" s="115" t="s">
        <v>294</v>
      </c>
    </row>
    <row r="116" spans="2:3" x14ac:dyDescent="0.25">
      <c r="B116" s="114" t="s">
        <v>296</v>
      </c>
      <c r="C116" s="115" t="s">
        <v>295</v>
      </c>
    </row>
    <row r="117" spans="2:3" x14ac:dyDescent="0.25">
      <c r="B117" s="116" t="s">
        <v>244</v>
      </c>
      <c r="C117" t="str">
        <f>[1]!SNLData("287",B117,"124459")</f>
        <v>Voya Financial, Inc. (SNL Life Group)</v>
      </c>
    </row>
    <row r="118" spans="2:3" x14ac:dyDescent="0.25">
      <c r="B118" s="114" t="s">
        <v>245</v>
      </c>
      <c r="C118" t="str">
        <f>[1]!SNLData("287",B118,"124459")</f>
        <v>W. R. Berkley Corporation (SNL P&amp;C Group)</v>
      </c>
    </row>
    <row r="119" spans="2:3" x14ac:dyDescent="0.25">
      <c r="B119" s="116" t="s">
        <v>246</v>
      </c>
      <c r="C119" t="str">
        <f>[1]!SNLData("287",B119,"124459")</f>
        <v>Western &amp; Southern Financial Group, Inc. (MHC) (SNL Life Group)</v>
      </c>
    </row>
    <row r="120" spans="2:3" x14ac:dyDescent="0.25">
      <c r="B120" s="114" t="s">
        <v>247</v>
      </c>
      <c r="C120" t="str">
        <f>[1]!SNLData("287",B120,"124459")</f>
        <v>XL Group Ltd (SNL P&amp;C Group)</v>
      </c>
    </row>
    <row r="121" spans="2:3" x14ac:dyDescent="0.25">
      <c r="B121" s="116" t="s">
        <v>248</v>
      </c>
      <c r="C121" t="str">
        <f>[1]!SNLData("287",B121,"124459")</f>
        <v>Zurich Insurance Group Ltd. (SNL Life Group)</v>
      </c>
    </row>
    <row r="122" spans="2:3" x14ac:dyDescent="0.25">
      <c r="B122" s="114" t="s">
        <v>249</v>
      </c>
      <c r="C122" t="str">
        <f>[1]!SNLData("287",B122,"124459")</f>
        <v>Zurich Insurance Group Ltd. (SNL P&amp;C Group)</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C23"/>
  <sheetViews>
    <sheetView workbookViewId="0">
      <selection activeCell="B2" sqref="B2"/>
    </sheetView>
  </sheetViews>
  <sheetFormatPr defaultRowHeight="15" x14ac:dyDescent="0.25"/>
  <sheetData>
    <row r="1" spans="2:3" x14ac:dyDescent="0.25">
      <c r="B1" t="s">
        <v>215</v>
      </c>
    </row>
    <row r="3" spans="2:3" x14ac:dyDescent="0.25">
      <c r="B3" s="114" t="s">
        <v>139</v>
      </c>
      <c r="C3" t="str">
        <f>[1]!SNLData("287",B3,"124459")</f>
        <v>AEGON N.V. (SNL Life Group)</v>
      </c>
    </row>
    <row r="4" spans="2:3" x14ac:dyDescent="0.25">
      <c r="B4" s="114" t="s">
        <v>140</v>
      </c>
      <c r="C4" t="str">
        <f>[1]!SNLData("287",B4,"124459")</f>
        <v>Aetna Inc. (SNL Health Group)</v>
      </c>
    </row>
    <row r="5" spans="2:3" x14ac:dyDescent="0.25">
      <c r="B5" s="114" t="s">
        <v>141</v>
      </c>
      <c r="C5" t="str">
        <f>[1]!SNLData("287",B5,"124459")</f>
        <v>Aetna Inc. (SNL Life Group)</v>
      </c>
    </row>
    <row r="6" spans="2:3" x14ac:dyDescent="0.25">
      <c r="B6" s="114" t="s">
        <v>135</v>
      </c>
      <c r="C6" t="str">
        <f>[1]!SNLData("287",B6,"124459")</f>
        <v>Aflac Incorporated (SNL Life Group)</v>
      </c>
    </row>
    <row r="7" spans="2:3" x14ac:dyDescent="0.25">
      <c r="B7" t="s">
        <v>142</v>
      </c>
      <c r="C7" t="s">
        <v>311</v>
      </c>
    </row>
    <row r="12" spans="2:3" x14ac:dyDescent="0.25">
      <c r="B12" s="114"/>
    </row>
    <row r="13" spans="2:3" x14ac:dyDescent="0.25">
      <c r="B13" s="114"/>
    </row>
    <row r="14" spans="2:3" x14ac:dyDescent="0.25">
      <c r="B14" s="114"/>
    </row>
    <row r="15" spans="2:3" x14ac:dyDescent="0.25">
      <c r="B15" s="114"/>
    </row>
    <row r="16" spans="2:3" x14ac:dyDescent="0.25">
      <c r="B16" s="114"/>
    </row>
    <row r="17" spans="2:2" x14ac:dyDescent="0.25">
      <c r="B17" s="114"/>
    </row>
    <row r="18" spans="2:2" x14ac:dyDescent="0.25">
      <c r="B18" s="114"/>
    </row>
    <row r="19" spans="2:2" x14ac:dyDescent="0.25">
      <c r="B19" s="114"/>
    </row>
    <row r="20" spans="2:2" x14ac:dyDescent="0.25">
      <c r="B20" s="114"/>
    </row>
    <row r="21" spans="2:2" x14ac:dyDescent="0.25">
      <c r="B21" s="114"/>
    </row>
    <row r="22" spans="2:2" x14ac:dyDescent="0.25">
      <c r="B22" s="114"/>
    </row>
    <row r="23" spans="2:2" x14ac:dyDescent="0.25">
      <c r="B23" s="1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P2"/>
  <sheetViews>
    <sheetView workbookViewId="0">
      <selection activeCell="E23" sqref="E23"/>
    </sheetView>
  </sheetViews>
  <sheetFormatPr defaultRowHeight="15" x14ac:dyDescent="0.25"/>
  <cols>
    <col min="1" max="199" width="16.75" customWidth="1"/>
  </cols>
  <sheetData>
    <row r="1" spans="1:276" x14ac:dyDescent="0.25">
      <c r="A1" t="str">
        <f ca="1">Financials!$N$4&amp;" - "&amp;SUBSTITUTE(SUBSTITUTE(SUBSTITUTE(SUBSTITUTE(SUBSTITUTE(Financials!B49," (%)","")," ($000)",""),"Adm ",""),"Short Term","ST"),"Admitted ","")</f>
        <v>2015Y - Net Derivatives</v>
      </c>
      <c r="B1" t="str">
        <f ca="1">Financials!$N$4&amp;" - "&amp;SUBSTITUTE(SUBSTITUTE(SUBSTITUTE(SUBSTITUTE(SUBSTITUTE(Financials!B50," (%)","")," ($000)",""),"Adm ",""),"Short Term","ST"),"Admitted ","")</f>
        <v>2015Y - Net Bonds</v>
      </c>
      <c r="C1" t="str">
        <f ca="1">Financials!$N$4&amp;" - "&amp;"US Federal Government Bonds"</f>
        <v>2015Y - US Federal Government Bonds</v>
      </c>
      <c r="D1" t="str">
        <f ca="1">Financials!$N$4&amp;" - "&amp;"Foreign Government Bonds"</f>
        <v>2015Y - Foreign Government Bonds</v>
      </c>
      <c r="E1" t="str">
        <f ca="1">Financials!$N$4&amp;" - "&amp;"Government Agency Bonds"</f>
        <v>2015Y - Government Agency Bonds</v>
      </c>
      <c r="F1" t="str">
        <f ca="1">Financials!$N$4&amp;" - "&amp;"Corporate Bonds"</f>
        <v>2015Y - Corporate Bonds</v>
      </c>
      <c r="G1" t="str">
        <f ca="1">Financials!$N$4&amp;" - "&amp;"Corporate IG Bonds"</f>
        <v>2015Y - Corporate IG Bonds</v>
      </c>
      <c r="H1" t="str">
        <f ca="1">Financials!$N$4&amp;" - "&amp;"Corporate HY Bonds"</f>
        <v>2015Y - Corporate HY Bonds</v>
      </c>
      <c r="I1" t="str">
        <f ca="1">Financials!$N$4&amp;" - "&amp;"Municipal Bonds"</f>
        <v>2015Y - Municipal Bonds</v>
      </c>
      <c r="J1" t="str">
        <f ca="1">Financials!$N$4&amp;" - "&amp;"Municipal IG Bonds"</f>
        <v>2015Y - Municipal IG Bonds</v>
      </c>
      <c r="K1" t="str">
        <f ca="1">Financials!$N$4&amp;" - "&amp;"Municipal HY Bonds"</f>
        <v>2015Y - Municipal HY Bonds</v>
      </c>
      <c r="L1" t="str">
        <f ca="1">Financials!$N$4&amp;" - "&amp;"Credit Tenant Bonds"</f>
        <v>2015Y - Credit Tenant Bonds</v>
      </c>
      <c r="M1" t="str">
        <f ca="1">Financials!$N$4&amp;" - "&amp;"Hybrid Securities"</f>
        <v>2015Y - Hybrid Securities</v>
      </c>
      <c r="N1" t="str">
        <f ca="1">Financials!$N$4&amp;" - "&amp;"Affiliated Bonds"</f>
        <v>2015Y - Affiliated Bonds</v>
      </c>
      <c r="O1" t="str">
        <f ca="1">Financials!$N$4&amp;" - "&amp;"Total IG Bonds"</f>
        <v>2015Y - Total IG Bonds</v>
      </c>
      <c r="P1" t="str">
        <f ca="1">Financials!$N$4&amp;" - "&amp;"Total HY Bonds"</f>
        <v>2015Y - Total HY Bonds</v>
      </c>
      <c r="Q1" t="str">
        <f ca="1">Financials!$N$4&amp;" - "&amp;SUBSTITUTE(SUBSTITUTE(SUBSTITUTE(SUBSTITUTE(SUBSTITUTE(Financials!B51," (%)","")," ($000)",""),"Adm ",""),"Short Term","ST"),"Admitted ","")</f>
        <v>2015Y - Net Stock</v>
      </c>
      <c r="R1" t="str">
        <f ca="1">Financials!$N$4&amp;" - "&amp;SUBSTITUTE(SUBSTITUTE(SUBSTITUTE(SUBSTITUTE(SUBSTITUTE(Financials!B52," (%)","")," ($000)",""),"Adm ",""),"Short Term","ST"),"Admitted ","")</f>
        <v>2015Y - Net Preferred Stock</v>
      </c>
      <c r="S1" t="str">
        <f ca="1">Financials!$N$4&amp;" - "&amp;SUBSTITUTE(SUBSTITUTE(SUBSTITUTE(SUBSTITUTE(SUBSTITUTE(Financials!B53," (%)","")," ($000)",""),"Adm ",""),"Short Term","ST"),"Admitted ","")</f>
        <v>2015Y - Net Common Stock</v>
      </c>
      <c r="T1" t="str">
        <f ca="1">Financials!$N$4&amp;" - "&amp;SUBSTITUTE(SUBSTITUTE(SUBSTITUTE(SUBSTITUTE(SUBSTITUTE(Financials!B54," (%)","")," ($000)",""),"Adm ",""),"Short Term","ST"),"Admitted ","")</f>
        <v>2015Y - Net Real Estate</v>
      </c>
      <c r="U1" t="str">
        <f ca="1">Financials!$N$4&amp;" - "&amp;SUBSTITUTE(SUBSTITUTE(SUBSTITUTE(SUBSTITUTE(SUBSTITUTE(SUBSTITUTE(Financials!B55," (%)","")," ($000)",""),"Adm ",""),"Short Term","ST"),"Admitted ",""),"Real Estate","RE")</f>
        <v>2015Y - Net First Lien RE Loans</v>
      </c>
      <c r="V1" t="str">
        <f ca="1">Financials!$N$4&amp;" - "&amp;SUBSTITUTE(SUBSTITUTE(SUBSTITUTE(SUBSTITUTE(SUBSTITUTE(SUBSTITUTE(SUBSTITUTE(Financials!B56," (%)","")," ($000)",""),"Adm ",""),"Short Term","ST"),"Admitted ",""),"First","1st"),"Real Estate","RE")</f>
        <v>2015Y - Net RE Loans Less 1st Liens</v>
      </c>
      <c r="W1" t="str">
        <f ca="1">Financials!$N$4&amp;" - "&amp;SUBSTITUTE(SUBSTITUTE(SUBSTITUTE(SUBSTITUTE(SUBSTITUTE(Financials!B57," (%)","")," ($000)",""),"Adm ",""),"Short Term","ST"),"Admitted ","")</f>
        <v>2015Y - Net Occupied Properties</v>
      </c>
      <c r="X1" t="str">
        <f ca="1">Financials!$N$4&amp;" - "&amp;SUBSTITUTE(SUBSTITUTE(SUBSTITUTE(SUBSTITUTE(SUBSTITUTE(Financials!B58," (%)","")," ($000)",""),"Adm ",""),"Short Term","ST"),"Admitted ","")</f>
        <v>2015Y - Net Income Generating Properties</v>
      </c>
      <c r="Y1" t="str">
        <f ca="1">Financials!$N$4&amp;" - "&amp;SUBSTITUTE(SUBSTITUTE(SUBSTITUTE(SUBSTITUTE(SUBSTITUTE(Financials!B59," (%)","")," ($000)",""),"Adm ",""),"Short Term","ST"),"Admitted ","")</f>
        <v>2015Y - Net Properties for Sale</v>
      </c>
      <c r="Z1" t="str">
        <f ca="1">Financials!$N$4&amp;" - "&amp;"Net Cash, Cash Equiv &amp; ST"</f>
        <v>2015Y - Net Cash, Cash Equiv &amp; ST</v>
      </c>
      <c r="AA1" t="str">
        <f ca="1">Financials!$N$4&amp;" - "&amp;SUBSTITUTE(SUBSTITUTE(SUBSTITUTE(SUBSTITUTE(SUBSTITUTE(Financials!B61," (%)","")," ($000)",""),"Adm ",""),"Short Term","ST"),"Admitted ","")</f>
        <v>2015Y - Net Other Investments</v>
      </c>
      <c r="AB1" t="str">
        <f ca="1">Financials!$N$4&amp;" - "&amp;SUBSTITUTE(SUBSTITUTE(SUBSTITUTE(SUBSTITUTE(SUBSTITUTE(Financials!B62," (%)","")," ($000)",""),"Adm ",""),"Short Term","ST"),"Admitted ","")</f>
        <v>2015Y - Net Cash &amp; Invested Assets</v>
      </c>
      <c r="AC1" t="str">
        <f ca="1">Financials!$O$4&amp;" - "&amp;SUBSTITUTE(SUBSTITUTE(SUBSTITUTE(SUBSTITUTE(SUBSTITUTE(Financials!B49," (%)","")," ($000)",""),"Adm ",""),"Short Term","ST"),"Admitted ","")</f>
        <v>2015Y
% Chg - Net Derivatives</v>
      </c>
      <c r="AD1" t="str">
        <f ca="1">Financials!$O$4&amp;" - "&amp;SUBSTITUTE(SUBSTITUTE(SUBSTITUTE(SUBSTITUTE(SUBSTITUTE(Financials!B50," (%)","")," ($000)",""),"Adm ",""),"Short Term","ST"),"Admitted ","")</f>
        <v>2015Y
% Chg - Net Bonds</v>
      </c>
      <c r="AE1" t="str">
        <f ca="1">Financials!$O$4&amp;" - "&amp;"US Federal Government Bonds"</f>
        <v>2015Y
% Chg - US Federal Government Bonds</v>
      </c>
      <c r="AF1" t="str">
        <f ca="1">Financials!$O$4&amp;" - "&amp;"Foreign Government Bonds"</f>
        <v>2015Y
% Chg - Foreign Government Bonds</v>
      </c>
      <c r="AG1" t="str">
        <f ca="1">Financials!$O$4&amp;" - "&amp;"Government Agency Bonds"</f>
        <v>2015Y
% Chg - Government Agency Bonds</v>
      </c>
      <c r="AH1" t="str">
        <f ca="1">Financials!$O$4&amp;" - "&amp;"Corporate Bonds"</f>
        <v>2015Y
% Chg - Corporate Bonds</v>
      </c>
      <c r="AI1" t="str">
        <f ca="1">Financials!$O$4&amp;" - "&amp;"Corporate IG Bonds"</f>
        <v>2015Y
% Chg - Corporate IG Bonds</v>
      </c>
      <c r="AJ1" t="str">
        <f ca="1">Financials!$O$4&amp;" - "&amp;"Corporate HY Bonds"</f>
        <v>2015Y
% Chg - Corporate HY Bonds</v>
      </c>
      <c r="AK1" t="str">
        <f ca="1">Financials!$O$4&amp;" - "&amp;"Municipal Bonds"</f>
        <v>2015Y
% Chg - Municipal Bonds</v>
      </c>
      <c r="AL1" t="str">
        <f ca="1">Financials!$O$4&amp;" - "&amp;"Municipal IG Bonds"</f>
        <v>2015Y
% Chg - Municipal IG Bonds</v>
      </c>
      <c r="AM1" t="str">
        <f ca="1">Financials!$O$4&amp;" - "&amp;"Municipal HY Bonds"</f>
        <v>2015Y
% Chg - Municipal HY Bonds</v>
      </c>
      <c r="AN1" t="str">
        <f ca="1">Financials!$O$4&amp;" - "&amp;"Credit Tenant Bonds"</f>
        <v>2015Y
% Chg - Credit Tenant Bonds</v>
      </c>
      <c r="AO1" t="str">
        <f ca="1">Financials!$O$4&amp;" - "&amp;"Hybrid Securities"</f>
        <v>2015Y
% Chg - Hybrid Securities</v>
      </c>
      <c r="AP1" t="str">
        <f ca="1">Financials!$O$4&amp;" - "&amp;"Affiliated Bonds"</f>
        <v>2015Y
% Chg - Affiliated Bonds</v>
      </c>
      <c r="AQ1" t="str">
        <f ca="1">Financials!$O$4&amp;" - "&amp;"Total IG Bonds"</f>
        <v>2015Y
% Chg - Total IG Bonds</v>
      </c>
      <c r="AR1" t="str">
        <f ca="1">Financials!$O$4&amp;" - "&amp;"Total HY Bonds"</f>
        <v>2015Y
% Chg - Total HY Bonds</v>
      </c>
      <c r="AS1" t="str">
        <f ca="1">Financials!$O$4&amp;" - "&amp;SUBSTITUTE(SUBSTITUTE(SUBSTITUTE(SUBSTITUTE(SUBSTITUTE(Financials!B51," (%)","")," ($000)",""),"Adm ",""),"Short Term","ST"),"Admitted ","")</f>
        <v>2015Y
% Chg - Net Stock</v>
      </c>
      <c r="AT1" t="str">
        <f ca="1">Financials!$O$4&amp;" - "&amp;SUBSTITUTE(SUBSTITUTE(SUBSTITUTE(SUBSTITUTE(SUBSTITUTE(Financials!B52," (%)","")," ($000)",""),"Adm ",""),"Short Term","ST"),"Admitted ","")</f>
        <v>2015Y
% Chg - Net Preferred Stock</v>
      </c>
      <c r="AU1" t="str">
        <f ca="1">Financials!$O$4&amp;" - "&amp;SUBSTITUTE(SUBSTITUTE(SUBSTITUTE(SUBSTITUTE(SUBSTITUTE(Financials!B53," (%)","")," ($000)",""),"Adm ",""),"Short Term","ST"),"Admitted ","")</f>
        <v>2015Y
% Chg - Net Common Stock</v>
      </c>
      <c r="AV1" t="str">
        <f ca="1">Financials!$O$4&amp;" - "&amp;SUBSTITUTE(SUBSTITUTE(SUBSTITUTE(SUBSTITUTE(SUBSTITUTE(Financials!B54," (%)","")," ($000)",""),"Adm ",""),"Short Term","ST"),"Admitted ","")</f>
        <v>2015Y
% Chg - Net Real Estate</v>
      </c>
      <c r="AW1" t="str">
        <f ca="1">Financials!$O$4&amp;" - "&amp;SUBSTITUTE(SUBSTITUTE(SUBSTITUTE(SUBSTITUTE(SUBSTITUTE(SUBSTITUTE(Financials!B55," (%)","")," ($000)",""),"Adm ",""),"Short Term","ST"),"Admitted ",""),"Real Estate","RE")</f>
        <v>2015Y
% Chg - Net First Lien RE Loans</v>
      </c>
      <c r="AX1" t="str">
        <f ca="1">Financials!$O$4&amp;" - "&amp;SUBSTITUTE(SUBSTITUTE(SUBSTITUTE(SUBSTITUTE(SUBSTITUTE(SUBSTITUTE(SUBSTITUTE(Financials!B56," (%)","")," ($000)",""),"Adm ",""),"Short Term","ST"),"Admitted ",""),"First","1st"),"Real Estate","RE")</f>
        <v>2015Y
% Chg - Net RE Loans Less 1st Liens</v>
      </c>
      <c r="AY1" t="str">
        <f ca="1">Financials!$O$4&amp;" - "&amp;SUBSTITUTE(SUBSTITUTE(SUBSTITUTE(SUBSTITUTE(SUBSTITUTE(Financials!B57," (%)","")," ($000)",""),"Adm ",""),"Short Term","ST"),"Admitted ","")</f>
        <v>2015Y
% Chg - Net Occupied Properties</v>
      </c>
      <c r="AZ1" t="str">
        <f ca="1">Financials!$O$4&amp;" - "&amp;SUBSTITUTE(SUBSTITUTE(SUBSTITUTE(SUBSTITUTE(SUBSTITUTE(Financials!B58," (%)","")," ($000)",""),"Adm ",""),"Short Term","ST"),"Admitted ","")</f>
        <v>2015Y
% Chg - Net Income Generating Properties</v>
      </c>
      <c r="BA1" t="str">
        <f ca="1">Financials!$O$4&amp;" - "&amp;SUBSTITUTE(SUBSTITUTE(SUBSTITUTE(SUBSTITUTE(SUBSTITUTE(Financials!B59," (%)","")," ($000)",""),"Adm ",""),"Short Term","ST"),"Admitted ","")</f>
        <v>2015Y
% Chg - Net Properties for Sale</v>
      </c>
      <c r="BB1" t="str">
        <f ca="1">Financials!$O$4&amp;" - "&amp;"Net Cash, Cash Equiv &amp; ST"</f>
        <v>2015Y
% Chg - Net Cash, Cash Equiv &amp; ST</v>
      </c>
      <c r="BC1" t="str">
        <f ca="1">Financials!$O$4&amp;" - "&amp;SUBSTITUTE(SUBSTITUTE(SUBSTITUTE(SUBSTITUTE(SUBSTITUTE(Financials!B61," (%)","")," ($000)",""),"Adm ",""),"Short Term","ST"),"Admitted ","")</f>
        <v>2015Y
% Chg - Net Other Investments</v>
      </c>
      <c r="BD1" t="str">
        <f ca="1">Financials!$O$4&amp;" - "&amp;SUBSTITUTE(SUBSTITUTE(SUBSTITUTE(SUBSTITUTE(SUBSTITUTE(Financials!B62," (%)","")," ($000)",""),"Adm ",""),"Short Term","ST"),"Admitted ","")</f>
        <v>2015Y
%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2015Y - Total Unaffiliated</v>
      </c>
      <c r="CH1" t="str">
        <f ca="1">Financials!$N$4&amp;" - "&amp;SUBSTITUTE(SchBA!C5,"Unaff: ","")</f>
        <v>2015Y - Oil &amp; Gas Production</v>
      </c>
      <c r="CI1" t="str">
        <f ca="1">Financials!$N$4&amp;" - "&amp;SUBSTITUTE(SchBA!C6,"Unaff: ","")</f>
        <v>2015Y - Transport Equip</v>
      </c>
      <c r="CJ1" t="str">
        <f ca="1">Financials!$N$4&amp;" - "&amp;SUBSTITUTE(SchBA!C7,"Unaff: ","")</f>
        <v>2015Y - Mineral Rights</v>
      </c>
      <c r="CK1" t="str">
        <f ca="1">Financials!$N$4&amp;" - "&amp;SUBSTITUTE(SchBA!C8,"Unaff: ","")</f>
        <v>2015Y - Fix/Var: Bonds</v>
      </c>
      <c r="CL1" t="str">
        <f ca="1">Financials!$N$4&amp;" - "&amp;SUBSTITUTE(SchBA!C9,"Unaff: ","")</f>
        <v>2015Y - Fix/Var: Mrtg Fund</v>
      </c>
      <c r="CM1" t="str">
        <f ca="1">Financials!$N$4&amp;" - "&amp;SUBSTITUTE(SchBA!C10,"Unaff: ","")</f>
        <v>2015Y - Fix/Var: Oth Fix Inc</v>
      </c>
      <c r="CN1" t="str">
        <f ca="1">Financials!$N$4&amp;" - "&amp;SUBSTITUTE(SchBA!C11,"Unaff: ","")</f>
        <v>2015Y - JV, LLCs: Fix Income</v>
      </c>
      <c r="CO1" t="str">
        <f ca="1">Financials!$N$4&amp;" - "&amp;SUBSTITUTE(SchBA!C12,"Unaff: ","")</f>
        <v>2015Y - JV, LLCs: Common Stock</v>
      </c>
      <c r="CP1" t="str">
        <f ca="1">Financials!$N$4&amp;" - "&amp;SUBSTITUTE(SchBA!C13,"Unaff: ","")</f>
        <v>2015Y - JV, LLCs: Real Estate</v>
      </c>
      <c r="CQ1" t="str">
        <f ca="1">Financials!$N$4&amp;" - "&amp;SUBSTITUTE(SchBA!C14,"Unaff: ","")</f>
        <v>2015Y - JV LLCs: Mrtg Loans</v>
      </c>
      <c r="CR1" t="str">
        <f ca="1">Financials!$N$4&amp;" - "&amp;SUBSTITUTE(SchBA!C15,"Unaff: ","")</f>
        <v>2015Y - JV, LLCs: Other</v>
      </c>
      <c r="CS1" t="str">
        <f ca="1">Financials!$N$4&amp;" - "&amp;SUBSTITUTE(SchBA!C16,"Unaff: ","")</f>
        <v>2015Y - Surplus Debentures</v>
      </c>
      <c r="CT1" t="str">
        <f ca="1">Financials!$N$4&amp;" - "&amp;SUBSTITUTE(SchBA!C17,"Unaff: ","")</f>
        <v>2015Y - Collateral Loans</v>
      </c>
      <c r="CU1" t="str">
        <f ca="1">Financials!$N$4&amp;" - "&amp;SUBSTITUTE(SchBA!C18,"Unaff: ","")</f>
        <v>2015Y - Noncollateral Loans</v>
      </c>
      <c r="CV1" t="str">
        <f ca="1">Financials!$N$4&amp;" - "&amp;SUBSTITUTE(SchBA!C19,"Unaff: ","")</f>
        <v>2015Y - Capital Notes</v>
      </c>
      <c r="CW1" t="str">
        <f ca="1">Financials!$N$4&amp;" - "&amp;SUBSTITUTE(SchBA!C20,"Unaff: ","")</f>
        <v>2015Y - Guaranteed Federal LIHTC</v>
      </c>
      <c r="CX1" t="str">
        <f ca="1">Financials!$N$4&amp;" - "&amp;SUBSTITUTE(SchBA!C21,"Unaff: ","")</f>
        <v>2015Y - Non-Guaranteed Fed LIHTC</v>
      </c>
      <c r="CY1" t="str">
        <f ca="1">Financials!$N$4&amp;" - "&amp;SUBSTITUTE(SchBA!C22,"Unaff: ","")</f>
        <v>2015Y - Guaranteed State LIHTC</v>
      </c>
      <c r="CZ1" t="str">
        <f ca="1">Financials!$N$4&amp;" - "&amp;SUBSTITUTE(SchBA!C23,"Unaff: ","")</f>
        <v>2015Y - Non-guaranteed State LIHTC</v>
      </c>
      <c r="DA1" t="str">
        <f ca="1">Financials!$N$4&amp;" - "&amp;SUBSTITUTE(SchBA!C24,"Unaff: ","")</f>
        <v>2015Y - State LIHTC</v>
      </c>
      <c r="DB1" t="str">
        <f ca="1">Financials!$N$4&amp;" - "&amp;SUBSTITUTE(SchBA!C25,"Unaff: ","")</f>
        <v>2015Y - Other LIHTC</v>
      </c>
      <c r="DC1" t="str">
        <f ca="1">Financials!$N$4&amp;" - "&amp;SUBSTITUTE(SUBSTITUTE(SchBA!C26,"Unaff: ",""),"Finance","Fin")</f>
        <v>2015Y - Working Capital Fin Investment</v>
      </c>
      <c r="DD1" t="str">
        <f ca="1">Financials!$N$4&amp;" - "&amp;SUBSTITUTE(SchBA!C27,"Unaff: ","")</f>
        <v>2015Y - Other Assets</v>
      </c>
      <c r="DE1" t="str">
        <f ca="1">Financials!$N$4&amp;" - "&amp;SUBSTITUTE(SchBA!C28,"Unaff: ","")</f>
        <v>2015Y - Non-Conforming LT Assets</v>
      </c>
      <c r="DF1" t="str">
        <f ca="1">Financials!$N$4&amp;" - "&amp;SchBA!Q29</f>
        <v>2015Y - Total Affiliated</v>
      </c>
      <c r="DG1" t="str">
        <f ca="1">Financials!$N$4&amp;" - "&amp;"Schedule BA Total"</f>
        <v>2015Y - Schedule BA Total</v>
      </c>
      <c r="DH1" t="str">
        <f ca="1">Financials!$O$4&amp;" - "&amp;SchBA!C29</f>
        <v>2015Y
% Chg - Total Unaffiliated</v>
      </c>
      <c r="DI1" t="str">
        <f ca="1">Financials!$O$4&amp;" - "&amp;SUBSTITUTE(SchBA!C5,"Unaff: ","")</f>
        <v>2015Y
% Chg - Oil &amp; Gas Production</v>
      </c>
      <c r="DJ1" t="str">
        <f ca="1">Financials!$O$4&amp;" - "&amp;SUBSTITUTE(SchBA!C6,"Unaff: ","")</f>
        <v>2015Y
% Chg - Transport Equip</v>
      </c>
      <c r="DK1" t="str">
        <f ca="1">Financials!$O$4&amp;" - "&amp;SUBSTITUTE(SchBA!C7,"Unaff: ","")</f>
        <v>2015Y
% Chg - Mineral Rights</v>
      </c>
      <c r="DL1" t="str">
        <f ca="1">Financials!$O$4&amp;" - "&amp;SUBSTITUTE(SchBA!C8,"Unaff: ","")</f>
        <v>2015Y
% Chg - Fix/Var: Bonds</v>
      </c>
      <c r="DM1" t="str">
        <f ca="1">Financials!$O$4&amp;" - "&amp;SUBSTITUTE(SchBA!C9,"Unaff: ","")</f>
        <v>2015Y
% Chg - Fix/Var: Mrtg Fund</v>
      </c>
      <c r="DN1" t="str">
        <f ca="1">Financials!$O$4&amp;" - "&amp;SUBSTITUTE(SchBA!C10,"Unaff: ","")</f>
        <v>2015Y
% Chg - Fix/Var: Oth Fix Inc</v>
      </c>
      <c r="DO1" t="str">
        <f ca="1">Financials!$O$4&amp;" - "&amp;SUBSTITUTE(SchBA!C11,"Unaff: ","")</f>
        <v>2015Y
% Chg - JV, LLCs: Fix Income</v>
      </c>
      <c r="DP1" t="str">
        <f ca="1">Financials!$O$4&amp;" - "&amp;SUBSTITUTE(SchBA!C12,"Unaff: ","")</f>
        <v>2015Y
% Chg - JV, LLCs: Common Stock</v>
      </c>
      <c r="DQ1" t="str">
        <f ca="1">Financials!$O$4&amp;" - "&amp;SUBSTITUTE(SchBA!C13,"Unaff: ","")</f>
        <v>2015Y
% Chg - JV, LLCs: Real Estate</v>
      </c>
      <c r="DR1" t="str">
        <f ca="1">Financials!$O$4&amp;" - "&amp;SUBSTITUTE(SchBA!C14,"Unaff: ","")</f>
        <v>2015Y
% Chg - JV LLCs: Mrtg Loans</v>
      </c>
      <c r="DS1" t="str">
        <f ca="1">Financials!$O$4&amp;" - "&amp;SUBSTITUTE(SchBA!C15,"Unaff: ","")</f>
        <v>2015Y
% Chg - JV, LLCs: Other</v>
      </c>
      <c r="DT1" t="str">
        <f ca="1">Financials!$O$4&amp;" - "&amp;SUBSTITUTE(SchBA!C16,"Unaff: ","")</f>
        <v>2015Y
% Chg - Surplus Debentures</v>
      </c>
      <c r="DU1" t="str">
        <f ca="1">Financials!$O$4&amp;" - "&amp;SUBSTITUTE(SchBA!C17,"Unaff: ","")</f>
        <v>2015Y
% Chg - Collateral Loans</v>
      </c>
      <c r="DV1" t="str">
        <f ca="1">Financials!$O$4&amp;" - "&amp;SUBSTITUTE(SchBA!C18,"Unaff: ","")</f>
        <v>2015Y
% Chg - Noncollateral Loans</v>
      </c>
      <c r="DW1" t="str">
        <f ca="1">Financials!$O$4&amp;" - "&amp;SUBSTITUTE(SchBA!C19,"Unaff: ","")</f>
        <v>2015Y
% Chg - Capital Notes</v>
      </c>
      <c r="DX1" t="str">
        <f ca="1">Financials!$O$4&amp;" - "&amp;SUBSTITUTE(SchBA!C20,"Unaff: ","")</f>
        <v>2015Y
% Chg - Guaranteed Federal LIHTC</v>
      </c>
      <c r="DY1" t="str">
        <f ca="1">Financials!$O$4&amp;" - "&amp;SUBSTITUTE(SchBA!C21,"Unaff: ","")</f>
        <v>2015Y
% Chg - Non-Guaranteed Fed LIHTC</v>
      </c>
      <c r="DZ1" t="str">
        <f ca="1">Financials!$O$4&amp;" - "&amp;SUBSTITUTE(SchBA!C22,"Unaff: ","")</f>
        <v>2015Y
% Chg - Guaranteed State LIHTC</v>
      </c>
      <c r="EA1" t="str">
        <f ca="1">Financials!$O$4&amp;" - "&amp;SUBSTITUTE(SchBA!C23,"Unaff: ","")</f>
        <v>2015Y
% Chg - Non-guaranteed State LIHTC</v>
      </c>
      <c r="EB1" t="str">
        <f ca="1">Financials!$O$4&amp;" - "&amp;SUBSTITUTE(SchBA!C24,"Unaff: ","")</f>
        <v>2015Y
% Chg - State LIHTC</v>
      </c>
      <c r="EC1" t="str">
        <f ca="1">Financials!$O$4&amp;" - "&amp;SUBSTITUTE(SchBA!C25,"Unaff: ","")</f>
        <v>2015Y
% Chg - Other LIHTC</v>
      </c>
      <c r="ED1" t="str">
        <f ca="1">Financials!$O$4&amp;" - "&amp;SUBSTITUTE(SUBSTITUTE(SchBA!C26,"Unaff: ",""),"Finance","Fin")</f>
        <v>2015Y
% Chg - Working Capital Fin Investment</v>
      </c>
      <c r="EE1" t="str">
        <f ca="1">Financials!$O$4&amp;" - "&amp;SUBSTITUTE(SchBA!C27,"Unaff: ","")</f>
        <v>2015Y
% Chg - Other Assets</v>
      </c>
      <c r="EF1" t="str">
        <f ca="1">Financials!$O$4&amp;" - "&amp;SUBSTITUTE(SchBA!C28,"Unaff: ","")</f>
        <v>2015Y
% Chg - Non-Conforming LT Assets</v>
      </c>
      <c r="EG1" t="str">
        <f ca="1">Financials!$O$4&amp;" - "&amp;SchBA!Q29</f>
        <v>2015Y
% Chg - Total Affiliated</v>
      </c>
      <c r="EH1" t="str">
        <f ca="1">Financials!$O$4&amp;" - "&amp;"Schedule BA Total"</f>
        <v>2015Y
% Chg - Schedule BA Total</v>
      </c>
      <c r="EI1" t="str">
        <f ca="1">Financials!$P$4&amp;" - "&amp;SchBA!C29</f>
        <v>5 Yr % Chg - Total Unaffiliated</v>
      </c>
      <c r="EJ1" t="str">
        <f ca="1">Financials!$P$4&amp;" - "&amp;SUBSTITUTE(SchBA!C5,"Unaff: ","")</f>
        <v>5 Yr % Chg - Oil &amp; Gas Production</v>
      </c>
      <c r="EK1" t="str">
        <f ca="1">Financials!$P$4&amp;" - "&amp;SUBSTITUTE(SchBA!C6,"Unaff: ","")</f>
        <v>5 Yr % Chg - Transport Equip</v>
      </c>
      <c r="EL1" t="str">
        <f ca="1">Financials!$P$4&amp;" - "&amp;SUBSTITUTE(SchBA!C7,"Unaff: ","")</f>
        <v>5 Yr % Chg - Mineral Rights</v>
      </c>
      <c r="EM1" t="str">
        <f ca="1">Financials!$P$4&amp;" - "&amp;SUBSTITUTE(SchBA!C8,"Unaff: ","")</f>
        <v>5 Yr % Chg - Fix/Var: Bonds</v>
      </c>
      <c r="EN1" t="str">
        <f ca="1">Financials!$P$4&amp;" - "&amp;SUBSTITUTE(SchBA!C9,"Unaff: ","")</f>
        <v>5 Yr % Chg - Fix/Var: Mrtg Fund</v>
      </c>
      <c r="EO1" t="str">
        <f ca="1">Financials!$P$4&amp;" - "&amp;SUBSTITUTE(SchBA!C10,"Unaff: ","")</f>
        <v>5 Yr % Chg - Fix/Var: Oth Fix Inc</v>
      </c>
      <c r="EP1" t="str">
        <f ca="1">Financials!$P$4&amp;" - "&amp;SUBSTITUTE(SchBA!C11,"Unaff: ","")</f>
        <v>5 Yr % Chg - JV, LLCs: Fix Income</v>
      </c>
      <c r="EQ1" t="str">
        <f ca="1">Financials!$P$4&amp;" - "&amp;SUBSTITUTE(SchBA!C12,"Unaff: ","")</f>
        <v>5 Yr % Chg - JV, LLCs: Common Stock</v>
      </c>
      <c r="ER1" t="str">
        <f ca="1">Financials!$P$4&amp;" - "&amp;SUBSTITUTE(SchBA!C13,"Unaff: ","")</f>
        <v>5 Yr % Chg - JV, LLCs: Real Estate</v>
      </c>
      <c r="ES1" t="str">
        <f ca="1">Financials!$P$4&amp;" - "&amp;SUBSTITUTE(SchBA!C14,"Unaff: ","")</f>
        <v>5 Yr % Chg - JV LLCs: Mrtg Loans</v>
      </c>
      <c r="ET1" t="str">
        <f ca="1">Financials!$P$4&amp;" - "&amp;SUBSTITUTE(SchBA!C15,"Unaff: ","")</f>
        <v>5 Yr % Chg - JV, LLCs: Other</v>
      </c>
      <c r="EU1" t="str">
        <f ca="1">Financials!$P$4&amp;" - "&amp;SUBSTITUTE(SchBA!C16,"Unaff: ","")</f>
        <v>5 Yr % Chg - Surplus Debentures</v>
      </c>
      <c r="EV1" t="str">
        <f ca="1">Financials!$P$4&amp;" - "&amp;SUBSTITUTE(SchBA!C17,"Unaff: ","")</f>
        <v>5 Yr % Chg - Collateral Loans</v>
      </c>
      <c r="EW1" t="str">
        <f ca="1">Financials!$P$4&amp;" - "&amp;SUBSTITUTE(SchBA!C18,"Unaff: ","")</f>
        <v>5 Yr % Chg - Noncollateral Loans</v>
      </c>
      <c r="EX1" t="str">
        <f ca="1">Financials!$P$4&amp;" - "&amp;SUBSTITUTE(SchBA!C19,"Unaff: ","")</f>
        <v>5 Yr % Chg - Capital Notes</v>
      </c>
      <c r="EY1" t="str">
        <f ca="1">Financials!$P$4&amp;" - "&amp;SUBSTITUTE(SchBA!C20,"Unaff: ","")</f>
        <v>5 Yr % Chg - Guaranteed Federal LIHTC</v>
      </c>
      <c r="EZ1" t="str">
        <f ca="1">Financials!$P$4&amp;" - "&amp;SUBSTITUTE(SchBA!C21,"Unaff: ","")</f>
        <v>5 Yr % Chg - Non-Guaranteed Fed LIHTC</v>
      </c>
      <c r="FA1" t="str">
        <f ca="1">Financials!$P$4&amp;" - "&amp;SUBSTITUTE(SchBA!C22,"Unaff: ","")</f>
        <v>5 Yr % Chg - Guaranteed State LIHTC</v>
      </c>
      <c r="FB1" t="str">
        <f ca="1">Financials!$P$4&amp;" - "&amp;SUBSTITUTE(SchBA!C23,"Unaff: ","")</f>
        <v>5 Yr % Chg - Non-guaranteed State LIHTC</v>
      </c>
      <c r="FC1" t="str">
        <f ca="1">Financials!$P$4&amp;" - "&amp;SUBSTITUTE(SchBA!C24,"Unaff: ","")</f>
        <v>5 Yr % Chg - State LIHTC</v>
      </c>
      <c r="FD1" t="str">
        <f ca="1">Financials!$P$4&amp;" - "&amp;SUBSTITUTE(SchBA!C25,"Unaff: ","")</f>
        <v>5 Yr % Chg - Other LIHTC</v>
      </c>
      <c r="FE1" t="str">
        <f ca="1">Financials!$P$4&amp;" - "&amp;SUBSTITUTE(SUBSTITUTE(SchBA!C26,"Unaff: ",""),"Finance","Fin")</f>
        <v>5 Yr % Chg - Working Capital Fin Investment</v>
      </c>
      <c r="FF1" t="str">
        <f ca="1">Financials!$P$4&amp;" - "&amp;SUBSTITUTE(SchBA!C27,"Unaff: ","")</f>
        <v>5 Yr % Chg - Other Assets</v>
      </c>
      <c r="FG1" t="str">
        <f ca="1">Financials!$P$4&amp;" - "&amp;SUBSTITUTE(SchBA!C28,"Unaff: ","")</f>
        <v>5 Yr % Chg - Non-Conforming LT Assets</v>
      </c>
      <c r="FH1" t="str">
        <f ca="1">Financials!$P$4&amp;" - "&amp;SchBA!Q29</f>
        <v>5 Yr % Chg - Total Affiliated</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2015Y - Cash &amp; ST Investments/Liabilities </v>
      </c>
      <c r="FK1" t="str">
        <f ca="1">Financials!$N$4&amp;" - "&amp;SUBSTITUTE(SUBSTITUTE(SUBSTITUTE(SUBSTITUTE(SUBSTITUTE(SUBSTITUTE(SUBSTITUTE(Financials!B34,"Short-Term","ST"),"(%)",""),"($000)",""),"/ ","/"),"Cash Flow: ",""),"Reinsurance","Re"),"Capital Gains Taxes","Cap Gain Tax")</f>
        <v xml:space="preserve">2015Y - Liquid Investments/Liabilities </v>
      </c>
      <c r="FL1" t="str">
        <f ca="1">Financials!$N$4&amp;" - "&amp;SUBSTITUTE(SUBSTITUTE(SUBSTITUTE(SUBSTITUTE(SUBSTITUTE(SUBSTITUTE(SUBSTITUTE(Financials!B35,"Short-Term","ST"),"(%)",""),"($000)",""),"/ ","/"),"Cash Flow: ",""),"Reinsurance","Re"),"Capital Gains Taxes","Cap Gain Tax")</f>
        <v xml:space="preserve">2015Y - Cash &amp; ST Investments/C&amp;S </v>
      </c>
      <c r="FM1" t="str">
        <f ca="1">Financials!$N$4&amp;" - "&amp;SUBSTITUTE(SUBSTITUTE(SUBSTITUTE(SUBSTITUTE(SUBSTITUTE(SUBSTITUTE(SUBSTITUTE(Financials!B36,"Short-Term","ST"),"(%)",""),"($000)",""),"/ ","/"),"Cash Flow: ",""),"Reinsurance","Re"),"Capital Gains Taxes","Cap Gain Tax")</f>
        <v xml:space="preserve">2015Y - Liabilities/Invested Assets </v>
      </c>
      <c r="FN1" t="str">
        <f ca="1">Financials!$N$4&amp;" - "&amp;SUBSTITUTE(SUBSTITUTE(SUBSTITUTE(SUBSTITUTE(SUBSTITUTE(SUBSTITUTE(SUBSTITUTE(Financials!B37,"Short-Term","ST"),"(%)",""),"($000)",""),"/ ","/"),"Cash Flow: ",""),"Reinsurance","Re"),"Capital Gains Taxes","Cap Gain Tax")</f>
        <v xml:space="preserve">2015Y - Affiliated Investments/C&amp;S </v>
      </c>
      <c r="FO1" t="str">
        <f ca="1">Financials!$N$4&amp;" - "&amp;SUBSTITUTE(SUBSTITUTE(SUBSTITUTE(SUBSTITUTE(SUBSTITUTE(SUBSTITUTE(SUBSTITUTE(Financials!B38,"Short-Term","ST"),"(%)",""),"($000)",""),"/ ","/"),"Cash Flow: ",""),"Reinsurance","Re"),"Capital Gains Taxes","Cap Gain Tax")</f>
        <v xml:space="preserve">2015Y - Net Adm Cash &amp; Invested Assets </v>
      </c>
      <c r="FP1" t="str">
        <f ca="1">Financials!$N$4&amp;" - "&amp;SUBSTITUTE(SUBSTITUTE(SUBSTITUTE(SUBSTITUTE(SUBSTITUTE(SUBSTITUTE(SUBSTITUTE(Financials!B42,"Short-Term","ST"),"(%)",""),"($000)",""),"/ ","/"),"Cash Flow: ",""),"Reinsurance","Re"),"Capital Gains Taxes","Cap Gain Tax")</f>
        <v xml:space="preserve">2015Y - Premiums Collected Net of Re </v>
      </c>
      <c r="FQ1" t="str">
        <f ca="1">Financials!$N$4&amp;" - "&amp;SUBSTITUTE(SUBSTITUTE(SUBSTITUTE(SUBSTITUTE(SUBSTITUTE(SUBSTITUTE(SUBSTITUTE(Financials!B43,"Short-Term","ST"),"(%)",""),"($000)",""),"/ ","/"),"Cash Flow: ",""),"Reinsurance","Re"),"Capital Gains Taxes","Cap Gain Tax")</f>
        <v xml:space="preserve">2015Y - Benefit &amp; Loss Related Pymts </v>
      </c>
      <c r="FR1" t="str">
        <f ca="1">Financials!$N$4&amp;" - "&amp;SUBSTITUTE(SUBSTITUTE(SUBSTITUTE(SUBSTITUTE(SUBSTITUTE(SUBSTITUTE(SUBSTITUTE(Financials!B44,"Short-Term","ST"),"(%)",""),"($000)",""),"/ ","/"),"Cash Flow: ",""),"Reinsurance","Re"),"Capital Gains Taxes","Cap Gain Tax")</f>
        <v xml:space="preserve">2015Y - Exp &amp; WI For Deductions </v>
      </c>
      <c r="FS1" t="str">
        <f ca="1">Financials!$N$4&amp;" - "&amp;SUBSTITUTE(SUBSTITUTE(SUBSTITUTE(SUBSTITUTE(SUBSTITUTE(SUBSTITUTE(SUBSTITUTE(Financials!B45,"Short-Term","ST"),"(%)",""),"($000)",""),"/ ","/"),"Cash Flow: ",""),"Reinsurance","Re"),"Capital Gains Taxes","Cap Gain Tax")</f>
        <v xml:space="preserve">2015Y - Cash From Operations </v>
      </c>
      <c r="FT1" t="str">
        <f ca="1">Financials!$N$4&amp;" - "&amp;SUBSTITUTE(SUBSTITUTE(SUBSTITUTE(SUBSTITUTE(SUBSTITUTE(SUBSTITUTE(SUBSTITUTE(Financials!B46,"Short-Term","ST"),"(%)",""),"($000)",""),"/ ","/"),"Cash Flow: ",""),"Reinsurance","Re"),"Capital Gains Taxes","Cap Gain Tax")</f>
        <v xml:space="preserve">2015Y - Income Taxes Excl Cap Gain Tax </v>
      </c>
      <c r="FU1" t="str">
        <f ca="1">Financials!$N$4&amp;" - "&amp;SUBSTITUTE(SUBSTITUTE(SUBSTITUTE(SUBSTITUTE(SUBSTITUTE(SUBSTITUTE(SUBSTITUTE(Financials!B47,"Short-Term","ST"),"(%)",""),"($000)",""),"/ ","/"),"Cash Flow: ",""),"Reinsurance","Re"),"Capital Gains Taxes","Cap Gain Tax")</f>
        <v xml:space="preserve">2015Y - Dividends Paid to Policyholders </v>
      </c>
      <c r="FV1" t="str">
        <f ca="1">Financials!$O$4&amp;" - "&amp;SUBSTITUTE(SUBSTITUTE(SUBSTITUTE(SUBSTITUTE(SUBSTITUTE(SUBSTITUTE(SUBSTITUTE(Financials!B33,"Short-Term","ST"),"(%)",""),"($000)",""),"/ ","/"),"Cash Flow: ",""),"Reinsurance","Re"),"Capital Gains Taxes","Cap Gain Tax")</f>
        <v xml:space="preserve">2015Y
% Chg - Cash &amp; ST Investments/Liabilities </v>
      </c>
      <c r="FW1" t="str">
        <f ca="1">Financials!$O$4&amp;" - "&amp;SUBSTITUTE(SUBSTITUTE(SUBSTITUTE(SUBSTITUTE(SUBSTITUTE(SUBSTITUTE(SUBSTITUTE(Financials!B34,"Short-Term","ST"),"(%)",""),"($000)",""),"/ ","/"),"Cash Flow: ",""),"Reinsurance","Re"),"Capital Gains Taxes","Cap Gain Tax")</f>
        <v xml:space="preserve">2015Y
% Chg - Liquid Investments/Liabilities </v>
      </c>
      <c r="FX1" t="str">
        <f ca="1">Financials!$O$4&amp;" - "&amp;SUBSTITUTE(SUBSTITUTE(SUBSTITUTE(SUBSTITUTE(SUBSTITUTE(SUBSTITUTE(SUBSTITUTE(Financials!B35,"Short-Term","ST"),"(%)",""),"($000)",""),"/ ","/"),"Cash Flow: ",""),"Reinsurance","Re"),"Capital Gains Taxes","Cap Gain Tax")</f>
        <v xml:space="preserve">2015Y
% Chg - Cash &amp; ST Investments/C&amp;S </v>
      </c>
      <c r="FY1" t="str">
        <f ca="1">Financials!$O$4&amp;" - "&amp;SUBSTITUTE(SUBSTITUTE(SUBSTITUTE(SUBSTITUTE(SUBSTITUTE(SUBSTITUTE(SUBSTITUTE(Financials!B36,"Short-Term","ST"),"(%)",""),"($000)",""),"/ ","/"),"Cash Flow: ",""),"Reinsurance","Re"),"Capital Gains Taxes","Cap Gain Tax")</f>
        <v xml:space="preserve">2015Y
% Chg - Liabilities/Invested Assets </v>
      </c>
      <c r="FZ1" t="str">
        <f ca="1">Financials!$O$4&amp;" - "&amp;SUBSTITUTE(SUBSTITUTE(SUBSTITUTE(SUBSTITUTE(SUBSTITUTE(SUBSTITUTE(SUBSTITUTE(Financials!B37,"Short-Term","ST"),"(%)",""),"($000)",""),"/ ","/"),"Cash Flow: ",""),"Reinsurance","Re"),"Capital Gains Taxes","Cap Gain Tax")</f>
        <v xml:space="preserve">2015Y
% Chg - Affiliated Investments/C&amp;S </v>
      </c>
      <c r="GA1" t="str">
        <f ca="1">Financials!$O$4&amp;" - "&amp;SUBSTITUTE(SUBSTITUTE(SUBSTITUTE(SUBSTITUTE(SUBSTITUTE(SUBSTITUTE(SUBSTITUTE(Financials!B38,"Short-Term","ST"),"(%)",""),"($000)",""),"/ ","/"),"Cash Flow: ",""),"Reinsurance","Re"),"Capital Gains Taxes","Cap Gain Tax")</f>
        <v xml:space="preserve">2015Y
% Chg - Net Adm Cash &amp; Invested Assets </v>
      </c>
      <c r="GB1" t="str">
        <f ca="1">Financials!$O$4&amp;" - "&amp;SUBSTITUTE(SUBSTITUTE(SUBSTITUTE(SUBSTITUTE(SUBSTITUTE(SUBSTITUTE(SUBSTITUTE(Financials!B42,"Short-Term","ST"),"(%)",""),"($000)",""),"/ ","/"),"Cash Flow: ",""),"Reinsurance","Re"),"Capital Gains Taxes","Cap Gain Tax")</f>
        <v xml:space="preserve">2015Y
% Chg - Premiums Collected Net of Re </v>
      </c>
      <c r="GC1" t="str">
        <f ca="1">Financials!$O$4&amp;" - "&amp;SUBSTITUTE(SUBSTITUTE(SUBSTITUTE(SUBSTITUTE(SUBSTITUTE(SUBSTITUTE(SUBSTITUTE(Financials!B43,"Short-Term","ST"),"(%)",""),"($000)",""),"/ ","/"),"Cash Flow: ",""),"Reinsurance","Re"),"Capital Gains Taxes","Cap Gain Tax")</f>
        <v xml:space="preserve">2015Y
% Chg - Benefit &amp; Loss Related Pymts </v>
      </c>
      <c r="GD1" t="str">
        <f ca="1">Financials!$O$4&amp;" - "&amp;SUBSTITUTE(SUBSTITUTE(SUBSTITUTE(SUBSTITUTE(SUBSTITUTE(SUBSTITUTE(SUBSTITUTE(Financials!B44,"Short-Term","ST"),"(%)",""),"($000)",""),"/ ","/"),"Cash Flow: ",""),"Reinsurance","Re"),"Capital Gains Taxes","Cap Gain Tax")</f>
        <v xml:space="preserve">2015Y
% Chg - Exp &amp; WI For Deductions </v>
      </c>
      <c r="GE1" t="str">
        <f ca="1">Financials!$O$4&amp;" - "&amp;SUBSTITUTE(SUBSTITUTE(SUBSTITUTE(SUBSTITUTE(SUBSTITUTE(SUBSTITUTE(SUBSTITUTE(Financials!B45,"Short-Term","ST"),"(%)",""),"($000)",""),"/ ","/"),"Cash Flow: ",""),"Reinsurance","Re"),"Capital Gains Taxes","Cap Gain Tax")</f>
        <v xml:space="preserve">2015Y
% Chg - Cash From Operations </v>
      </c>
      <c r="GF1" t="str">
        <f ca="1">Financials!$O$4&amp;" - "&amp;SUBSTITUTE(SUBSTITUTE(SUBSTITUTE(SUBSTITUTE(SUBSTITUTE(SUBSTITUTE(SUBSTITUTE(Financials!B46,"Short-Term","ST"),"(%)",""),"($000)",""),"/ ","/"),"Cash Flow: ",""),"Reinsurance","Re"),"Capital Gains Taxes","Cap Gain Tax")</f>
        <v xml:space="preserve">2015Y
% Chg - Income Taxes Excl Cap Gain Tax </v>
      </c>
      <c r="GG1" t="str">
        <f ca="1">Financials!$O$4&amp;" - "&amp;SUBSTITUTE(SUBSTITUTE(SUBSTITUTE(SUBSTITUTE(SUBSTITUTE(SUBSTITUTE(SUBSTITUTE(Financials!B47,"Short-Term","ST"),"(%)",""),"($000)",""),"/ ","/"),"Cash Flow: ",""),"Reinsurance","Re"),"Capital Gains Taxes","Cap Gain Tax")</f>
        <v xml:space="preserve">2015Y
%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2015Y - GPW to PHS </v>
      </c>
      <c r="GU1" t="str">
        <f ca="1">Financials!$N$4&amp;" - "&amp;SUBSTITUTE(SUBSTITUTE(Financials!B8,"(%)",""),"($000)","")</f>
        <v xml:space="preserve">2015Y - NPW to PHS </v>
      </c>
      <c r="GV1" t="str">
        <f ca="1">Financials!$N$4&amp;" - "&amp;SUBSTITUTE(SUBSTITUTE(Financials!B9,"(%)",""),"($000)","")</f>
        <v xml:space="preserve">2015Y - Chg in NPW </v>
      </c>
      <c r="GW1" t="str">
        <f ca="1">Financials!$N$4&amp;" - "&amp;SUBSTITUTE(SUBSTITUTE(Financials!B10,"(%)",""),"($000)","")</f>
        <v xml:space="preserve">2015Y - Surplus Aid to PHS </v>
      </c>
      <c r="GX1" t="str">
        <f ca="1">Financials!$N$4&amp;" - "&amp;SUBSTITUTE(SUBSTITUTE(Financials!B11,"(%)",""),"($000)","")</f>
        <v xml:space="preserve">2015Y - 2-Yr Overall Operating Ratio </v>
      </c>
      <c r="GY1" t="str">
        <f ca="1">Financials!$N$4&amp;" - "&amp;SUBSTITUTE(SUBSTITUTE(Financials!B12,"(%)",""),"($000)","")</f>
        <v xml:space="preserve">2015Y - Invest Yield </v>
      </c>
      <c r="GZ1" t="str">
        <f ca="1">Financials!$N$4&amp;" - "&amp;SUBSTITUTE(SUBSTITUTE(Financials!B13,"(%)",""),"($000)","")</f>
        <v xml:space="preserve">2015Y - Gross Chg in PHS </v>
      </c>
      <c r="HA1" t="str">
        <f ca="1">Financials!$N$4&amp;" - "&amp;SUBSTITUTE(SUBSTITUTE(Financials!B14,"(%)",""),"($000)","")</f>
        <v xml:space="preserve">2015Y - Net Chg in Adj PHS </v>
      </c>
      <c r="HB1" t="str">
        <f ca="1">Financials!$N$4&amp;" - "&amp;SUBSTITUTE(SUBSTITUTE(Financials!B15,"(%)",""),"($000)","")</f>
        <v xml:space="preserve">2015Y - Liab to Liq Assets </v>
      </c>
      <c r="HC1" t="str">
        <f ca="1">Financials!$N$4&amp;" - "&amp;SUBSTITUTE(SUBSTITUTE(Financials!B16,"(%)",""),"($000)","")</f>
        <v xml:space="preserve">2015Y - Gross Agents' Bal to PHS </v>
      </c>
      <c r="HD1" t="str">
        <f ca="1">Financials!$N$4&amp;" - "&amp;SUBSTITUTE(SUBSTITUTE(Financials!B17,"(%)",""),"($000)","")</f>
        <v xml:space="preserve">2015Y - 1-Yr Res Dev to PHS </v>
      </c>
      <c r="HE1" t="str">
        <f ca="1">Financials!$N$4&amp;" - "&amp;SUBSTITUTE(SUBSTITUTE(Financials!B18,"(%)",""),"($000)","")</f>
        <v xml:space="preserve">2015Y - 2-Yr Res Dev to PHS </v>
      </c>
      <c r="HF1" t="str">
        <f ca="1">Financials!$N$4&amp;" - "&amp;SUBSTITUTE(SUBSTITUTE(Financials!B19,"(%)",""),"($000)","")</f>
        <v xml:space="preserve">2015Y - Est Curr Res Defic to PHS </v>
      </c>
      <c r="HG1" t="str">
        <f ca="1">Financials!$N$4&amp;" - "&amp;SUBSTITUTE(SUBSTITUTE(Financials!B20,"(%)",""),"($000)","")</f>
        <v xml:space="preserve">2015Y - Net Chg in C&amp;S </v>
      </c>
      <c r="HH1" t="str">
        <f ca="1">Financials!$N$4&amp;" - "&amp;SUBSTITUTE(SUBSTITUTE(Financials!B21,"(%)",""),"($000)","")</f>
        <v xml:space="preserve">2015Y - Gross Chg C&amp;S </v>
      </c>
      <c r="HI1" t="str">
        <f ca="1">Financials!$N$4&amp;" - "&amp;SUBSTITUTE(SUBSTITUTE(Financials!B22,"(%)",""),"($000)","")</f>
        <v xml:space="preserve">2015Y - Net Inc to Tot Inc (Incl Rlzd Cap Gains) </v>
      </c>
      <c r="HJ1" t="str">
        <f ca="1">Financials!$N$4&amp;" - "&amp;SUBSTITUTE(SUBSTITUTE(Financials!B23,"(%)",""),"($000)","")</f>
        <v xml:space="preserve">2015Y - Adeq of Inv Inc </v>
      </c>
      <c r="HK1" t="str">
        <f ca="1">Financials!$N$4&amp;" - "&amp;SUBSTITUTE(SUBSTITUTE(Financials!B24,"(%)",""),"($000)","")</f>
        <v xml:space="preserve">2015Y - Non-Adm to Adm Assets </v>
      </c>
      <c r="HL1" t="str">
        <f ca="1">Financials!$N$4&amp;" - "&amp;SUBSTITUTE(SUBSTITUTE(Financials!B25,"(%)",""),"($000)","")</f>
        <v xml:space="preserve">2015Y - Tot RE &amp; Tot Mrtg Loans to Cash &amp; Inv Assets </v>
      </c>
      <c r="HM1" t="str">
        <f ca="1">Financials!$N$4&amp;" - "&amp;SUBSTITUTE(SUBSTITUTE(Financials!B26,"(%)",""),"($000)","")</f>
        <v xml:space="preserve">2015Y - Tot Aff Inv to C&amp;S </v>
      </c>
      <c r="HN1" t="str">
        <f ca="1">Financials!$N$4&amp;" - "&amp;SUBSTITUTE(SUBSTITUTE(Financials!B27,"(%)",""),"($000)","")</f>
        <v xml:space="preserve">2015Y - Surplus Relief </v>
      </c>
      <c r="HO1" t="str">
        <f ca="1">Financials!$N$4&amp;" - "&amp;SUBSTITUTE(SUBSTITUTE(Financials!B28,"(%)",""),"($000)","")</f>
        <v xml:space="preserve">2015Y - Chg in Premium </v>
      </c>
      <c r="HP1" t="str">
        <f ca="1">Financials!$N$4&amp;" - "&amp;SUBSTITUTE(SUBSTITUTE(Financials!B29,"(%)",""),"($000)","")</f>
        <v xml:space="preserve">2015Y - Chg in Prod Mix </v>
      </c>
      <c r="HQ1" t="str">
        <f ca="1">Financials!$N$4&amp;" - "&amp;SUBSTITUTE(SUBSTITUTE(Financials!B30,"(%)",""),"($000)","")</f>
        <v xml:space="preserve">2015Y - Chg in Asset Mix </v>
      </c>
      <c r="HR1" t="str">
        <f ca="1">Financials!$N$4&amp;" - "&amp;SUBSTITUTE(SUBSTITUTE(Financials!B31,"(%)",""),"($000)","")</f>
        <v xml:space="preserve">2015Y - Chg in Reserving </v>
      </c>
      <c r="HS1" t="str">
        <f ca="1">Financials!$O$4&amp;" - "&amp;SUBSTITUTE(SUBSTITUTE(Financials!B7,"(%)",""),"($000)","")</f>
        <v xml:space="preserve">2015Y
% Chg - GPW to PHS </v>
      </c>
      <c r="HT1" t="str">
        <f ca="1">Financials!$O$4&amp;" - "&amp;SUBSTITUTE(SUBSTITUTE(Financials!B8,"(%)",""),"($000)","")</f>
        <v xml:space="preserve">2015Y
% Chg - NPW to PHS </v>
      </c>
      <c r="HU1" t="str">
        <f ca="1">Financials!$O$4&amp;" - "&amp;SUBSTITUTE(SUBSTITUTE(Financials!B9,"(%)",""),"($000)","")</f>
        <v xml:space="preserve">2015Y
% Chg - Chg in NPW </v>
      </c>
      <c r="HV1" t="str">
        <f ca="1">Financials!$O$4&amp;" - "&amp;SUBSTITUTE(SUBSTITUTE(Financials!B10,"(%)",""),"($000)","")</f>
        <v xml:space="preserve">2015Y
% Chg - Surplus Aid to PHS </v>
      </c>
      <c r="HW1" t="str">
        <f ca="1">Financials!$O$4&amp;" - "&amp;SUBSTITUTE(SUBSTITUTE(Financials!B11,"(%)",""),"($000)","")</f>
        <v xml:space="preserve">2015Y
% Chg - 2-Yr Overall Operating Ratio </v>
      </c>
      <c r="HX1" t="str">
        <f ca="1">Financials!$O$4&amp;" - "&amp;SUBSTITUTE(SUBSTITUTE(Financials!B12,"(%)",""),"($000)","")</f>
        <v xml:space="preserve">2015Y
% Chg - Invest Yield </v>
      </c>
      <c r="HY1" t="str">
        <f ca="1">Financials!$O$4&amp;" - "&amp;SUBSTITUTE(SUBSTITUTE(Financials!B13,"(%)",""),"($000)","")</f>
        <v xml:space="preserve">2015Y
% Chg - Gross Chg in PHS </v>
      </c>
      <c r="HZ1" t="str">
        <f ca="1">Financials!$O$4&amp;" - "&amp;SUBSTITUTE(SUBSTITUTE(Financials!B14,"(%)",""),"($000)","")</f>
        <v xml:space="preserve">2015Y
% Chg - Net Chg in Adj PHS </v>
      </c>
      <c r="IA1" t="str">
        <f ca="1">Financials!$O$4&amp;" - "&amp;SUBSTITUTE(SUBSTITUTE(Financials!B15,"(%)",""),"($000)","")</f>
        <v xml:space="preserve">2015Y
% Chg - Liab to Liq Assets </v>
      </c>
      <c r="IB1" t="str">
        <f ca="1">Financials!$O$4&amp;" - "&amp;SUBSTITUTE(SUBSTITUTE(Financials!B16,"(%)",""),"($000)","")</f>
        <v xml:space="preserve">2015Y
% Chg - Gross Agents' Bal to PHS </v>
      </c>
      <c r="IC1" t="str">
        <f ca="1">Financials!$O$4&amp;" - "&amp;SUBSTITUTE(SUBSTITUTE(Financials!B17,"(%)",""),"($000)","")</f>
        <v xml:space="preserve">2015Y
% Chg - 1-Yr Res Dev to PHS </v>
      </c>
      <c r="ID1" t="str">
        <f ca="1">Financials!$O$4&amp;" - "&amp;SUBSTITUTE(SUBSTITUTE(Financials!B18,"(%)",""),"($000)","")</f>
        <v xml:space="preserve">2015Y
% Chg - 2-Yr Res Dev to PHS </v>
      </c>
      <c r="IE1" t="str">
        <f ca="1">Financials!$O$4&amp;" - "&amp;SUBSTITUTE(SUBSTITUTE(Financials!B19,"(%)",""),"($000)","")</f>
        <v xml:space="preserve">2015Y
% Chg - Est Curr Res Defic to PHS </v>
      </c>
      <c r="IF1" t="str">
        <f ca="1">Financials!$O$4&amp;" - "&amp;SUBSTITUTE(SUBSTITUTE(Financials!B20,"(%)",""),"($000)","")</f>
        <v xml:space="preserve">2015Y
% Chg - Net Chg in C&amp;S </v>
      </c>
      <c r="IG1" t="str">
        <f ca="1">Financials!$O$4&amp;" - "&amp;SUBSTITUTE(SUBSTITUTE(Financials!B21,"(%)",""),"($000)","")</f>
        <v xml:space="preserve">2015Y
% Chg - Gross Chg C&amp;S </v>
      </c>
      <c r="IH1" t="str">
        <f ca="1">Financials!$O$4&amp;" - "&amp;SUBSTITUTE(SUBSTITUTE(Financials!B22,"(%)",""),"($000)","")</f>
        <v xml:space="preserve">2015Y
% Chg - Net Inc to Tot Inc (Incl Rlzd Cap Gains) </v>
      </c>
      <c r="II1" t="str">
        <f ca="1">Financials!$O$4&amp;" - "&amp;SUBSTITUTE(SUBSTITUTE(Financials!B23,"(%)",""),"($000)","")</f>
        <v xml:space="preserve">2015Y
% Chg - Adeq of Inv Inc </v>
      </c>
      <c r="IJ1" t="str">
        <f ca="1">Financials!$O$4&amp;" - "&amp;SUBSTITUTE(SUBSTITUTE(Financials!B24,"(%)",""),"($000)","")</f>
        <v xml:space="preserve">2015Y
% Chg - Non-Adm to Adm Assets </v>
      </c>
      <c r="IK1" t="str">
        <f ca="1">Financials!$O$4&amp;" - "&amp;SUBSTITUTE(SUBSTITUTE(Financials!B25,"(%)",""),"($000)","")</f>
        <v xml:space="preserve">2015Y
% Chg - Tot RE &amp; Tot Mrtg Loans to Cash &amp; Inv Assets </v>
      </c>
      <c r="IL1" t="str">
        <f ca="1">Financials!$O$4&amp;" - "&amp;SUBSTITUTE(SUBSTITUTE(Financials!B26,"(%)",""),"($000)","")</f>
        <v xml:space="preserve">2015Y
% Chg - Tot Aff Inv to C&amp;S </v>
      </c>
      <c r="IM1" t="str">
        <f ca="1">Financials!$O$4&amp;" - "&amp;SUBSTITUTE(SUBSTITUTE(Financials!B27,"(%)",""),"($000)","")</f>
        <v xml:space="preserve">2015Y
% Chg - Surplus Relief </v>
      </c>
      <c r="IN1" t="str">
        <f ca="1">Financials!$O$4&amp;" - "&amp;SUBSTITUTE(SUBSTITUTE(Financials!B28,"(%)",""),"($000)","")</f>
        <v xml:space="preserve">2015Y
% Chg - Chg in Premium </v>
      </c>
      <c r="IO1" t="str">
        <f ca="1">Financials!$O$4&amp;" - "&amp;SUBSTITUTE(SUBSTITUTE(Financials!B29,"(%)",""),"($000)","")</f>
        <v xml:space="preserve">2015Y
% Chg - Chg in Prod Mix </v>
      </c>
      <c r="IP1" t="str">
        <f ca="1">Financials!$O$4&amp;" - "&amp;SUBSTITUTE(SUBSTITUTE(Financials!B30,"(%)",""),"($000)","")</f>
        <v xml:space="preserve">2015Y
% Chg - Chg in Asset Mix </v>
      </c>
      <c r="IQ1" t="str">
        <f ca="1">Financials!$O$4&amp;" - "&amp;SUBSTITUTE(SUBSTITUTE(Financials!B31,"(%)",""),"($000)","")</f>
        <v xml:space="preserve">2015Y
%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26">
        <f ca="1">Financials!N49</f>
        <v>0</v>
      </c>
      <c r="B2" s="26">
        <f ca="1">Financials!N50</f>
        <v>19408047.517999999</v>
      </c>
      <c r="C2" s="26">
        <f ca="1">SchD_1A_1!M14</f>
        <v>4039807.2336500003</v>
      </c>
      <c r="D2" s="26">
        <f ca="1">SchD_1A_1!M24</f>
        <v>470680.67</v>
      </c>
      <c r="E2" s="26">
        <f ca="1">SchD_1A_1!M54</f>
        <v>4187007.48997</v>
      </c>
      <c r="F2" s="26">
        <f ca="1">SchD_1A_1!M64</f>
        <v>10301914.362229999</v>
      </c>
      <c r="G2" s="26">
        <f ca="1">SchD_1A_1!M62</f>
        <v>9801888.3882299997</v>
      </c>
      <c r="H2" s="26">
        <f ca="1">SchD_1A_1!M63</f>
        <v>500025.97399999999</v>
      </c>
      <c r="I2" s="26">
        <f ca="1">SchD_1A_1!M104</f>
        <v>773721.20699999994</v>
      </c>
      <c r="J2" s="26">
        <f ca="1">SchD_1A_1!M102</f>
        <v>773407.12199999997</v>
      </c>
      <c r="K2" s="26">
        <f ca="1">SchD_1A_1!M103</f>
        <v>314.08499999999998</v>
      </c>
      <c r="L2" s="26">
        <f ca="1">SchD_1A_1!M74</f>
        <v>0</v>
      </c>
      <c r="M2" s="26">
        <f ca="1">SchD_1A_1!M84</f>
        <v>99680.631999999998</v>
      </c>
      <c r="N2" s="26">
        <f ca="1">SchD_1A_1!M94</f>
        <v>0</v>
      </c>
      <c r="O2" s="26">
        <f ca="1">SchD_1A_1!M106</f>
        <v>19371879.115850002</v>
      </c>
      <c r="P2" s="26">
        <f ca="1">SchD_1A_1!M107</f>
        <v>500932.47899999999</v>
      </c>
      <c r="Q2" s="26">
        <f ca="1">Financials!N51</f>
        <v>2046233.037</v>
      </c>
      <c r="R2" s="26">
        <f ca="1">Financials!N52</f>
        <v>0</v>
      </c>
      <c r="S2" s="26">
        <f ca="1">Financials!N53</f>
        <v>2046233.037</v>
      </c>
      <c r="T2" s="26">
        <f ca="1">Financials!N54</f>
        <v>743791.69099999999</v>
      </c>
      <c r="U2" s="26">
        <f ca="1">Financials!N55</f>
        <v>0</v>
      </c>
      <c r="V2" s="26">
        <f ca="1">Financials!N56</f>
        <v>0</v>
      </c>
      <c r="W2" s="26">
        <f ca="1">Financials!N57</f>
        <v>0</v>
      </c>
      <c r="X2" s="26">
        <f ca="1">Financials!N58</f>
        <v>743791.69099999999</v>
      </c>
      <c r="Y2" s="26">
        <f ca="1">Financials!N59</f>
        <v>0</v>
      </c>
      <c r="Z2" s="26">
        <f ca="1">Financials!N60</f>
        <v>690491.45200000005</v>
      </c>
      <c r="AA2" s="26">
        <f ca="1">Financials!N61</f>
        <v>2792641.8790000002</v>
      </c>
      <c r="AB2" s="26">
        <f ca="1">Financials!N62</f>
        <v>25681205.577</v>
      </c>
      <c r="AC2" s="37">
        <f ca="1">Financials!O49</f>
        <v>0</v>
      </c>
      <c r="AD2" s="37">
        <f ca="1">Financials!O50</f>
        <v>-6.3524109797112871E-2</v>
      </c>
      <c r="AE2" s="37">
        <f ca="1">SchD_1A_1!N14</f>
        <v>-0.16244696862612507</v>
      </c>
      <c r="AF2" s="37">
        <f ca="1">SchD_1A_1!N24</f>
        <v>-0.10548792827384135</v>
      </c>
      <c r="AG2" s="37">
        <f ca="1">SchD_1A_1!N54</f>
        <v>0.11425598923389235</v>
      </c>
      <c r="AH2" s="37">
        <f ca="1">SchD_1A_1!N64</f>
        <v>-0.14693739199959654</v>
      </c>
      <c r="AI2" s="37">
        <f ca="1">SchD_1A_1!N62</f>
        <v>-0.18518096755070224</v>
      </c>
      <c r="AJ2" s="37">
        <f ca="1">SchD_1A_1!N63</f>
        <v>9.6708232485953918</v>
      </c>
      <c r="AK2" s="37">
        <f ca="1">SchD_1A_1!N104</f>
        <v>0.54830430855944567</v>
      </c>
      <c r="AL2" s="37">
        <f ca="1">SchD_1A_1!N102</f>
        <v>0.54767578868128508</v>
      </c>
      <c r="AM2" s="37" t="str">
        <f ca="1">SchD_1A_1!N103</f>
        <v/>
      </c>
      <c r="AN2" s="37" t="str">
        <f ca="1">SchD_1A_1!N74</f>
        <v/>
      </c>
      <c r="AO2" s="37">
        <f ca="1">SchD_1A_1!N84</f>
        <v>2.6532731514639347</v>
      </c>
      <c r="AP2" s="37" t="str">
        <f ca="1">SchD_1A_1!N94</f>
        <v/>
      </c>
      <c r="AQ2" s="37">
        <f ca="1">SchD_1A_1!N106</f>
        <v>-0.10500268448484129</v>
      </c>
      <c r="AR2" s="37">
        <f ca="1">SchD_1A_1!N107</f>
        <v>6.5927971929237401</v>
      </c>
      <c r="AS2" s="37">
        <f ca="1">Financials!O51</f>
        <v>9.492814105894487E-2</v>
      </c>
      <c r="AT2" s="37">
        <f ca="1">Financials!O52</f>
        <v>0</v>
      </c>
      <c r="AU2" s="37">
        <f ca="1">Financials!O53</f>
        <v>9.492814105894487E-2</v>
      </c>
      <c r="AV2" s="37">
        <f ca="1">Financials!O54</f>
        <v>0</v>
      </c>
      <c r="AW2" s="37">
        <f ca="1">Financials!O55</f>
        <v>0</v>
      </c>
      <c r="AX2" s="37">
        <f ca="1">Financials!O56</f>
        <v>0</v>
      </c>
      <c r="AY2" s="37">
        <f ca="1">Financials!O57</f>
        <v>0</v>
      </c>
      <c r="AZ2" s="37">
        <f ca="1">Financials!O58</f>
        <v>0</v>
      </c>
      <c r="BA2" s="37">
        <f ca="1">Financials!O59</f>
        <v>0</v>
      </c>
      <c r="BB2" s="37">
        <f ca="1">Financials!O60</f>
        <v>-0.3261732208671777</v>
      </c>
      <c r="BC2" s="37">
        <f ca="1">Financials!O61</f>
        <v>-0.10282597077288769</v>
      </c>
      <c r="BD2" s="37">
        <f ca="1">Financials!O62</f>
        <v>-3.9266283159995585E-2</v>
      </c>
      <c r="BE2" s="37">
        <f ca="1">Financials!P49</f>
        <v>0</v>
      </c>
      <c r="BF2" s="37">
        <f ca="1">Financials!P50</f>
        <v>-0.11243981704732531</v>
      </c>
      <c r="BG2" s="37">
        <f ca="1">SchD_1A_1!O14</f>
        <v>-0.10716033242280998</v>
      </c>
      <c r="BH2" s="37">
        <f ca="1">SchD_1A_1!O24</f>
        <v>-0.26859225833170297</v>
      </c>
      <c r="BI2" s="37">
        <f ca="1">SchD_1A_1!O54</f>
        <v>-4.9276571979956829E-2</v>
      </c>
      <c r="BJ2" s="37">
        <f ca="1">SchD_1A_1!O64</f>
        <v>-0.16764113638652056</v>
      </c>
      <c r="BK2" s="37">
        <f ca="1">SchD_1A_1!O62</f>
        <v>-0.2066273013295481</v>
      </c>
      <c r="BL2" s="37">
        <f ca="1">SchD_1A_1!O63</f>
        <v>21.66486296969072</v>
      </c>
      <c r="BM2" s="37">
        <f ca="1">SchD_1A_1!O104</f>
        <v>2.47397392255297</v>
      </c>
      <c r="BN2" s="37">
        <f ca="1">SchD_1A_1!O102</f>
        <v>2.4725636948254714</v>
      </c>
      <c r="BO2" s="37" t="str">
        <f ca="1">SchD_1A_1!O103</f>
        <v/>
      </c>
      <c r="BP2" s="37" t="str">
        <f ca="1">SchD_1A_1!O74</f>
        <v/>
      </c>
      <c r="BQ2" s="37">
        <f ca="1">SchD_1A_1!O84</f>
        <v>0.74088994470229474</v>
      </c>
      <c r="BR2" s="37" t="str">
        <f ca="1">SchD_1A_1!O94</f>
        <v/>
      </c>
      <c r="BS2" s="37">
        <f ca="1">SchD_1A_1!O106</f>
        <v>-0.1276643011311932</v>
      </c>
      <c r="BT2" s="37">
        <f ca="1">SchD_1A_1!O107</f>
        <v>21.705952458386641</v>
      </c>
      <c r="BU2" s="37">
        <f ca="1">Financials!P51</f>
        <v>1.9558818271681937</v>
      </c>
      <c r="BV2" s="37">
        <f ca="1">Financials!P52</f>
        <v>-1</v>
      </c>
      <c r="BW2" s="37">
        <f ca="1">Financials!P53</f>
        <v>1.9607587227019074</v>
      </c>
      <c r="BX2" s="37">
        <f ca="1">Financials!P54</f>
        <v>408.37156030207314</v>
      </c>
      <c r="BY2" s="37">
        <f ca="1">Financials!P55</f>
        <v>-1</v>
      </c>
      <c r="BZ2" s="37">
        <f ca="1">Financials!P56</f>
        <v>0</v>
      </c>
      <c r="CA2" s="37">
        <f ca="1">Financials!P57</f>
        <v>0</v>
      </c>
      <c r="CB2" s="37">
        <f ca="1">Financials!P58</f>
        <v>0</v>
      </c>
      <c r="CC2" s="37">
        <f ca="1">Financials!P59</f>
        <v>0</v>
      </c>
      <c r="CD2" s="37">
        <f ca="1">Financials!P60</f>
        <v>1.9999093542598017</v>
      </c>
      <c r="CE2" s="37">
        <f ca="1">Financials!P61</f>
        <v>3.8006704544814252E-2</v>
      </c>
      <c r="CF2" s="37">
        <f ca="1">Financials!P62</f>
        <v>7.8422393460035877E-3</v>
      </c>
      <c r="CG2" s="26">
        <f ca="1">SchBA!M29</f>
        <v>2782777.65</v>
      </c>
      <c r="CH2" s="26">
        <f ca="1">SchBA!M5</f>
        <v>0</v>
      </c>
      <c r="CI2" s="26">
        <f ca="1">SchBA!M6</f>
        <v>0</v>
      </c>
      <c r="CJ2" s="26">
        <f ca="1">SchBA!M7</f>
        <v>0</v>
      </c>
      <c r="CK2" s="26">
        <f ca="1">SchBA!M8</f>
        <v>0</v>
      </c>
      <c r="CL2" s="26">
        <f ca="1">SchBA!M9</f>
        <v>0</v>
      </c>
      <c r="CM2" s="26">
        <f ca="1">SchBA!M10</f>
        <v>0</v>
      </c>
      <c r="CN2" s="26">
        <f ca="1">SchBA!M11</f>
        <v>0</v>
      </c>
      <c r="CO2" s="26">
        <f ca="1">SchBA!M12</f>
        <v>0</v>
      </c>
      <c r="CP2" s="26">
        <f ca="1">SchBA!M13</f>
        <v>0</v>
      </c>
      <c r="CQ2" s="26">
        <f ca="1">SchBA!M14</f>
        <v>0</v>
      </c>
      <c r="CR2" s="26">
        <f ca="1">SchBA!M15</f>
        <v>1391388.825</v>
      </c>
      <c r="CS2" s="26">
        <f ca="1">SchBA!M16</f>
        <v>0</v>
      </c>
      <c r="CT2" s="26">
        <f ca="1">SchBA!M17</f>
        <v>0</v>
      </c>
      <c r="CU2" s="26">
        <f ca="1">SchBA!M18</f>
        <v>0</v>
      </c>
      <c r="CV2" s="26">
        <f ca="1">SchBA!M19</f>
        <v>0</v>
      </c>
      <c r="CW2" s="26">
        <f ca="1">SchBA!M20</f>
        <v>0</v>
      </c>
      <c r="CX2" s="26">
        <f ca="1">SchBA!M21</f>
        <v>0</v>
      </c>
      <c r="CY2" s="26">
        <f ca="1">SchBA!M22</f>
        <v>0</v>
      </c>
      <c r="CZ2" s="26">
        <f ca="1">SchBA!M23</f>
        <v>0</v>
      </c>
      <c r="DA2" s="26" t="str">
        <f ca="1">SchBA!M24</f>
        <v/>
      </c>
      <c r="DB2" s="26">
        <f ca="1">SchBA!M25</f>
        <v>0</v>
      </c>
      <c r="DC2" s="26">
        <f ca="1">SchBA!M26</f>
        <v>0</v>
      </c>
      <c r="DD2" s="26">
        <f ca="1">SchBA!M27</f>
        <v>0</v>
      </c>
      <c r="DE2" s="26">
        <f ca="1">SchBA!M28</f>
        <v>1391388.825</v>
      </c>
      <c r="DF2" s="26">
        <f ca="1">SchBA!AA29</f>
        <v>2316608.4880000004</v>
      </c>
      <c r="DG2" s="26">
        <f ca="1">SchBA!AO29</f>
        <v>5099386.1380000003</v>
      </c>
      <c r="DH2" s="37">
        <f ca="1">SchBA!N29</f>
        <v>-8.9688232667135659E-2</v>
      </c>
      <c r="DI2" s="37">
        <f ca="1">SchBA!N5</f>
        <v>0</v>
      </c>
      <c r="DJ2" s="37">
        <f ca="1">SchBA!N6</f>
        <v>0</v>
      </c>
      <c r="DK2" s="37">
        <f ca="1">SchBA!N7</f>
        <v>0</v>
      </c>
      <c r="DL2" s="37">
        <f ca="1">SchBA!N8</f>
        <v>0</v>
      </c>
      <c r="DM2" s="37">
        <f ca="1">SchBA!N9</f>
        <v>0</v>
      </c>
      <c r="DN2" s="37">
        <f ca="1">SchBA!N10</f>
        <v>0</v>
      </c>
      <c r="DO2" s="37">
        <f ca="1">SchBA!N11</f>
        <v>0</v>
      </c>
      <c r="DP2" s="37">
        <f ca="1">SchBA!N12</f>
        <v>0</v>
      </c>
      <c r="DQ2" s="37">
        <f ca="1">SchBA!N13</f>
        <v>-1</v>
      </c>
      <c r="DR2" s="37">
        <f ca="1">SchBA!N14</f>
        <v>-1</v>
      </c>
      <c r="DS2" s="37">
        <f ca="1">SchBA!N15</f>
        <v>0.15209065942274202</v>
      </c>
      <c r="DT2" s="37">
        <f ca="1">SchBA!N16</f>
        <v>0</v>
      </c>
      <c r="DU2" s="37">
        <f ca="1">SchBA!N17</f>
        <v>0</v>
      </c>
      <c r="DV2" s="37">
        <f ca="1">SchBA!N18</f>
        <v>0</v>
      </c>
      <c r="DW2" s="37">
        <f ca="1">SchBA!N19</f>
        <v>0</v>
      </c>
      <c r="DX2" s="37">
        <f ca="1">SchBA!N20</f>
        <v>0</v>
      </c>
      <c r="DY2" s="37">
        <f ca="1">SchBA!N21</f>
        <v>0</v>
      </c>
      <c r="DZ2" s="37">
        <f ca="1">SchBA!N22</f>
        <v>0</v>
      </c>
      <c r="EA2" s="37">
        <f ca="1">SchBA!N23</f>
        <v>0</v>
      </c>
      <c r="EB2" s="37">
        <f ca="1">SchBA!N24</f>
        <v>0</v>
      </c>
      <c r="EC2" s="37">
        <f ca="1">SchBA!N25</f>
        <v>0</v>
      </c>
      <c r="ED2" s="37">
        <f ca="1">SchBA!N26</f>
        <v>0</v>
      </c>
      <c r="EE2" s="37">
        <f ca="1">SchBA!N27</f>
        <v>0</v>
      </c>
      <c r="EF2" s="37">
        <f ca="1">SchBA!N28</f>
        <v>-8.9688232667135659E-2</v>
      </c>
      <c r="EG2" s="37">
        <f ca="1">SchBA!AB29</f>
        <v>0</v>
      </c>
      <c r="EH2" s="37">
        <f ca="1">SchBA!AP29</f>
        <v>-8.3089436300419983E-2</v>
      </c>
      <c r="EI2" s="37">
        <f ca="1">SchBA!O29</f>
        <v>8.7030178847799178E-2</v>
      </c>
      <c r="EJ2" s="37">
        <f ca="1">SchBA!O5</f>
        <v>0</v>
      </c>
      <c r="EK2" s="37">
        <f ca="1">SchBA!O6</f>
        <v>0</v>
      </c>
      <c r="EL2" s="37">
        <f ca="1">SchBA!O7</f>
        <v>0</v>
      </c>
      <c r="EM2" s="37">
        <f ca="1">SchBA!O8</f>
        <v>0</v>
      </c>
      <c r="EN2" s="37">
        <f ca="1">SchBA!O9</f>
        <v>0</v>
      </c>
      <c r="EO2" s="37">
        <f ca="1">SchBA!O10</f>
        <v>0</v>
      </c>
      <c r="EP2" s="37">
        <f ca="1">SchBA!O11</f>
        <v>0</v>
      </c>
      <c r="EQ2" s="37">
        <f ca="1">SchBA!O12</f>
        <v>0</v>
      </c>
      <c r="ER2" s="37">
        <f ca="1">SchBA!O13</f>
        <v>-1</v>
      </c>
      <c r="ES2" s="37">
        <f ca="1">SchBA!O14</f>
        <v>0</v>
      </c>
      <c r="ET2" s="37">
        <f ca="1">SchBA!O15</f>
        <v>0.79051609437633141</v>
      </c>
      <c r="EU2" s="37">
        <f ca="1">SchBA!O16</f>
        <v>0</v>
      </c>
      <c r="EV2" s="37">
        <f ca="1">SchBA!O17</f>
        <v>0</v>
      </c>
      <c r="EW2" s="37">
        <f ca="1">SchBA!O18</f>
        <v>0</v>
      </c>
      <c r="EX2" s="37">
        <f ca="1">SchBA!O19</f>
        <v>0</v>
      </c>
      <c r="EY2" s="37">
        <f ca="1">SchBA!O20</f>
        <v>0</v>
      </c>
      <c r="EZ2" s="37">
        <f ca="1">SchBA!O21</f>
        <v>0</v>
      </c>
      <c r="FA2" s="37">
        <f ca="1">SchBA!O22</f>
        <v>0</v>
      </c>
      <c r="FB2" s="37">
        <f ca="1">SchBA!O23</f>
        <v>0</v>
      </c>
      <c r="FC2" s="37">
        <f ca="1">SchBA!O24</f>
        <v>0</v>
      </c>
      <c r="FD2" s="37">
        <f ca="1">SchBA!O25</f>
        <v>0</v>
      </c>
      <c r="FE2" s="37">
        <f ca="1">SchBA!O26</f>
        <v>0</v>
      </c>
      <c r="FF2" s="37">
        <f ca="1">SchBA!O27</f>
        <v>0</v>
      </c>
      <c r="FG2" s="37">
        <f ca="1">SchBA!O28</f>
        <v>8.7030178847799178E-2</v>
      </c>
      <c r="FH2" s="37">
        <f ca="1">SchBA!AC29</f>
        <v>0</v>
      </c>
      <c r="FI2" s="37">
        <f ca="1">SchBA!AQ29</f>
        <v>4.2851920327192428E-2</v>
      </c>
      <c r="FJ2" s="37">
        <f ca="1">Financials!N33</f>
        <v>2.6139991999999997E-2</v>
      </c>
      <c r="FK2" s="37">
        <f ca="1">Financials!N34</f>
        <v>0.82501673600000003</v>
      </c>
      <c r="FL2" s="37">
        <f ca="1">Financials!N35</f>
        <v>7.6793589999999995E-2</v>
      </c>
      <c r="FM2" s="37">
        <f ca="1">Financials!N36</f>
        <v>1.0285785119999999</v>
      </c>
      <c r="FN2" s="37">
        <f ca="1">Financials!N37</f>
        <v>8.227978200000001E-2</v>
      </c>
      <c r="FO2" s="26">
        <f ca="1">Financials!N38</f>
        <v>25681205.577</v>
      </c>
      <c r="FP2" s="26">
        <f ca="1">Financials!N42</f>
        <v>5110715.8670000006</v>
      </c>
      <c r="FQ2" s="26">
        <f ca="1">Financials!N43</f>
        <v>3438866.8810000001</v>
      </c>
      <c r="FR2" s="26">
        <f ca="1">Financials!N44</f>
        <v>1700037.416</v>
      </c>
      <c r="FS2" s="26">
        <f ca="1">Financials!N45</f>
        <v>611429.14600000007</v>
      </c>
      <c r="FT2" s="26">
        <f ca="1">Financials!N46</f>
        <v>101644.997</v>
      </c>
      <c r="FU2" s="26">
        <f ca="1">Financials!N47</f>
        <v>6238.3710000000001</v>
      </c>
      <c r="FV2" s="37">
        <f ca="1">Financials!O33</f>
        <v>-0.32772536785894124</v>
      </c>
      <c r="FW2" s="37">
        <f ca="1">Financials!O34</f>
        <v>-0.11103538555307613</v>
      </c>
      <c r="FX2" s="37">
        <f ca="1">Financials!O35</f>
        <v>-0.2806469532054664</v>
      </c>
      <c r="FY2" s="37">
        <f ca="1">Financials!O36</f>
        <v>4.3274297008359275E-2</v>
      </c>
      <c r="FZ2" s="37">
        <f ca="1">Financials!O37</f>
        <v>-0.37422881082981885</v>
      </c>
      <c r="GA2" s="37">
        <f ca="1">Financials!O38</f>
        <v>-3.9266283159995585E-2</v>
      </c>
      <c r="GB2" s="37">
        <f ca="1">Financials!O42</f>
        <v>-0.10319018130434954</v>
      </c>
      <c r="GC2" s="37">
        <f ca="1">Financials!O43</f>
        <v>0.37626427934265516</v>
      </c>
      <c r="GD2" s="37">
        <f ca="1">Financials!O44</f>
        <v>-0.1167553492406348</v>
      </c>
      <c r="GE2" s="37">
        <f ca="1">Financials!O45</f>
        <v>-0.69073613473602913</v>
      </c>
      <c r="GF2" s="37">
        <f ca="1">Financials!O46</f>
        <v>0.69783362803429827</v>
      </c>
      <c r="GG2" s="37">
        <f ca="1">Financials!O47</f>
        <v>-7.1356182944158686E-2</v>
      </c>
      <c r="GH2" s="37">
        <f ca="1">Financials!P33</f>
        <v>2.2183087597614257</v>
      </c>
      <c r="GI2" s="37">
        <f ca="1">Financials!P34</f>
        <v>1.4990425365098758E-2</v>
      </c>
      <c r="GJ2" s="37">
        <f ca="1">Financials!P35</f>
        <v>1.8693365805376607</v>
      </c>
      <c r="GK2" s="37">
        <f ca="1">Financials!P36</f>
        <v>-7.5114739129713892E-2</v>
      </c>
      <c r="GL2" s="37">
        <f ca="1">Financials!P37</f>
        <v>-0.24148583105053267</v>
      </c>
      <c r="GM2" s="37">
        <f ca="1">Financials!P38</f>
        <v>7.8422393460035877E-3</v>
      </c>
      <c r="GN2" s="37">
        <f ca="1">Financials!P42</f>
        <v>3.5055883390973097E-3</v>
      </c>
      <c r="GO2" s="37">
        <f ca="1">Financials!P43</f>
        <v>-0.1632960646919388</v>
      </c>
      <c r="GP2" s="37">
        <f ca="1">Financials!P44</f>
        <v>-0.19546269079174672</v>
      </c>
      <c r="GQ2" s="37">
        <f ca="1">Financials!P45</f>
        <v>-3.7208826215035566</v>
      </c>
      <c r="GR2" s="37">
        <f ca="1">Financials!P46</f>
        <v>0.1719590302619558</v>
      </c>
      <c r="GS2" s="37">
        <f ca="1">Financials!P47</f>
        <v>-0.24836069119233051</v>
      </c>
      <c r="GT2" s="37">
        <f ca="1">Financials!N7</f>
        <v>1.601263943</v>
      </c>
      <c r="GU2" s="37">
        <f ca="1">Financials!N8</f>
        <v>0.56296397900000006</v>
      </c>
      <c r="GV2" s="37">
        <f ca="1">Financials!N9</f>
        <v>-7.8508778000000001E-2</v>
      </c>
      <c r="GW2" s="37">
        <f ca="1">Financials!N10</f>
        <v>6.963917E-2</v>
      </c>
      <c r="GX2" s="37">
        <f ca="1">Financials!N11</f>
        <v>0.86</v>
      </c>
      <c r="GY2" s="37">
        <f ca="1">Financials!N12</f>
        <v>2.6000000000000002E-2</v>
      </c>
      <c r="GZ2" s="37">
        <f ca="1">Financials!N13</f>
        <v>-6.3287788999999997E-2</v>
      </c>
      <c r="HA2" s="37">
        <f ca="1">Financials!N14</f>
        <v>-0.04</v>
      </c>
      <c r="HB2" s="37">
        <f ca="1">Financials!N15</f>
        <v>1.099387117</v>
      </c>
      <c r="HC2" s="37">
        <f ca="1">Financials!N16</f>
        <v>0.40016287499999997</v>
      </c>
      <c r="HD2" s="37" t="str">
        <f ca="1">Financials!N17</f>
        <v>NM</v>
      </c>
      <c r="HE2" s="37" t="str">
        <f ca="1">Financials!N18</f>
        <v>NM</v>
      </c>
      <c r="HF2" s="37">
        <f ca="1">Financials!N19</f>
        <v>-5.8493112E-2</v>
      </c>
      <c r="HG2" s="37">
        <f ca="1">Financials!N20</f>
        <v>-3.5264112E-2</v>
      </c>
      <c r="HH2" s="37">
        <f ca="1">Financials!N21</f>
        <v>-6.3287788999999997E-2</v>
      </c>
      <c r="HI2" s="37">
        <f ca="1">Financials!N22</f>
        <v>7.856809256</v>
      </c>
      <c r="HJ2" s="37" t="str">
        <f ca="1">Financials!N23</f>
        <v>NM</v>
      </c>
      <c r="HK2" s="37">
        <f ca="1">Financials!N24</f>
        <v>2.0146489E-2</v>
      </c>
      <c r="HL2" s="37">
        <f ca="1">Financials!N25</f>
        <v>2.9002786999999999E-2</v>
      </c>
      <c r="HM2" s="37">
        <f ca="1">Financials!N26</f>
        <v>0.113940287</v>
      </c>
      <c r="HN2" s="37" t="str">
        <f ca="1">Financials!N27</f>
        <v>NM</v>
      </c>
      <c r="HO2" s="37" t="str">
        <f ca="1">Financials!N28</f>
        <v>NM</v>
      </c>
      <c r="HP2" s="37" t="str">
        <f ca="1">Financials!N29</f>
        <v>NM</v>
      </c>
      <c r="HQ2" s="37">
        <f ca="1">Financials!N30</f>
        <v>5.0000000000000001E-3</v>
      </c>
      <c r="HR2" s="37" t="str">
        <f ca="1">Financials!N31</f>
        <v>NM</v>
      </c>
      <c r="HS2" s="37">
        <f ca="1">Financials!O7</f>
        <v>9.3479314604351771E-2</v>
      </c>
      <c r="HT2" s="37">
        <f ca="1">Financials!O8</f>
        <v>-1.6249376112790426E-2</v>
      </c>
      <c r="HU2" s="37">
        <f ca="1">Financials!O9</f>
        <v>0.80664156260289954</v>
      </c>
      <c r="HV2" s="37">
        <f ca="1">Financials!O10</f>
        <v>0.26016508793701099</v>
      </c>
      <c r="HW2" s="37">
        <f ca="1">Financials!O11</f>
        <v>4.1162227602905554E-2</v>
      </c>
      <c r="HX2" s="37">
        <f ca="1">Financials!O12</f>
        <v>0</v>
      </c>
      <c r="HY2" s="37">
        <f ca="1">Financials!O13</f>
        <v>-3.803554219394619</v>
      </c>
      <c r="HZ2" s="37">
        <f ca="1">Financials!O14</f>
        <v>-3</v>
      </c>
      <c r="IA2" s="37">
        <f ca="1">Financials!O15</f>
        <v>4.9357399557967474E-2</v>
      </c>
      <c r="IB2" s="37">
        <f ca="1">Financials!O16</f>
        <v>-1.6862521874074332E-2</v>
      </c>
      <c r="IC2" s="37" t="str">
        <f ca="1">Financials!O17</f>
        <v/>
      </c>
      <c r="ID2" s="37" t="str">
        <f ca="1">Financials!O18</f>
        <v/>
      </c>
      <c r="IE2" s="37">
        <f ca="1">Financials!O19</f>
        <v>0.40511648021698132</v>
      </c>
      <c r="IF2" s="37">
        <f ca="1">Financials!O20</f>
        <v>-2.5621473202485303</v>
      </c>
      <c r="IG2" s="37">
        <f ca="1">Financials!O21</f>
        <v>-3.803554219394619</v>
      </c>
      <c r="IH2" s="37">
        <f ca="1">Financials!O22</f>
        <v>6.0767134265863554E-2</v>
      </c>
      <c r="II2" s="37" t="str">
        <f ca="1">Financials!O23</f>
        <v/>
      </c>
      <c r="IJ2" s="37">
        <f ca="1">Financials!O24</f>
        <v>0.20787116465547562</v>
      </c>
      <c r="IK2" s="37">
        <f ca="1">Financials!O25</f>
        <v>3.3400314992905411E-2</v>
      </c>
      <c r="IL2" s="37">
        <f ca="1">Financials!O26</f>
        <v>-0.26612734397540472</v>
      </c>
      <c r="IM2" s="37" t="str">
        <f ca="1">Financials!O27</f>
        <v/>
      </c>
      <c r="IN2" s="37" t="str">
        <f ca="1">Financials!O28</f>
        <v/>
      </c>
      <c r="IO2" s="37" t="str">
        <f ca="1">Financials!O29</f>
        <v/>
      </c>
      <c r="IP2" s="37">
        <f ca="1">Financials!O30</f>
        <v>-0.16666666666666663</v>
      </c>
      <c r="IQ2" s="37" t="str">
        <f ca="1">Financials!O31</f>
        <v/>
      </c>
      <c r="IR2" s="37">
        <f ca="1">Financials!P7</f>
        <v>-1.7802977381071505E-2</v>
      </c>
      <c r="IS2" s="37">
        <f ca="1">Financials!P8</f>
        <v>-8.7415528662075803E-2</v>
      </c>
      <c r="IT2" s="37">
        <f ca="1">Financials!P9</f>
        <v>0.9966128008549533</v>
      </c>
      <c r="IU2" s="37">
        <f ca="1">Financials!P10</f>
        <v>0.1683502950547473</v>
      </c>
      <c r="IV2" s="37">
        <f ca="1">Financials!P11</f>
        <v>6.6997518610421913E-2</v>
      </c>
      <c r="IW2" s="37">
        <f ca="1">Financials!P12</f>
        <v>-0.29729729729729737</v>
      </c>
      <c r="IX2" s="37">
        <f ca="1">Financials!P13</f>
        <v>0.32786752719013368</v>
      </c>
      <c r="IY2" s="37">
        <f ca="1">Financials!P14</f>
        <v>-2.3333333333333335</v>
      </c>
      <c r="IZ2" s="37">
        <f ca="1">Financials!P15</f>
        <v>-6.097324864135234E-2</v>
      </c>
      <c r="JA2" s="37">
        <f ca="1">Financials!P16</f>
        <v>-0.30389242447238363</v>
      </c>
      <c r="JB2" s="37" t="str">
        <f ca="1">Financials!P17</f>
        <v/>
      </c>
      <c r="JC2" s="37" t="str">
        <f ca="1">Financials!P18</f>
        <v/>
      </c>
      <c r="JD2" s="37">
        <f ca="1">Financials!P19</f>
        <v>-0.69026429079557072</v>
      </c>
      <c r="JE2" s="37">
        <f ca="1">Financials!P20</f>
        <v>-2.250845206375502</v>
      </c>
      <c r="JF2" s="37">
        <f ca="1">Financials!P21</f>
        <v>0.32786752719013368</v>
      </c>
      <c r="JG2" s="37">
        <f ca="1">Financials!P22</f>
        <v>-0.13171486843501201</v>
      </c>
      <c r="JH2" s="37" t="str">
        <f ca="1">Financials!P23</f>
        <v/>
      </c>
      <c r="JI2" s="37">
        <f ca="1">Financials!P24</f>
        <v>-0.34277901103853925</v>
      </c>
      <c r="JJ2" s="37">
        <f ca="1">Financials!P25</f>
        <v>0.54665264005300362</v>
      </c>
      <c r="JK2" s="37">
        <f ca="1">Financials!P26</f>
        <v>-0.12040725828776688</v>
      </c>
      <c r="JL2" s="37" t="str">
        <f ca="1">Financials!P27</f>
        <v/>
      </c>
      <c r="JM2" s="37" t="str">
        <f ca="1">Financials!P28</f>
        <v/>
      </c>
      <c r="JN2" s="37" t="str">
        <f ca="1">Financials!P29</f>
        <v/>
      </c>
      <c r="JO2" s="37">
        <f ca="1">Financials!P30</f>
        <v>0.25</v>
      </c>
      <c r="JP2" s="37" t="str">
        <f ca="1">Financials!P31</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8"/>
  <sheetViews>
    <sheetView workbookViewId="0"/>
  </sheetViews>
  <sheetFormatPr defaultRowHeight="15" x14ac:dyDescent="0.25"/>
  <cols>
    <col min="1" max="1" width="40.125" bestFit="1" customWidth="1"/>
    <col min="2" max="2" width="84.875" bestFit="1" customWidth="1"/>
    <col min="3" max="3" width="7" bestFit="1" customWidth="1"/>
    <col min="4" max="4" width="16.625" bestFit="1" customWidth="1"/>
    <col min="5" max="5" width="21.75" bestFit="1" customWidth="1"/>
    <col min="6" max="6" width="15.125" bestFit="1" customWidth="1"/>
    <col min="7" max="7" width="18.375" bestFit="1" customWidth="1"/>
    <col min="8" max="8" width="17.875" bestFit="1" customWidth="1"/>
    <col min="9" max="9" width="25.125" bestFit="1" customWidth="1"/>
    <col min="10" max="10" width="15.125" bestFit="1" customWidth="1"/>
    <col min="11" max="11" width="16.625" bestFit="1" customWidth="1"/>
    <col min="12" max="12" width="11.125" bestFit="1" customWidth="1"/>
    <col min="13" max="13" width="11.125" customWidth="1"/>
    <col min="14" max="14" width="11.125" bestFit="1" customWidth="1"/>
    <col min="15" max="15" width="9.875" bestFit="1" customWidth="1"/>
    <col min="16" max="16" width="10.625" bestFit="1" customWidth="1"/>
    <col min="17" max="17" width="10" customWidth="1"/>
  </cols>
  <sheetData>
    <row r="1" spans="1:17" x14ac:dyDescent="0.25">
      <c r="A1" s="7" t="s">
        <v>6</v>
      </c>
      <c r="B1" s="7" t="str">
        <f>STAT_KEY</f>
        <v>GP4042156</v>
      </c>
      <c r="C1" s="7"/>
    </row>
    <row r="4" spans="1:17" s="7" customFormat="1" ht="25.5" x14ac:dyDescent="0.2">
      <c r="A4" s="23" t="s">
        <v>53</v>
      </c>
      <c r="B4" s="7" t="s">
        <v>10</v>
      </c>
      <c r="C4" s="7" t="s">
        <v>11</v>
      </c>
      <c r="D4" s="7" t="s">
        <v>12</v>
      </c>
      <c r="E4" s="32" t="str">
        <f ca="1">CONCATENATE(Variables!$B$8-6,"Y")</f>
        <v>2010Y</v>
      </c>
      <c r="F4" s="32" t="str">
        <f ca="1">CONCATENATE(Variables!$B$8-5,"Y")</f>
        <v>2011Y</v>
      </c>
      <c r="G4" s="36" t="str">
        <f ca="1">F4&amp;CHAR(10)&amp;"% Chg"</f>
        <v>2011Y
% Chg</v>
      </c>
      <c r="H4" s="32" t="str">
        <f ca="1">CONCATENATE(Variables!$B$8-4,"Y")</f>
        <v>2012Y</v>
      </c>
      <c r="I4" s="36" t="str">
        <f ca="1">H4&amp;CHAR(10)&amp;"% Chg"</f>
        <v>2012Y
% Chg</v>
      </c>
      <c r="J4" s="32" t="str">
        <f ca="1">CONCATENATE(Variables!$B$8-3,"Y")</f>
        <v>2013Y</v>
      </c>
      <c r="K4" s="36" t="str">
        <f ca="1">J4&amp;CHAR(10)&amp;"% Chg"</f>
        <v>2013Y
% Chg</v>
      </c>
      <c r="L4" s="32" t="str">
        <f ca="1">CONCATENATE(Variables!$B$8-2,"Y")</f>
        <v>2014Y</v>
      </c>
      <c r="M4" s="36" t="str">
        <f ca="1">L4&amp;CHAR(10)&amp;"% Chg"</f>
        <v>2014Y
% Chg</v>
      </c>
      <c r="N4" s="32" t="str">
        <f ca="1">CONCATENATE(Variables!$B$8-1,"Y")</f>
        <v>2015Y</v>
      </c>
      <c r="O4" s="36" t="str">
        <f ca="1">N4&amp;CHAR(10)&amp;"% Chg"</f>
        <v>2015Y
% Chg</v>
      </c>
      <c r="P4" s="33" t="s">
        <v>107</v>
      </c>
      <c r="Q4" s="34" t="s">
        <v>108</v>
      </c>
    </row>
    <row r="5" spans="1:17" s="7" customFormat="1" ht="12.75" x14ac:dyDescent="0.2">
      <c r="E5" s="12">
        <f ca="1">DATE(LEFT(E4,4),12,31)</f>
        <v>40543</v>
      </c>
      <c r="F5" s="12">
        <f ca="1">DATE(LEFT(F4,4),12,31)</f>
        <v>40908</v>
      </c>
      <c r="G5" s="12"/>
      <c r="H5" s="12">
        <f t="shared" ref="H5:N5" ca="1" si="0">DATE(LEFT(H4,4),12,31)</f>
        <v>41274</v>
      </c>
      <c r="I5" s="12"/>
      <c r="J5" s="12">
        <f t="shared" ca="1" si="0"/>
        <v>41639</v>
      </c>
      <c r="K5" s="12"/>
      <c r="L5" s="12">
        <f t="shared" ca="1" si="0"/>
        <v>42004</v>
      </c>
      <c r="M5" s="12"/>
      <c r="N5" s="12">
        <f t="shared" ca="1" si="0"/>
        <v>42369</v>
      </c>
    </row>
    <row r="6" spans="1:17" x14ac:dyDescent="0.25">
      <c r="A6" s="7" t="s">
        <v>30</v>
      </c>
    </row>
    <row r="7" spans="1:17" x14ac:dyDescent="0.25">
      <c r="B7" s="7" t="str">
        <f>MID([1]!SNLLabel($D7,$C7),10,LEN([1]!SNLLabel($D7,$C7))-9)</f>
        <v>GPW to PHS (%)</v>
      </c>
      <c r="C7" s="7">
        <v>241250</v>
      </c>
      <c r="D7" s="7">
        <v>287</v>
      </c>
      <c r="E7" s="24">
        <f ca="1">IFERROR(IF(ISBLANK($C7),,IF(OR([1]!SNLData($D7,$B$1,$C7,E$4)="NA",[1]!SNLData($D7,$B$1,$C7,E$4)=0,[1]!SNLData($D7,$B$1,$C7,E$4)="NM"),"NM",[1]!SNLData($D7,$B$1,$C7,E$4)/100)),)</f>
        <v>1.4271019069999999</v>
      </c>
      <c r="F7" s="24">
        <f ca="1">IFERROR(IF(ISBLANK($C7),,IF(OR([1]!SNLData($D7,$B$1,$C7,F$4)="NA",[1]!SNLData($D7,$B$1,$C7,F$4)=0,[1]!SNLData($D7,$B$1,$C7,F$4)="NM"),"NM",[1]!SNLData($D7,$B$1,$C7,F$4)/100)),)</f>
        <v>1.6302879219999999</v>
      </c>
      <c r="G7" s="24">
        <f ca="1">IFERROR((F7/E7)-1,"")</f>
        <v>0.14237666840984753</v>
      </c>
      <c r="H7" s="24">
        <f ca="1">IFERROR(IF(ISBLANK($C7),,IF(OR([1]!SNLData($D7,$B$1,$C7,H$4)="NA",[1]!SNLData($D7,$B$1,$C7,H$4)=0,[1]!SNLData($D7,$B$1,$C7,H$4)="NM"),"NM",[1]!SNLData($D7,$B$1,$C7,H$4)/100)),)</f>
        <v>1.5465181050000001</v>
      </c>
      <c r="I7" s="24">
        <f ca="1">IFERROR((H7/F7)-1,"")</f>
        <v>-5.1383449432191641E-2</v>
      </c>
      <c r="J7" s="24">
        <f ca="1">IFERROR(IF(ISBLANK($C7),,IF(OR([1]!SNLData($D7,$B$1,$C7,J$4)="NA",[1]!SNLData($D7,$B$1,$C7,J$4)=0,[1]!SNLData($D7,$B$1,$C7,J$4)="NM"),"NM",[1]!SNLData($D7,$B$1,$C7,J$4)/100)),)</f>
        <v>1.5609354450000001</v>
      </c>
      <c r="K7" s="24">
        <f ca="1">IFERROR((J7/H7)-1,"")</f>
        <v>9.3224514820666737E-3</v>
      </c>
      <c r="L7" s="24">
        <f ca="1">IFERROR(IF(ISBLANK($C7),,IF(OR([1]!SNLData($D7,$B$1,$C7,L$4)="NA",[1]!SNLData($D7,$B$1,$C7,L$4)=0,[1]!SNLData($D7,$B$1,$C7,L$4)="NM"),"NM",[1]!SNLData($D7,$B$1,$C7,L$4)/100)),)</f>
        <v>1.4643751570000001</v>
      </c>
      <c r="M7" s="24">
        <f ca="1">IFERROR((L7/J7)-1,"")</f>
        <v>-6.1860526205169242E-2</v>
      </c>
      <c r="N7" s="24">
        <f ca="1">IFERROR(IF(ISBLANK($C7),,IF(OR([1]!SNLData($D7,$B$1,$C7,N$4)="NA",[1]!SNLData($D7,$B$1,$C7,N$4)=0,[1]!SNLData($D7,$B$1,$C7,N$4)="NM"),"NM",[1]!SNLData($D7,$B$1,$C7,N$4)/100)),)</f>
        <v>1.601263943</v>
      </c>
      <c r="O7" s="24">
        <f ca="1">IFERROR((N7/L7)-1,"")</f>
        <v>9.3479314604351771E-2</v>
      </c>
      <c r="P7" s="24">
        <f ca="1">IFERROR((N7/F7)-1,"")</f>
        <v>-1.7802977381071505E-2</v>
      </c>
      <c r="Q7" s="24">
        <f t="shared" ref="Q7:Q31" ca="1" si="1">IFERROR(((1+P7)^(1/5))-1,"")</f>
        <v>-3.5862254220752066E-3</v>
      </c>
    </row>
    <row r="8" spans="1:17" x14ac:dyDescent="0.25">
      <c r="B8" s="7" t="str">
        <f>MID([1]!SNLLabel($D8,$C8),10,LEN([1]!SNLLabel($D8,$C8))-9)</f>
        <v>NPW to PHS (%)</v>
      </c>
      <c r="C8" s="7">
        <v>241251</v>
      </c>
      <c r="D8" s="7">
        <v>287</v>
      </c>
      <c r="E8" s="24">
        <f ca="1">IFERROR(IF(ISBLANK($C8),,IF(OR([1]!SNLData($D8,$B$1,$C8,E$4)="NA",[1]!SNLData($D8,$B$1,$C8,E$4)=0,[1]!SNLData($D8,$B$1,$C8,E$4)="NM"),"NM",[1]!SNLData($D8,$B$1,$C8,E$4)/100)),)</f>
        <v>0.61153412500000004</v>
      </c>
      <c r="F8" s="24">
        <f ca="1">IFERROR(IF(ISBLANK($C8),,IF(OR([1]!SNLData($D8,$B$1,$C8,F$4)="NA",[1]!SNLData($D8,$B$1,$C8,F$4)=0,[1]!SNLData($D8,$B$1,$C8,F$4)="NM"),"NM",[1]!SNLData($D8,$B$1,$C8,F$4)/100)),)</f>
        <v>0.61688971999999997</v>
      </c>
      <c r="G8" s="24">
        <f t="shared" ref="G8:G31" ca="1" si="2">IFERROR((F8/E8)-1,"")</f>
        <v>8.7576388316841225E-3</v>
      </c>
      <c r="H8" s="24">
        <f ca="1">IFERROR(IF(ISBLANK($C8),,IF(OR([1]!SNLData($D8,$B$1,$C8,H$4)="NA",[1]!SNLData($D8,$B$1,$C8,H$4)=0,[1]!SNLData($D8,$B$1,$C8,H$4)="NM"),"NM",[1]!SNLData($D8,$B$1,$C8,H$4)/100)),)</f>
        <v>0.60967175500000004</v>
      </c>
      <c r="I8" s="24">
        <f t="shared" ref="I8:I31" ca="1" si="3">IFERROR((H8/F8)-1,"")</f>
        <v>-1.1700575914930011E-2</v>
      </c>
      <c r="J8" s="24">
        <f ca="1">IFERROR(IF(ISBLANK($C8),,IF(OR([1]!SNLData($D8,$B$1,$C8,J$4)="NA",[1]!SNLData($D8,$B$1,$C8,J$4)=0,[1]!SNLData($D8,$B$1,$C8,J$4)="NM"),"NM",[1]!SNLData($D8,$B$1,$C8,J$4)/100)),)</f>
        <v>0.61176591199999997</v>
      </c>
      <c r="K8" s="24">
        <f t="shared" ref="K8:K31" ca="1" si="4">IFERROR((J8/H8)-1,"")</f>
        <v>3.4348926005272062E-3</v>
      </c>
      <c r="L8" s="24">
        <f ca="1">IFERROR(IF(ISBLANK($C8),,IF(OR([1]!SNLData($D8,$B$1,$C8,L$4)="NA",[1]!SNLData($D8,$B$1,$C8,L$4)=0,[1]!SNLData($D8,$B$1,$C8,L$4)="NM"),"NM",[1]!SNLData($D8,$B$1,$C8,L$4)/100)),)</f>
        <v>0.57226289399999997</v>
      </c>
      <c r="M8" s="24">
        <f t="shared" ref="M8:M31" ca="1" si="5">IFERROR((L8/J8)-1,"")</f>
        <v>-6.4572113655132823E-2</v>
      </c>
      <c r="N8" s="24">
        <f ca="1">IFERROR(IF(ISBLANK($C8),,IF(OR([1]!SNLData($D8,$B$1,$C8,N$4)="NA",[1]!SNLData($D8,$B$1,$C8,N$4)=0,[1]!SNLData($D8,$B$1,$C8,N$4)="NM"),"NM",[1]!SNLData($D8,$B$1,$C8,N$4)/100)),)</f>
        <v>0.56296397900000006</v>
      </c>
      <c r="O8" s="24">
        <f t="shared" ref="O8:O31" ca="1" si="6">IFERROR((N8/L8)-1,"")</f>
        <v>-1.6249376112790426E-2</v>
      </c>
      <c r="P8" s="24">
        <f t="shared" ref="P8:P31" ca="1" si="7">IFERROR((N8/F8)-1,"")</f>
        <v>-8.7415528662075803E-2</v>
      </c>
      <c r="Q8" s="24">
        <f t="shared" ca="1" si="1"/>
        <v>-1.8128589064587364E-2</v>
      </c>
    </row>
    <row r="9" spans="1:17" x14ac:dyDescent="0.25">
      <c r="B9" s="7" t="str">
        <f>MID([1]!SNLLabel($D9,$C9),10,LEN([1]!SNLLabel($D9,$C9))-9)</f>
        <v>Chg in NPW (%)</v>
      </c>
      <c r="C9" s="7">
        <v>241252</v>
      </c>
      <c r="D9" s="7">
        <v>287</v>
      </c>
      <c r="E9" s="24">
        <f ca="1">IFERROR(IF(ISBLANK($C9),,IF(OR([1]!SNLData($D9,$B$1,$C9,E$4)="NA",[1]!SNLData($D9,$B$1,$C9,E$4)=0,[1]!SNLData($D9,$B$1,$C9,E$4)="NM"),"NM",[1]!SNLData($D9,$B$1,$C9,E$4)/100)),)</f>
        <v>-8.3363324000000003E-2</v>
      </c>
      <c r="F9" s="24">
        <f ca="1">IFERROR(IF(ISBLANK($C9),,IF(OR([1]!SNLData($D9,$B$1,$C9,F$4)="NA",[1]!SNLData($D9,$B$1,$C9,F$4)=0,[1]!SNLData($D9,$B$1,$C9,F$4)="NM"),"NM",[1]!SNLData($D9,$B$1,$C9,F$4)/100)),)</f>
        <v>-3.9320982999999997E-2</v>
      </c>
      <c r="G9" s="24">
        <f t="shared" ca="1" si="2"/>
        <v>-0.52831795670719661</v>
      </c>
      <c r="H9" s="24">
        <f ca="1">IFERROR(IF(ISBLANK($C9),,IF(OR([1]!SNLData($D9,$B$1,$C9,H$4)="NA",[1]!SNLData($D9,$B$1,$C9,H$4)=0,[1]!SNLData($D9,$B$1,$C9,H$4)="NM"),"NM",[1]!SNLData($D9,$B$1,$C9,H$4)/100)),)</f>
        <v>6.4512885999999992E-2</v>
      </c>
      <c r="I9" s="24">
        <f t="shared" ca="1" si="3"/>
        <v>-2.6406732761487675</v>
      </c>
      <c r="J9" s="24">
        <f ca="1">IFERROR(IF(ISBLANK($C9),,IF(OR([1]!SNLData($D9,$B$1,$C9,J$4)="NA",[1]!SNLData($D9,$B$1,$C9,J$4)=0,[1]!SNLData($D9,$B$1,$C9,J$4)="NM"),"NM",[1]!SNLData($D9,$B$1,$C9,J$4)/100)),)</f>
        <v>1.6839643000000001E-2</v>
      </c>
      <c r="K9" s="24">
        <f t="shared" ca="1" si="4"/>
        <v>-0.73897241242625533</v>
      </c>
      <c r="L9" s="24">
        <f ca="1">IFERROR(IF(ISBLANK($C9),,IF(OR([1]!SNLData($D9,$B$1,$C9,L$4)="NA",[1]!SNLData($D9,$B$1,$C9,L$4)=0,[1]!SNLData($D9,$B$1,$C9,L$4)="NM"),"NM",[1]!SNLData($D9,$B$1,$C9,L$4)/100)),)</f>
        <v>-4.3455647E-2</v>
      </c>
      <c r="M9" s="24">
        <f t="shared" ca="1" si="5"/>
        <v>-3.5805563098932676</v>
      </c>
      <c r="N9" s="24">
        <f ca="1">IFERROR(IF(ISBLANK($C9),,IF(OR([1]!SNLData($D9,$B$1,$C9,N$4)="NA",[1]!SNLData($D9,$B$1,$C9,N$4)=0,[1]!SNLData($D9,$B$1,$C9,N$4)="NM"),"NM",[1]!SNLData($D9,$B$1,$C9,N$4)/100)),)</f>
        <v>-7.8508778000000001E-2</v>
      </c>
      <c r="O9" s="24">
        <f t="shared" ca="1" si="6"/>
        <v>0.80664156260289954</v>
      </c>
      <c r="P9" s="24">
        <f t="shared" ca="1" si="7"/>
        <v>0.9966128008549533</v>
      </c>
      <c r="Q9" s="24">
        <f t="shared" ca="1" si="1"/>
        <v>0.14830900413724168</v>
      </c>
    </row>
    <row r="10" spans="1:17" x14ac:dyDescent="0.25">
      <c r="B10" s="7" t="str">
        <f>MID([1]!SNLLabel($D10,$C10),10,LEN([1]!SNLLabel($D10,$C10))-9)</f>
        <v>Surplus Aid to PHS (%)</v>
      </c>
      <c r="C10" s="7">
        <v>241253</v>
      </c>
      <c r="D10" s="7">
        <v>287</v>
      </c>
      <c r="E10" s="24">
        <f ca="1">IFERROR(IF(ISBLANK($C10),,IF(OR([1]!SNLData($D10,$B$1,$C10,E$4)="NA",[1]!SNLData($D10,$B$1,$C10,E$4)=0,[1]!SNLData($D10,$B$1,$C10,E$4)="NM"),"NM",[1]!SNLData($D10,$B$1,$C10,E$4)/100)),)</f>
        <v>6.2220624000000002E-2</v>
      </c>
      <c r="F10" s="24">
        <f ca="1">IFERROR(IF(ISBLANK($C10),,IF(OR([1]!SNLData($D10,$B$1,$C10,F$4)="NA",[1]!SNLData($D10,$B$1,$C10,F$4)=0,[1]!SNLData($D10,$B$1,$C10,F$4)="NM"),"NM",[1]!SNLData($D10,$B$1,$C10,F$4)/100)),)</f>
        <v>5.9604701000000003E-2</v>
      </c>
      <c r="G10" s="24">
        <f t="shared" ca="1" si="2"/>
        <v>-4.204269953962525E-2</v>
      </c>
      <c r="H10" s="24">
        <f ca="1">IFERROR(IF(ISBLANK($C10),,IF(OR([1]!SNLData($D10,$B$1,$C10,H$4)="NA",[1]!SNLData($D10,$B$1,$C10,H$4)=0,[1]!SNLData($D10,$B$1,$C10,H$4)="NM"),"NM",[1]!SNLData($D10,$B$1,$C10,H$4)/100)),)</f>
        <v>5.9289487000000002E-2</v>
      </c>
      <c r="I10" s="24">
        <f t="shared" ca="1" si="3"/>
        <v>-5.2884083757085421E-3</v>
      </c>
      <c r="J10" s="24">
        <f ca="1">IFERROR(IF(ISBLANK($C10),,IF(OR([1]!SNLData($D10,$B$1,$C10,J$4)="NA",[1]!SNLData($D10,$B$1,$C10,J$4)=0,[1]!SNLData($D10,$B$1,$C10,J$4)="NM"),"NM",[1]!SNLData($D10,$B$1,$C10,J$4)/100)),)</f>
        <v>5.7368541000000002E-2</v>
      </c>
      <c r="K10" s="24">
        <f t="shared" ca="1" si="4"/>
        <v>-3.2399437019922317E-2</v>
      </c>
      <c r="L10" s="24">
        <f ca="1">IFERROR(IF(ISBLANK($C10),,IF(OR([1]!SNLData($D10,$B$1,$C10,L$4)="NA",[1]!SNLData($D10,$B$1,$C10,L$4)=0,[1]!SNLData($D10,$B$1,$C10,L$4)="NM"),"NM",[1]!SNLData($D10,$B$1,$C10,L$4)/100)),)</f>
        <v>5.5261942000000001E-2</v>
      </c>
      <c r="M10" s="24">
        <f t="shared" ca="1" si="5"/>
        <v>-3.6720456251449707E-2</v>
      </c>
      <c r="N10" s="24">
        <f ca="1">IFERROR(IF(ISBLANK($C10),,IF(OR([1]!SNLData($D10,$B$1,$C10,N$4)="NA",[1]!SNLData($D10,$B$1,$C10,N$4)=0,[1]!SNLData($D10,$B$1,$C10,N$4)="NM"),"NM",[1]!SNLData($D10,$B$1,$C10,N$4)/100)),)</f>
        <v>6.963917E-2</v>
      </c>
      <c r="O10" s="24">
        <f t="shared" ca="1" si="6"/>
        <v>0.26016508793701099</v>
      </c>
      <c r="P10" s="24">
        <f t="shared" ca="1" si="7"/>
        <v>0.1683502950547473</v>
      </c>
      <c r="Q10" s="24">
        <f t="shared" ca="1" si="1"/>
        <v>3.1607793657332239E-2</v>
      </c>
    </row>
    <row r="11" spans="1:17" x14ac:dyDescent="0.25">
      <c r="B11" s="7" t="str">
        <f>MID([1]!SNLLabel($D11,$C11),11,LEN([1]!SNLLabel($D11,$C11))-10)</f>
        <v>2-Yr Overall Operating Ratio (%)</v>
      </c>
      <c r="C11" s="7">
        <v>241254</v>
      </c>
      <c r="D11" s="7">
        <v>287</v>
      </c>
      <c r="E11" s="24">
        <f ca="1">IFERROR(IF(ISBLANK($C11),,IF(OR([1]!SNLData($D11,$B$1,$C11,E$4)="NA",[1]!SNLData($D11,$B$1,$C11,E$4)=0,[1]!SNLData($D11,$B$1,$C11,E$4)="NM"),"NM",[1]!SNLData($D11,$B$1,$C11,E$4)/100)),)</f>
        <v>0.81200000000000006</v>
      </c>
      <c r="F11" s="24">
        <f ca="1">IFERROR(IF(ISBLANK($C11),,IF(OR([1]!SNLData($D11,$B$1,$C11,F$4)="NA",[1]!SNLData($D11,$B$1,$C11,F$4)=0,[1]!SNLData($D11,$B$1,$C11,F$4)="NM"),"NM",[1]!SNLData($D11,$B$1,$C11,F$4)/100)),)</f>
        <v>0.80599999999999994</v>
      </c>
      <c r="G11" s="24">
        <f t="shared" ca="1" si="2"/>
        <v>-7.3891625615765122E-3</v>
      </c>
      <c r="H11" s="24">
        <f ca="1">IFERROR(IF(ISBLANK($C11),,IF(OR([1]!SNLData($D11,$B$1,$C11,H$4)="NA",[1]!SNLData($D11,$B$1,$C11,H$4)=0,[1]!SNLData($D11,$B$1,$C11,H$4)="NM"),"NM",[1]!SNLData($D11,$B$1,$C11,H$4)/100)),)</f>
        <v>0.85599999999999998</v>
      </c>
      <c r="I11" s="24">
        <f t="shared" ca="1" si="3"/>
        <v>6.2034739454094323E-2</v>
      </c>
      <c r="J11" s="24">
        <f ca="1">IFERROR(IF(ISBLANK($C11),,IF(OR([1]!SNLData($D11,$B$1,$C11,J$4)="NA",[1]!SNLData($D11,$B$1,$C11,J$4)=0,[1]!SNLData($D11,$B$1,$C11,J$4)="NM"),"NM",[1]!SNLData($D11,$B$1,$C11,J$4)/100)),)</f>
        <v>0.84299999999999997</v>
      </c>
      <c r="K11" s="24">
        <f t="shared" ca="1" si="4"/>
        <v>-1.5186915887850483E-2</v>
      </c>
      <c r="L11" s="24">
        <f ca="1">IFERROR(IF(ISBLANK($C11),,IF(OR([1]!SNLData($D11,$B$1,$C11,L$4)="NA",[1]!SNLData($D11,$B$1,$C11,L$4)=0,[1]!SNLData($D11,$B$1,$C11,L$4)="NM"),"NM",[1]!SNLData($D11,$B$1,$C11,L$4)/100)),)</f>
        <v>0.82599999999999996</v>
      </c>
      <c r="M11" s="24">
        <f t="shared" ca="1" si="5"/>
        <v>-2.0166073546856511E-2</v>
      </c>
      <c r="N11" s="24">
        <f ca="1">IFERROR(IF(ISBLANK($C11),,IF(OR([1]!SNLData($D11,$B$1,$C11,N$4)="NA",[1]!SNLData($D11,$B$1,$C11,N$4)=0,[1]!SNLData($D11,$B$1,$C11,N$4)="NM"),"NM",[1]!SNLData($D11,$B$1,$C11,N$4)/100)),)</f>
        <v>0.86</v>
      </c>
      <c r="O11" s="24">
        <f t="shared" ca="1" si="6"/>
        <v>4.1162227602905554E-2</v>
      </c>
      <c r="P11" s="24">
        <f t="shared" ca="1" si="7"/>
        <v>6.6997518610421913E-2</v>
      </c>
      <c r="Q11" s="24">
        <f t="shared" ca="1" si="1"/>
        <v>1.3054201084676809E-2</v>
      </c>
    </row>
    <row r="12" spans="1:17" x14ac:dyDescent="0.25">
      <c r="B12" s="7" t="str">
        <f>MID([1]!SNLLabel($D12,$C12),10,LEN([1]!SNLLabel($D12,$C12))-9)</f>
        <v>Invest Yield (%)</v>
      </c>
      <c r="C12" s="7">
        <v>241255</v>
      </c>
      <c r="D12" s="7">
        <v>287</v>
      </c>
      <c r="E12" s="24">
        <f ca="1">IFERROR(IF(ISBLANK($C12),,IF(OR([1]!SNLData($D12,$B$1,$C12,E$4)="NA",[1]!SNLData($D12,$B$1,$C12,E$4)=0,[1]!SNLData($D12,$B$1,$C12,E$4)="NM"),"NM",[1]!SNLData($D12,$B$1,$C12,E$4)/100)),)</f>
        <v>3.7999999999999999E-2</v>
      </c>
      <c r="F12" s="24">
        <f ca="1">IFERROR(IF(ISBLANK($C12),,IF(OR([1]!SNLData($D12,$B$1,$C12,F$4)="NA",[1]!SNLData($D12,$B$1,$C12,F$4)=0,[1]!SNLData($D12,$B$1,$C12,F$4)="NM"),"NM",[1]!SNLData($D12,$B$1,$C12,F$4)/100)),)</f>
        <v>3.7000000000000005E-2</v>
      </c>
      <c r="G12" s="24">
        <f t="shared" ca="1" si="2"/>
        <v>-2.631578947368407E-2</v>
      </c>
      <c r="H12" s="24">
        <f ca="1">IFERROR(IF(ISBLANK($C12),,IF(OR([1]!SNLData($D12,$B$1,$C12,H$4)="NA",[1]!SNLData($D12,$B$1,$C12,H$4)=0,[1]!SNLData($D12,$B$1,$C12,H$4)="NM"),"NM",[1]!SNLData($D12,$B$1,$C12,H$4)/100)),)</f>
        <v>3.2000000000000001E-2</v>
      </c>
      <c r="I12" s="24">
        <f t="shared" ca="1" si="3"/>
        <v>-0.1351351351351352</v>
      </c>
      <c r="J12" s="24">
        <f ca="1">IFERROR(IF(ISBLANK($C12),,IF(OR([1]!SNLData($D12,$B$1,$C12,J$4)="NA",[1]!SNLData($D12,$B$1,$C12,J$4)=0,[1]!SNLData($D12,$B$1,$C12,J$4)="NM"),"NM",[1]!SNLData($D12,$B$1,$C12,J$4)/100)),)</f>
        <v>2.7000000000000003E-2</v>
      </c>
      <c r="K12" s="24">
        <f t="shared" ca="1" si="4"/>
        <v>-0.15624999999999989</v>
      </c>
      <c r="L12" s="24">
        <f ca="1">IFERROR(IF(ISBLANK($C12),,IF(OR([1]!SNLData($D12,$B$1,$C12,L$4)="NA",[1]!SNLData($D12,$B$1,$C12,L$4)=0,[1]!SNLData($D12,$B$1,$C12,L$4)="NM"),"NM",[1]!SNLData($D12,$B$1,$C12,L$4)/100)),)</f>
        <v>2.6000000000000002E-2</v>
      </c>
      <c r="M12" s="24">
        <f t="shared" ca="1" si="5"/>
        <v>-3.703703703703709E-2</v>
      </c>
      <c r="N12" s="24">
        <f ca="1">IFERROR(IF(ISBLANK($C12),,IF(OR([1]!SNLData($D12,$B$1,$C12,N$4)="NA",[1]!SNLData($D12,$B$1,$C12,N$4)=0,[1]!SNLData($D12,$B$1,$C12,N$4)="NM"),"NM",[1]!SNLData($D12,$B$1,$C12,N$4)/100)),)</f>
        <v>2.6000000000000002E-2</v>
      </c>
      <c r="O12" s="24">
        <f t="shared" ca="1" si="6"/>
        <v>0</v>
      </c>
      <c r="P12" s="24">
        <f t="shared" ca="1" si="7"/>
        <v>-0.29729729729729737</v>
      </c>
      <c r="Q12" s="24">
        <f t="shared" ca="1" si="1"/>
        <v>-6.8132158134363019E-2</v>
      </c>
    </row>
    <row r="13" spans="1:17" x14ac:dyDescent="0.25">
      <c r="B13" s="7" t="str">
        <f>MID([1]!SNLLabel($D13,$C13),10,LEN([1]!SNLLabel($D13,$C13))-9)</f>
        <v>Gross Chg in PHS (%)</v>
      </c>
      <c r="C13" s="7">
        <v>241256</v>
      </c>
      <c r="D13" s="7">
        <v>287</v>
      </c>
      <c r="E13" s="24">
        <f ca="1">IFERROR(IF(ISBLANK($C13),,IF(OR([1]!SNLData($D13,$B$1,$C13,E$4)="NA",[1]!SNLData($D13,$B$1,$C13,E$4)=0,[1]!SNLData($D13,$B$1,$C13,E$4)="NM"),"NM",[1]!SNLData($D13,$B$1,$C13,E$4)/100)),)</f>
        <v>1.3933827000000001E-2</v>
      </c>
      <c r="F13" s="24">
        <f ca="1">IFERROR(IF(ISBLANK($C13),,IF(OR([1]!SNLData($D13,$B$1,$C13,F$4)="NA",[1]!SNLData($D13,$B$1,$C13,F$4)=0,[1]!SNLData($D13,$B$1,$C13,F$4)="NM"),"NM",[1]!SNLData($D13,$B$1,$C13,F$4)/100)),)</f>
        <v>-4.7661221999999996E-2</v>
      </c>
      <c r="G13" s="24">
        <f t="shared" ca="1" si="2"/>
        <v>-4.4205406741450135</v>
      </c>
      <c r="H13" s="24">
        <f ca="1">IFERROR(IF(ISBLANK($C13),,IF(OR([1]!SNLData($D13,$B$1,$C13,H$4)="NA",[1]!SNLData($D13,$B$1,$C13,H$4)=0,[1]!SNLData($D13,$B$1,$C13,H$4)="NM"),"NM",[1]!SNLData($D13,$B$1,$C13,H$4)/100)),)</f>
        <v>7.7115761000000005E-2</v>
      </c>
      <c r="I13" s="24">
        <f t="shared" ca="1" si="3"/>
        <v>-2.6179979816715573</v>
      </c>
      <c r="J13" s="24">
        <f ca="1">IFERROR(IF(ISBLANK($C13),,IF(OR([1]!SNLData($D13,$B$1,$C13,J$4)="NA",[1]!SNLData($D13,$B$1,$C13,J$4)=0,[1]!SNLData($D13,$B$1,$C13,J$4)="NM"),"NM",[1]!SNLData($D13,$B$1,$C13,J$4)/100)),)</f>
        <v>1.3358864E-2</v>
      </c>
      <c r="K13" s="24">
        <f t="shared" ca="1" si="4"/>
        <v>-0.82676869388606566</v>
      </c>
      <c r="L13" s="24">
        <f ca="1">IFERROR(IF(ISBLANK($C13),,IF(OR([1]!SNLData($D13,$B$1,$C13,L$4)="NA",[1]!SNLData($D13,$B$1,$C13,L$4)=0,[1]!SNLData($D13,$B$1,$C13,L$4)="NM"),"NM",[1]!SNLData($D13,$B$1,$C13,L$4)/100)),)</f>
        <v>2.2574127000000003E-2</v>
      </c>
      <c r="M13" s="24">
        <f t="shared" ca="1" si="5"/>
        <v>0.6898238502914622</v>
      </c>
      <c r="N13" s="24">
        <f ca="1">IFERROR(IF(ISBLANK($C13),,IF(OR([1]!SNLData($D13,$B$1,$C13,N$4)="NA",[1]!SNLData($D13,$B$1,$C13,N$4)=0,[1]!SNLData($D13,$B$1,$C13,N$4)="NM"),"NM",[1]!SNLData($D13,$B$1,$C13,N$4)/100)),)</f>
        <v>-6.3287788999999997E-2</v>
      </c>
      <c r="O13" s="24">
        <f t="shared" ca="1" si="6"/>
        <v>-3.803554219394619</v>
      </c>
      <c r="P13" s="24">
        <f t="shared" ca="1" si="7"/>
        <v>0.32786752719013368</v>
      </c>
      <c r="Q13" s="24">
        <f t="shared" ca="1" si="1"/>
        <v>5.8353986713832739E-2</v>
      </c>
    </row>
    <row r="14" spans="1:17" x14ac:dyDescent="0.25">
      <c r="B14" s="7" t="str">
        <f>MID([1]!SNLLabel($D14,$C14),10,LEN([1]!SNLLabel($D14,$C14))-9)</f>
        <v>Net Chg in Adj PHS (%)</v>
      </c>
      <c r="C14" s="7">
        <v>241257</v>
      </c>
      <c r="D14" s="7">
        <v>287</v>
      </c>
      <c r="E14" s="24">
        <f ca="1">IFERROR(IF(ISBLANK($C14),,IF(OR([1]!SNLData($D14,$B$1,$C14,E$4)="NA",[1]!SNLData($D14,$B$1,$C14,E$4)=0,[1]!SNLData($D14,$B$1,$C14,E$4)="NM"),"NM",[1]!SNLData($D14,$B$1,$C14,E$4)/100)),)</f>
        <v>0.05</v>
      </c>
      <c r="F14" s="24">
        <f ca="1">IFERROR(IF(ISBLANK($C14),,IF(OR([1]!SNLData($D14,$B$1,$C14,F$4)="NA",[1]!SNLData($D14,$B$1,$C14,F$4)=0,[1]!SNLData($D14,$B$1,$C14,F$4)="NM"),"NM",[1]!SNLData($D14,$B$1,$C14,F$4)/100)),)</f>
        <v>0.03</v>
      </c>
      <c r="G14" s="24">
        <f t="shared" ca="1" si="2"/>
        <v>-0.4</v>
      </c>
      <c r="H14" s="24">
        <f ca="1">IFERROR(IF(ISBLANK($C14),,IF(OR([1]!SNLData($D14,$B$1,$C14,H$4)="NA",[1]!SNLData($D14,$B$1,$C14,H$4)=0,[1]!SNLData($D14,$B$1,$C14,H$4)="NM"),"NM",[1]!SNLData($D14,$B$1,$C14,H$4)/100)),)</f>
        <v>0.13</v>
      </c>
      <c r="I14" s="24">
        <f t="shared" ca="1" si="3"/>
        <v>3.3333333333333339</v>
      </c>
      <c r="J14" s="24">
        <f ca="1">IFERROR(IF(ISBLANK($C14),,IF(OR([1]!SNLData($D14,$B$1,$C14,J$4)="NA",[1]!SNLData($D14,$B$1,$C14,J$4)=0,[1]!SNLData($D14,$B$1,$C14,J$4)="NM"),"NM",[1]!SNLData($D14,$B$1,$C14,J$4)/100)),)</f>
        <v>0.06</v>
      </c>
      <c r="K14" s="24">
        <f t="shared" ca="1" si="4"/>
        <v>-0.53846153846153855</v>
      </c>
      <c r="L14" s="24">
        <f ca="1">IFERROR(IF(ISBLANK($C14),,IF(OR([1]!SNLData($D14,$B$1,$C14,L$4)="NA",[1]!SNLData($D14,$B$1,$C14,L$4)=0,[1]!SNLData($D14,$B$1,$C14,L$4)="NM"),"NM",[1]!SNLData($D14,$B$1,$C14,L$4)/100)),)</f>
        <v>0.02</v>
      </c>
      <c r="M14" s="24">
        <f t="shared" ca="1" si="5"/>
        <v>-0.66666666666666663</v>
      </c>
      <c r="N14" s="24">
        <f ca="1">IFERROR(IF(ISBLANK($C14),,IF(OR([1]!SNLData($D14,$B$1,$C14,N$4)="NA",[1]!SNLData($D14,$B$1,$C14,N$4)=0,[1]!SNLData($D14,$B$1,$C14,N$4)="NM"),"NM",[1]!SNLData($D14,$B$1,$C14,N$4)/100)),)</f>
        <v>-0.04</v>
      </c>
      <c r="O14" s="24">
        <f t="shared" ca="1" si="6"/>
        <v>-3</v>
      </c>
      <c r="P14" s="24">
        <f t="shared" ca="1" si="7"/>
        <v>-2.3333333333333335</v>
      </c>
      <c r="Q14" s="24">
        <f t="shared" ca="1" si="1"/>
        <v>-2.0592238410488122</v>
      </c>
    </row>
    <row r="15" spans="1:17" x14ac:dyDescent="0.25">
      <c r="B15" s="7" t="str">
        <f>MID([1]!SNLLabel($D15,$C15),10,LEN([1]!SNLLabel($D15,$C15))-9)</f>
        <v>Liab to Liq Assets (%)</v>
      </c>
      <c r="C15" s="7">
        <v>241258</v>
      </c>
      <c r="D15" s="7">
        <v>287</v>
      </c>
      <c r="E15" s="24">
        <f ca="1">IFERROR(IF(ISBLANK($C15),,IF(OR([1]!SNLData($D15,$B$1,$C15,E$4)="NA",[1]!SNLData($D15,$B$1,$C15,E$4)=0,[1]!SNLData($D15,$B$1,$C15,E$4)="NM"),"NM",[1]!SNLData($D15,$B$1,$C15,E$4)/100)),)</f>
        <v>1.06034202</v>
      </c>
      <c r="F15" s="24">
        <f ca="1">IFERROR(IF(ISBLANK($C15),,IF(OR([1]!SNLData($D15,$B$1,$C15,F$4)="NA",[1]!SNLData($D15,$B$1,$C15,F$4)=0,[1]!SNLData($D15,$B$1,$C15,F$4)="NM"),"NM",[1]!SNLData($D15,$B$1,$C15,F$4)/100)),)</f>
        <v>1.1707729469999999</v>
      </c>
      <c r="G15" s="24">
        <f t="shared" ca="1" si="2"/>
        <v>0.10414651585721368</v>
      </c>
      <c r="H15" s="24">
        <f ca="1">IFERROR(IF(ISBLANK($C15),,IF(OR([1]!SNLData($D15,$B$1,$C15,H$4)="NA",[1]!SNLData($D15,$B$1,$C15,H$4)=0,[1]!SNLData($D15,$B$1,$C15,H$4)="NM"),"NM",[1]!SNLData($D15,$B$1,$C15,H$4)/100)),)</f>
        <v>1.135909171</v>
      </c>
      <c r="I15" s="24">
        <f t="shared" ca="1" si="3"/>
        <v>-2.9778426371513955E-2</v>
      </c>
      <c r="J15" s="24">
        <f ca="1">IFERROR(IF(ISBLANK($C15),,IF(OR([1]!SNLData($D15,$B$1,$C15,J$4)="NA",[1]!SNLData($D15,$B$1,$C15,J$4)=0,[1]!SNLData($D15,$B$1,$C15,J$4)="NM"),"NM",[1]!SNLData($D15,$B$1,$C15,J$4)/100)),)</f>
        <v>1.1253185999999999</v>
      </c>
      <c r="K15" s="24">
        <f t="shared" ca="1" si="4"/>
        <v>-9.3234311953627191E-3</v>
      </c>
      <c r="L15" s="24">
        <f ca="1">IFERROR(IF(ISBLANK($C15),,IF(OR([1]!SNLData($D15,$B$1,$C15,L$4)="NA",[1]!SNLData($D15,$B$1,$C15,L$4)=0,[1]!SNLData($D15,$B$1,$C15,L$4)="NM"),"NM",[1]!SNLData($D15,$B$1,$C15,L$4)/100)),)</f>
        <v>1.047676528</v>
      </c>
      <c r="M15" s="24">
        <f t="shared" ca="1" si="5"/>
        <v>-6.8995635547124179E-2</v>
      </c>
      <c r="N15" s="24">
        <f ca="1">IFERROR(IF(ISBLANK($C15),,IF(OR([1]!SNLData($D15,$B$1,$C15,N$4)="NA",[1]!SNLData($D15,$B$1,$C15,N$4)=0,[1]!SNLData($D15,$B$1,$C15,N$4)="NM"),"NM",[1]!SNLData($D15,$B$1,$C15,N$4)/100)),)</f>
        <v>1.099387117</v>
      </c>
      <c r="O15" s="24">
        <f t="shared" ca="1" si="6"/>
        <v>4.9357399557967474E-2</v>
      </c>
      <c r="P15" s="24">
        <f t="shared" ca="1" si="7"/>
        <v>-6.097324864135234E-2</v>
      </c>
      <c r="Q15" s="24">
        <f t="shared" ca="1" si="1"/>
        <v>-1.2503436483265684E-2</v>
      </c>
    </row>
    <row r="16" spans="1:17" x14ac:dyDescent="0.25">
      <c r="B16" s="7" t="str">
        <f>MID([1]!SNLLabel($D16,$C16),11,LEN([1]!SNLLabel($D16,$C16))-10)</f>
        <v>Gross Agents' Bal to PHS (%)</v>
      </c>
      <c r="C16" s="7">
        <v>241259</v>
      </c>
      <c r="D16" s="7">
        <v>287</v>
      </c>
      <c r="E16" s="24">
        <f ca="1">IFERROR(IF(ISBLANK($C16),,IF(OR([1]!SNLData($D16,$B$1,$C16,E$4)="NA",[1]!SNLData($D16,$B$1,$C16,E$4)=0,[1]!SNLData($D16,$B$1,$C16,E$4)="NM"),"NM",[1]!SNLData($D16,$B$1,$C16,E$4)/100)),)</f>
        <v>0.39534777700000001</v>
      </c>
      <c r="F16" s="24">
        <f ca="1">IFERROR(IF(ISBLANK($C16),,IF(OR([1]!SNLData($D16,$B$1,$C16,F$4)="NA",[1]!SNLData($D16,$B$1,$C16,F$4)=0,[1]!SNLData($D16,$B$1,$C16,F$4)="NM"),"NM",[1]!SNLData($D16,$B$1,$C16,F$4)/100)),)</f>
        <v>0.57485780799999997</v>
      </c>
      <c r="G16" s="24">
        <f t="shared" ca="1" si="2"/>
        <v>0.45405600193876894</v>
      </c>
      <c r="H16" s="24">
        <f ca="1">IFERROR(IF(ISBLANK($C16),,IF(OR([1]!SNLData($D16,$B$1,$C16,H$4)="NA",[1]!SNLData($D16,$B$1,$C16,H$4)=0,[1]!SNLData($D16,$B$1,$C16,H$4)="NM"),"NM",[1]!SNLData($D16,$B$1,$C16,H$4)/100)),)</f>
        <v>0.555626854</v>
      </c>
      <c r="I16" s="24">
        <f t="shared" ca="1" si="3"/>
        <v>-3.3453410099632763E-2</v>
      </c>
      <c r="J16" s="24">
        <f ca="1">IFERROR(IF(ISBLANK($C16),,IF(OR([1]!SNLData($D16,$B$1,$C16,J$4)="NA",[1]!SNLData($D16,$B$1,$C16,J$4)=0,[1]!SNLData($D16,$B$1,$C16,J$4)="NM"),"NM",[1]!SNLData($D16,$B$1,$C16,J$4)/100)),)</f>
        <v>0.48981668300000003</v>
      </c>
      <c r="K16" s="24">
        <f t="shared" ca="1" si="4"/>
        <v>-0.11844310714326989</v>
      </c>
      <c r="L16" s="24">
        <f ca="1">IFERROR(IF(ISBLANK($C16),,IF(OR([1]!SNLData($D16,$B$1,$C16,L$4)="NA",[1]!SNLData($D16,$B$1,$C16,L$4)=0,[1]!SNLData($D16,$B$1,$C16,L$4)="NM"),"NM",[1]!SNLData($D16,$B$1,$C16,L$4)/100)),)</f>
        <v>0.40702636599999997</v>
      </c>
      <c r="M16" s="24">
        <f t="shared" ca="1" si="5"/>
        <v>-0.16902306490038443</v>
      </c>
      <c r="N16" s="24">
        <f ca="1">IFERROR(IF(ISBLANK($C16),,IF(OR([1]!SNLData($D16,$B$1,$C16,N$4)="NA",[1]!SNLData($D16,$B$1,$C16,N$4)=0,[1]!SNLData($D16,$B$1,$C16,N$4)="NM"),"NM",[1]!SNLData($D16,$B$1,$C16,N$4)/100)),)</f>
        <v>0.40016287499999997</v>
      </c>
      <c r="O16" s="24">
        <f t="shared" ca="1" si="6"/>
        <v>-1.6862521874074332E-2</v>
      </c>
      <c r="P16" s="24">
        <f t="shared" ca="1" si="7"/>
        <v>-0.30389242447238363</v>
      </c>
      <c r="Q16" s="24">
        <f t="shared" ca="1" si="1"/>
        <v>-6.9887947571340869E-2</v>
      </c>
    </row>
    <row r="17" spans="1:17" x14ac:dyDescent="0.25">
      <c r="B17" s="7" t="str">
        <f>MID([1]!SNLLabel($D17,$C17),11,LEN([1]!SNLLabel($D17,$C17))-10)</f>
        <v>1-Yr Res Dev to PHS (%)</v>
      </c>
      <c r="C17" s="7">
        <v>241260</v>
      </c>
      <c r="D17" s="7">
        <v>287</v>
      </c>
      <c r="E17" s="24" t="str">
        <f ca="1">IFERROR(IF(ISBLANK($C17),,IF(OR([1]!SNLData($D17,$B$1,$C17,E$4)="NA",[1]!SNLData($D17,$B$1,$C17,E$4)=0,[1]!SNLData($D17,$B$1,$C17,E$4)="NM"),"NM",[1]!SNLData($D17,$B$1,$C17,E$4)/100)),)</f>
        <v>NM</v>
      </c>
      <c r="F17" s="24" t="str">
        <f ca="1">IFERROR(IF(ISBLANK($C17),,IF(OR([1]!SNLData($D17,$B$1,$C17,F$4)="NA",[1]!SNLData($D17,$B$1,$C17,F$4)=0,[1]!SNLData($D17,$B$1,$C17,F$4)="NM"),"NM",[1]!SNLData($D17,$B$1,$C17,F$4)/100)),)</f>
        <v>NM</v>
      </c>
      <c r="G17" s="24" t="str">
        <f t="shared" ca="1" si="2"/>
        <v/>
      </c>
      <c r="H17" s="24" t="str">
        <f ca="1">IFERROR(IF(ISBLANK($C17),,IF(OR([1]!SNLData($D17,$B$1,$C17,H$4)="NA",[1]!SNLData($D17,$B$1,$C17,H$4)=0,[1]!SNLData($D17,$B$1,$C17,H$4)="NM"),"NM",[1]!SNLData($D17,$B$1,$C17,H$4)/100)),)</f>
        <v>NM</v>
      </c>
      <c r="I17" s="24" t="str">
        <f t="shared" ca="1" si="3"/>
        <v/>
      </c>
      <c r="J17" s="24" t="str">
        <f ca="1">IFERROR(IF(ISBLANK($C17),,IF(OR([1]!SNLData($D17,$B$1,$C17,J$4)="NA",[1]!SNLData($D17,$B$1,$C17,J$4)=0,[1]!SNLData($D17,$B$1,$C17,J$4)="NM"),"NM",[1]!SNLData($D17,$B$1,$C17,J$4)/100)),)</f>
        <v>NM</v>
      </c>
      <c r="K17" s="24" t="str">
        <f t="shared" ca="1" si="4"/>
        <v/>
      </c>
      <c r="L17" s="24" t="str">
        <f ca="1">IFERROR(IF(ISBLANK($C17),,IF(OR([1]!SNLData($D17,$B$1,$C17,L$4)="NA",[1]!SNLData($D17,$B$1,$C17,L$4)=0,[1]!SNLData($D17,$B$1,$C17,L$4)="NM"),"NM",[1]!SNLData($D17,$B$1,$C17,L$4)/100)),)</f>
        <v>NM</v>
      </c>
      <c r="M17" s="24" t="str">
        <f t="shared" ca="1" si="5"/>
        <v/>
      </c>
      <c r="N17" s="24" t="str">
        <f ca="1">IFERROR(IF(ISBLANK($C17),,IF(OR([1]!SNLData($D17,$B$1,$C17,N$4)="NA",[1]!SNLData($D17,$B$1,$C17,N$4)=0,[1]!SNLData($D17,$B$1,$C17,N$4)="NM"),"NM",[1]!SNLData($D17,$B$1,$C17,N$4)/100)),)</f>
        <v>NM</v>
      </c>
      <c r="O17" s="24" t="str">
        <f t="shared" ca="1" si="6"/>
        <v/>
      </c>
      <c r="P17" s="24" t="str">
        <f t="shared" ca="1" si="7"/>
        <v/>
      </c>
      <c r="Q17" s="24" t="str">
        <f t="shared" ca="1" si="1"/>
        <v/>
      </c>
    </row>
    <row r="18" spans="1:17" x14ac:dyDescent="0.25">
      <c r="B18" s="7" t="str">
        <f>MID([1]!SNLLabel($D18,$C18),11,LEN([1]!SNLLabel($D18,$C18))-10)</f>
        <v>2-Yr Res Dev to PHS (%)</v>
      </c>
      <c r="C18" s="7">
        <v>241261</v>
      </c>
      <c r="D18" s="7">
        <v>287</v>
      </c>
      <c r="E18" s="24" t="str">
        <f ca="1">IFERROR(IF(ISBLANK($C18),,IF(OR([1]!SNLData($D18,$B$1,$C18,E$4)="NA",[1]!SNLData($D18,$B$1,$C18,E$4)=0,[1]!SNLData($D18,$B$1,$C18,E$4)="NM"),"NM",[1]!SNLData($D18,$B$1,$C18,E$4)/100)),)</f>
        <v>NM</v>
      </c>
      <c r="F18" s="24" t="str">
        <f ca="1">IFERROR(IF(ISBLANK($C18),,IF(OR([1]!SNLData($D18,$B$1,$C18,F$4)="NA",[1]!SNLData($D18,$B$1,$C18,F$4)=0,[1]!SNLData($D18,$B$1,$C18,F$4)="NM"),"NM",[1]!SNLData($D18,$B$1,$C18,F$4)/100)),)</f>
        <v>NM</v>
      </c>
      <c r="G18" s="24" t="str">
        <f t="shared" ca="1" si="2"/>
        <v/>
      </c>
      <c r="H18" s="24" t="str">
        <f ca="1">IFERROR(IF(ISBLANK($C18),,IF(OR([1]!SNLData($D18,$B$1,$C18,H$4)="NA",[1]!SNLData($D18,$B$1,$C18,H$4)=0,[1]!SNLData($D18,$B$1,$C18,H$4)="NM"),"NM",[1]!SNLData($D18,$B$1,$C18,H$4)/100)),)</f>
        <v>NM</v>
      </c>
      <c r="I18" s="24" t="str">
        <f t="shared" ca="1" si="3"/>
        <v/>
      </c>
      <c r="J18" s="24" t="str">
        <f ca="1">IFERROR(IF(ISBLANK($C18),,IF(OR([1]!SNLData($D18,$B$1,$C18,J$4)="NA",[1]!SNLData($D18,$B$1,$C18,J$4)=0,[1]!SNLData($D18,$B$1,$C18,J$4)="NM"),"NM",[1]!SNLData($D18,$B$1,$C18,J$4)/100)),)</f>
        <v>NM</v>
      </c>
      <c r="K18" s="24" t="str">
        <f t="shared" ca="1" si="4"/>
        <v/>
      </c>
      <c r="L18" s="24" t="str">
        <f ca="1">IFERROR(IF(ISBLANK($C18),,IF(OR([1]!SNLData($D18,$B$1,$C18,L$4)="NA",[1]!SNLData($D18,$B$1,$C18,L$4)=0,[1]!SNLData($D18,$B$1,$C18,L$4)="NM"),"NM",[1]!SNLData($D18,$B$1,$C18,L$4)/100)),)</f>
        <v>NM</v>
      </c>
      <c r="M18" s="24" t="str">
        <f t="shared" ca="1" si="5"/>
        <v/>
      </c>
      <c r="N18" s="24" t="str">
        <f ca="1">IFERROR(IF(ISBLANK($C18),,IF(OR([1]!SNLData($D18,$B$1,$C18,N$4)="NA",[1]!SNLData($D18,$B$1,$C18,N$4)=0,[1]!SNLData($D18,$B$1,$C18,N$4)="NM"),"NM",[1]!SNLData($D18,$B$1,$C18,N$4)/100)),)</f>
        <v>NM</v>
      </c>
      <c r="O18" s="24" t="str">
        <f t="shared" ca="1" si="6"/>
        <v/>
      </c>
      <c r="P18" s="24" t="str">
        <f t="shared" ca="1" si="7"/>
        <v/>
      </c>
      <c r="Q18" s="24" t="str">
        <f t="shared" ca="1" si="1"/>
        <v/>
      </c>
    </row>
    <row r="19" spans="1:17" x14ac:dyDescent="0.25">
      <c r="B19" s="7" t="str">
        <f>MID([1]!SNLLabel($D19,$C19),11,LEN([1]!SNLLabel($D19,$C19))-10)</f>
        <v>Est Curr Res Defic to PHS (%)</v>
      </c>
      <c r="C19" s="7">
        <v>241266</v>
      </c>
      <c r="D19" s="7">
        <v>287</v>
      </c>
      <c r="E19" s="24">
        <f ca="1">IFERROR(IF(ISBLANK($C19),,IF(OR([1]!SNLData($D19,$B$1,$C19,E$4)="NA",[1]!SNLData($D19,$B$1,$C19,E$4)=0,[1]!SNLData($D19,$B$1,$C19,E$4)="NM"),"NM",[1]!SNLData($D19,$B$1,$C19,E$4)/100)),)</f>
        <v>-0.105742926</v>
      </c>
      <c r="F19" s="24">
        <f ca="1">IFERROR(IF(ISBLANK($C19),,IF(OR([1]!SNLData($D19,$B$1,$C19,F$4)="NA",[1]!SNLData($D19,$B$1,$C19,F$4)=0,[1]!SNLData($D19,$B$1,$C19,F$4)="NM"),"NM",[1]!SNLData($D19,$B$1,$C19,F$4)/100)),)</f>
        <v>-0.188848461</v>
      </c>
      <c r="G19" s="24">
        <f t="shared" ca="1" si="2"/>
        <v>0.78592051632843973</v>
      </c>
      <c r="H19" s="24">
        <f ca="1">IFERROR(IF(ISBLANK($C19),,IF(OR([1]!SNLData($D19,$B$1,$C19,H$4)="NA",[1]!SNLData($D19,$B$1,$C19,H$4)=0,[1]!SNLData($D19,$B$1,$C19,H$4)="NM"),"NM",[1]!SNLData($D19,$B$1,$C19,H$4)/100)),)</f>
        <v>3.7457014000000004E-2</v>
      </c>
      <c r="I19" s="24">
        <f t="shared" ca="1" si="3"/>
        <v>-1.198344290452015</v>
      </c>
      <c r="J19" s="24">
        <f ca="1">IFERROR(IF(ISBLANK($C19),,IF(OR([1]!SNLData($D19,$B$1,$C19,J$4)="NA",[1]!SNLData($D19,$B$1,$C19,J$4)=0,[1]!SNLData($D19,$B$1,$C19,J$4)="NM"),"NM",[1]!SNLData($D19,$B$1,$C19,J$4)/100)),)</f>
        <v>7.4122921000000008E-2</v>
      </c>
      <c r="K19" s="24">
        <f t="shared" ca="1" si="4"/>
        <v>0.97887960316324207</v>
      </c>
      <c r="L19" s="24">
        <f ca="1">IFERROR(IF(ISBLANK($C19),,IF(OR([1]!SNLData($D19,$B$1,$C19,L$4)="NA",[1]!SNLData($D19,$B$1,$C19,L$4)=0,[1]!SNLData($D19,$B$1,$C19,L$4)="NM"),"NM",[1]!SNLData($D19,$B$1,$C19,L$4)/100)),)</f>
        <v>-4.1628656999999999E-2</v>
      </c>
      <c r="M19" s="24">
        <f t="shared" ca="1" si="5"/>
        <v>-1.5616165207520627</v>
      </c>
      <c r="N19" s="24">
        <f ca="1">IFERROR(IF(ISBLANK($C19),,IF(OR([1]!SNLData($D19,$B$1,$C19,N$4)="NA",[1]!SNLData($D19,$B$1,$C19,N$4)=0,[1]!SNLData($D19,$B$1,$C19,N$4)="NM"),"NM",[1]!SNLData($D19,$B$1,$C19,N$4)/100)),)</f>
        <v>-5.8493112E-2</v>
      </c>
      <c r="O19" s="24">
        <f t="shared" ca="1" si="6"/>
        <v>0.40511648021698132</v>
      </c>
      <c r="P19" s="24">
        <f t="shared" ca="1" si="7"/>
        <v>-0.69026429079557072</v>
      </c>
      <c r="Q19" s="24">
        <f t="shared" ca="1" si="1"/>
        <v>-0.20896034459594182</v>
      </c>
    </row>
    <row r="20" spans="1:17" x14ac:dyDescent="0.25">
      <c r="B20" s="7" t="str">
        <f>MID([1]!SNLLabel($D20,$C20),10,LEN([1]!SNLLabel($D20,$C20))-9)</f>
        <v>Net Chg in C&amp;S (%)</v>
      </c>
      <c r="C20" s="7">
        <v>241238</v>
      </c>
      <c r="D20" s="7">
        <v>287</v>
      </c>
      <c r="E20" s="24">
        <f ca="1">IFERROR(IF(ISBLANK($C20),,IF(OR([1]!SNLData($D20,$B$1,$C20,E$4)="NA",[1]!SNLData($D20,$B$1,$C20,E$4)=0,[1]!SNLData($D20,$B$1,$C20,E$4)="NM"),"NM",[1]!SNLData($D20,$B$1,$C20,E$4)/100)),)</f>
        <v>5.3231099999999996E-2</v>
      </c>
      <c r="F20" s="24">
        <f ca="1">IFERROR(IF(ISBLANK($C20),,IF(OR([1]!SNLData($D20,$B$1,$C20,F$4)="NA",[1]!SNLData($D20,$B$1,$C20,F$4)=0,[1]!SNLData($D20,$B$1,$C20,F$4)="NM"),"NM",[1]!SNLData($D20,$B$1,$C20,F$4)/100)),)</f>
        <v>2.8192227E-2</v>
      </c>
      <c r="G20" s="24">
        <f t="shared" ca="1" si="2"/>
        <v>-0.47038052942734598</v>
      </c>
      <c r="H20" s="24">
        <f ca="1">IFERROR(IF(ISBLANK($C20),,IF(OR([1]!SNLData($D20,$B$1,$C20,H$4)="NA",[1]!SNLData($D20,$B$1,$C20,H$4)=0,[1]!SNLData($D20,$B$1,$C20,H$4)="NM"),"NM",[1]!SNLData($D20,$B$1,$C20,H$4)/100)),)</f>
        <v>0.12978917800000001</v>
      </c>
      <c r="I20" s="24">
        <f t="shared" ca="1" si="3"/>
        <v>3.6037220826861249</v>
      </c>
      <c r="J20" s="24">
        <f ca="1">IFERROR(IF(ISBLANK($C20),,IF(OR([1]!SNLData($D20,$B$1,$C20,J$4)="NA",[1]!SNLData($D20,$B$1,$C20,J$4)=0,[1]!SNLData($D20,$B$1,$C20,J$4)="NM"),"NM",[1]!SNLData($D20,$B$1,$C20,J$4)/100)),)</f>
        <v>5.9778247E-2</v>
      </c>
      <c r="K20" s="24">
        <f t="shared" ca="1" si="4"/>
        <v>-0.53942040529758195</v>
      </c>
      <c r="L20" s="24">
        <f ca="1">IFERROR(IF(ISBLANK($C20),,IF(OR([1]!SNLData($D20,$B$1,$C20,L$4)="NA",[1]!SNLData($D20,$B$1,$C20,L$4)=0,[1]!SNLData($D20,$B$1,$C20,L$4)="NM"),"NM",[1]!SNLData($D20,$B$1,$C20,L$4)/100)),)</f>
        <v>2.2574127000000003E-2</v>
      </c>
      <c r="M20" s="24">
        <f t="shared" ca="1" si="5"/>
        <v>-0.62236886939826119</v>
      </c>
      <c r="N20" s="24">
        <f ca="1">IFERROR(IF(ISBLANK($C20),,IF(OR([1]!SNLData($D20,$B$1,$C20,N$4)="NA",[1]!SNLData($D20,$B$1,$C20,N$4)=0,[1]!SNLData($D20,$B$1,$C20,N$4)="NM"),"NM",[1]!SNLData($D20,$B$1,$C20,N$4)/100)),)</f>
        <v>-3.5264112E-2</v>
      </c>
      <c r="O20" s="24">
        <f t="shared" ca="1" si="6"/>
        <v>-2.5621473202485303</v>
      </c>
      <c r="P20" s="24">
        <f t="shared" ca="1" si="7"/>
        <v>-2.250845206375502</v>
      </c>
      <c r="Q20" s="24">
        <f t="shared" ca="1" si="1"/>
        <v>-2.0457809193561456</v>
      </c>
    </row>
    <row r="21" spans="1:17" x14ac:dyDescent="0.25">
      <c r="B21" s="7" t="str">
        <f>MID([1]!SNLLabel($D21,$C21),10,LEN([1]!SNLLabel($D21,$C21))-9)</f>
        <v>Gross Chg C&amp;S (%)</v>
      </c>
      <c r="C21" s="7">
        <v>241239</v>
      </c>
      <c r="D21" s="7">
        <v>287</v>
      </c>
      <c r="E21" s="24">
        <f ca="1">IFERROR(IF(ISBLANK($C21),,IF(OR([1]!SNLData($D21,$B$1,$C21,E$4)="NA",[1]!SNLData($D21,$B$1,$C21,E$4)=0,[1]!SNLData($D21,$B$1,$C21,E$4)="NM"),"NM",[1]!SNLData($D21,$B$1,$C21,E$4)/100)),)</f>
        <v>1.3933827000000001E-2</v>
      </c>
      <c r="F21" s="24">
        <f ca="1">IFERROR(IF(ISBLANK($C21),,IF(OR([1]!SNLData($D21,$B$1,$C21,F$4)="NA",[1]!SNLData($D21,$B$1,$C21,F$4)=0,[1]!SNLData($D21,$B$1,$C21,F$4)="NM"),"NM",[1]!SNLData($D21,$B$1,$C21,F$4)/100)),)</f>
        <v>-4.7661221999999996E-2</v>
      </c>
      <c r="G21" s="24">
        <f t="shared" ca="1" si="2"/>
        <v>-4.4205406741450135</v>
      </c>
      <c r="H21" s="24">
        <f ca="1">IFERROR(IF(ISBLANK($C21),,IF(OR([1]!SNLData($D21,$B$1,$C21,H$4)="NA",[1]!SNLData($D21,$B$1,$C21,H$4)=0,[1]!SNLData($D21,$B$1,$C21,H$4)="NM"),"NM",[1]!SNLData($D21,$B$1,$C21,H$4)/100)),)</f>
        <v>7.7115761000000005E-2</v>
      </c>
      <c r="I21" s="24">
        <f t="shared" ca="1" si="3"/>
        <v>-2.6179979816715573</v>
      </c>
      <c r="J21" s="24">
        <f ca="1">IFERROR(IF(ISBLANK($C21),,IF(OR([1]!SNLData($D21,$B$1,$C21,J$4)="NA",[1]!SNLData($D21,$B$1,$C21,J$4)=0,[1]!SNLData($D21,$B$1,$C21,J$4)="NM"),"NM",[1]!SNLData($D21,$B$1,$C21,J$4)/100)),)</f>
        <v>1.3358864E-2</v>
      </c>
      <c r="K21" s="24">
        <f t="shared" ca="1" si="4"/>
        <v>-0.82676869388606566</v>
      </c>
      <c r="L21" s="24">
        <f ca="1">IFERROR(IF(ISBLANK($C21),,IF(OR([1]!SNLData($D21,$B$1,$C21,L$4)="NA",[1]!SNLData($D21,$B$1,$C21,L$4)=0,[1]!SNLData($D21,$B$1,$C21,L$4)="NM"),"NM",[1]!SNLData($D21,$B$1,$C21,L$4)/100)),)</f>
        <v>2.2574127000000003E-2</v>
      </c>
      <c r="M21" s="24">
        <f t="shared" ca="1" si="5"/>
        <v>0.6898238502914622</v>
      </c>
      <c r="N21" s="24">
        <f ca="1">IFERROR(IF(ISBLANK($C21),,IF(OR([1]!SNLData($D21,$B$1,$C21,N$4)="NA",[1]!SNLData($D21,$B$1,$C21,N$4)=0,[1]!SNLData($D21,$B$1,$C21,N$4)="NM"),"NM",[1]!SNLData($D21,$B$1,$C21,N$4)/100)),)</f>
        <v>-6.3287788999999997E-2</v>
      </c>
      <c r="O21" s="24">
        <f t="shared" ca="1" si="6"/>
        <v>-3.803554219394619</v>
      </c>
      <c r="P21" s="24">
        <f t="shared" ca="1" si="7"/>
        <v>0.32786752719013368</v>
      </c>
      <c r="Q21" s="24">
        <f t="shared" ca="1" si="1"/>
        <v>5.8353986713832739E-2</v>
      </c>
    </row>
    <row r="22" spans="1:17" x14ac:dyDescent="0.25">
      <c r="B22" s="7" t="str">
        <f>MID([1]!SNLLabel($D22,$C22),10,LEN([1]!SNLLabel($D22,$C22))-9)</f>
        <v>Net Inc to Tot Inc (Incl Rlzd Cap Gains) (%)</v>
      </c>
      <c r="C22" s="7">
        <v>241240</v>
      </c>
      <c r="D22" s="7">
        <v>287</v>
      </c>
      <c r="E22" s="24" t="str">
        <f ca="1">IFERROR(IF(ISBLANK($C22),,IF(OR([1]!SNLData($D22,$B$1,$C22,E$4)="NA",[1]!SNLData($D22,$B$1,$C22,E$4)=0,[1]!SNLData($D22,$B$1,$C22,E$4)="NM"),"NM",[1]!SNLData($D22,$B$1,$C22,E$4)/100)),)</f>
        <v>NM</v>
      </c>
      <c r="F22" s="24">
        <f ca="1">IFERROR(IF(ISBLANK($C22),,IF(OR([1]!SNLData($D22,$B$1,$C22,F$4)="NA",[1]!SNLData($D22,$B$1,$C22,F$4)=0,[1]!SNLData($D22,$B$1,$C22,F$4)="NM"),"NM",[1]!SNLData($D22,$B$1,$C22,F$4)/100)),)</f>
        <v>9.0486511519999997</v>
      </c>
      <c r="G22" s="24" t="str">
        <f t="shared" ca="1" si="2"/>
        <v/>
      </c>
      <c r="H22" s="24">
        <f ca="1">IFERROR(IF(ISBLANK($C22),,IF(OR([1]!SNLData($D22,$B$1,$C22,H$4)="NA",[1]!SNLData($D22,$B$1,$C22,H$4)=0,[1]!SNLData($D22,$B$1,$C22,H$4)="NM"),"NM",[1]!SNLData($D22,$B$1,$C22,H$4)/100)),)</f>
        <v>2.494310204</v>
      </c>
      <c r="I22" s="24">
        <f t="shared" ca="1" si="3"/>
        <v>-0.72434452802960703</v>
      </c>
      <c r="J22" s="24">
        <f ca="1">IFERROR(IF(ISBLANK($C22),,IF(OR([1]!SNLData($D22,$B$1,$C22,J$4)="NA",[1]!SNLData($D22,$B$1,$C22,J$4)=0,[1]!SNLData($D22,$B$1,$C22,J$4)="NM"),"NM",[1]!SNLData($D22,$B$1,$C22,J$4)/100)),)</f>
        <v>10.434972836</v>
      </c>
      <c r="K22" s="24">
        <f t="shared" ca="1" si="4"/>
        <v>3.1835104628389681</v>
      </c>
      <c r="L22" s="24">
        <f ca="1">IFERROR(IF(ISBLANK($C22),,IF(OR([1]!SNLData($D22,$B$1,$C22,L$4)="NA",[1]!SNLData($D22,$B$1,$C22,L$4)=0,[1]!SNLData($D22,$B$1,$C22,L$4)="NM"),"NM",[1]!SNLData($D22,$B$1,$C22,L$4)/100)),)</f>
        <v>7.4067238719999997</v>
      </c>
      <c r="M22" s="24">
        <f t="shared" ca="1" si="5"/>
        <v>-0.29020190196880358</v>
      </c>
      <c r="N22" s="24">
        <f ca="1">IFERROR(IF(ISBLANK($C22),,IF(OR([1]!SNLData($D22,$B$1,$C22,N$4)="NA",[1]!SNLData($D22,$B$1,$C22,N$4)=0,[1]!SNLData($D22,$B$1,$C22,N$4)="NM"),"NM",[1]!SNLData($D22,$B$1,$C22,N$4)/100)),)</f>
        <v>7.856809256</v>
      </c>
      <c r="O22" s="24">
        <f t="shared" ca="1" si="6"/>
        <v>6.0767134265863554E-2</v>
      </c>
      <c r="P22" s="24">
        <f t="shared" ca="1" si="7"/>
        <v>-0.13171486843501201</v>
      </c>
      <c r="Q22" s="24">
        <f t="shared" ca="1" si="1"/>
        <v>-2.7851807900960979E-2</v>
      </c>
    </row>
    <row r="23" spans="1:17" x14ac:dyDescent="0.25">
      <c r="B23" s="7" t="str">
        <f>MID([1]!SNLLabel($D23,$C23),10,LEN([1]!SNLLabel($D23,$C23))-9)</f>
        <v>Adeq of Inv Inc (%)</v>
      </c>
      <c r="C23" s="7">
        <v>241241</v>
      </c>
      <c r="D23" s="7">
        <v>287</v>
      </c>
      <c r="E23" s="24" t="str">
        <f ca="1">IFERROR(IF(ISBLANK($C23),,IF(OR([1]!SNLData($D23,$B$1,$C23,E$4)="NA",[1]!SNLData($D23,$B$1,$C23,E$4)=0,[1]!SNLData($D23,$B$1,$C23,E$4)="NM"),"NM",[1]!SNLData($D23,$B$1,$C23,E$4)/100)),)</f>
        <v>NM</v>
      </c>
      <c r="F23" s="24" t="str">
        <f ca="1">IFERROR(IF(ISBLANK($C23),,IF(OR([1]!SNLData($D23,$B$1,$C23,F$4)="NA",[1]!SNLData($D23,$B$1,$C23,F$4)=0,[1]!SNLData($D23,$B$1,$C23,F$4)="NM"),"NM",[1]!SNLData($D23,$B$1,$C23,F$4)/100)),)</f>
        <v>NM</v>
      </c>
      <c r="G23" s="24" t="str">
        <f t="shared" ca="1" si="2"/>
        <v/>
      </c>
      <c r="H23" s="24" t="str">
        <f ca="1">IFERROR(IF(ISBLANK($C23),,IF(OR([1]!SNLData($D23,$B$1,$C23,H$4)="NA",[1]!SNLData($D23,$B$1,$C23,H$4)=0,[1]!SNLData($D23,$B$1,$C23,H$4)="NM"),"NM",[1]!SNLData($D23,$B$1,$C23,H$4)/100)),)</f>
        <v>NM</v>
      </c>
      <c r="I23" s="24" t="str">
        <f t="shared" ca="1" si="3"/>
        <v/>
      </c>
      <c r="J23" s="24" t="str">
        <f ca="1">IFERROR(IF(ISBLANK($C23),,IF(OR([1]!SNLData($D23,$B$1,$C23,J$4)="NA",[1]!SNLData($D23,$B$1,$C23,J$4)=0,[1]!SNLData($D23,$B$1,$C23,J$4)="NM"),"NM",[1]!SNLData($D23,$B$1,$C23,J$4)/100)),)</f>
        <v>NM</v>
      </c>
      <c r="K23" s="24" t="str">
        <f t="shared" ca="1" si="4"/>
        <v/>
      </c>
      <c r="L23" s="24" t="str">
        <f ca="1">IFERROR(IF(ISBLANK($C23),,IF(OR([1]!SNLData($D23,$B$1,$C23,L$4)="NA",[1]!SNLData($D23,$B$1,$C23,L$4)=0,[1]!SNLData($D23,$B$1,$C23,L$4)="NM"),"NM",[1]!SNLData($D23,$B$1,$C23,L$4)/100)),)</f>
        <v>NM</v>
      </c>
      <c r="M23" s="24" t="str">
        <f t="shared" ca="1" si="5"/>
        <v/>
      </c>
      <c r="N23" s="24" t="str">
        <f ca="1">IFERROR(IF(ISBLANK($C23),,IF(OR([1]!SNLData($D23,$B$1,$C23,N$4)="NA",[1]!SNLData($D23,$B$1,$C23,N$4)=0,[1]!SNLData($D23,$B$1,$C23,N$4)="NM"),"NM",[1]!SNLData($D23,$B$1,$C23,N$4)/100)),)</f>
        <v>NM</v>
      </c>
      <c r="O23" s="24" t="str">
        <f t="shared" ca="1" si="6"/>
        <v/>
      </c>
      <c r="P23" s="24" t="str">
        <f t="shared" ca="1" si="7"/>
        <v/>
      </c>
      <c r="Q23" s="24" t="str">
        <f t="shared" ca="1" si="1"/>
        <v/>
      </c>
    </row>
    <row r="24" spans="1:17" x14ac:dyDescent="0.25">
      <c r="B24" s="7" t="str">
        <f>MID([1]!SNLLabel($D24,$C24),11,LEN([1]!SNLLabel($D24,$C24))-10)</f>
        <v>Non-Adm to Adm Assets (%)</v>
      </c>
      <c r="C24" s="7">
        <v>241242</v>
      </c>
      <c r="D24" s="7">
        <v>287</v>
      </c>
      <c r="E24" s="24">
        <f ca="1">IFERROR(IF(ISBLANK($C24),,IF(OR([1]!SNLData($D24,$B$1,$C24,E$4)="NA",[1]!SNLData($D24,$B$1,$C24,E$4)=0,[1]!SNLData($D24,$B$1,$C24,E$4)="NM"),"NM",[1]!SNLData($D24,$B$1,$C24,E$4)/100)),)</f>
        <v>3.5435965E-2</v>
      </c>
      <c r="F24" s="24">
        <f ca="1">IFERROR(IF(ISBLANK($C24),,IF(OR([1]!SNLData($D24,$B$1,$C24,F$4)="NA",[1]!SNLData($D24,$B$1,$C24,F$4)=0,[1]!SNLData($D24,$B$1,$C24,F$4)="NM"),"NM",[1]!SNLData($D24,$B$1,$C24,F$4)/100)),)</f>
        <v>3.0654055999999999E-2</v>
      </c>
      <c r="G24" s="24">
        <f t="shared" ca="1" si="2"/>
        <v>-0.13494507628055286</v>
      </c>
      <c r="H24" s="24">
        <f ca="1">IFERROR(IF(ISBLANK($C24),,IF(OR([1]!SNLData($D24,$B$1,$C24,H$4)="NA",[1]!SNLData($D24,$B$1,$C24,H$4)=0,[1]!SNLData($D24,$B$1,$C24,H$4)="NM"),"NM",[1]!SNLData($D24,$B$1,$C24,H$4)/100)),)</f>
        <v>2.3415286E-2</v>
      </c>
      <c r="I24" s="24">
        <f t="shared" ca="1" si="3"/>
        <v>-0.23614395432695756</v>
      </c>
      <c r="J24" s="24">
        <f ca="1">IFERROR(IF(ISBLANK($C24),,IF(OR([1]!SNLData($D24,$B$1,$C24,J$4)="NA",[1]!SNLData($D24,$B$1,$C24,J$4)=0,[1]!SNLData($D24,$B$1,$C24,J$4)="NM"),"NM",[1]!SNLData($D24,$B$1,$C24,J$4)/100)),)</f>
        <v>2.0422582000000002E-2</v>
      </c>
      <c r="K24" s="24">
        <f t="shared" ca="1" si="4"/>
        <v>-0.12780984182725763</v>
      </c>
      <c r="L24" s="24">
        <f ca="1">IFERROR(IF(ISBLANK($C24),,IF(OR([1]!SNLData($D24,$B$1,$C24,L$4)="NA",[1]!SNLData($D24,$B$1,$C24,L$4)=0,[1]!SNLData($D24,$B$1,$C24,L$4)="NM"),"NM",[1]!SNLData($D24,$B$1,$C24,L$4)/100)),)</f>
        <v>1.6679335999999999E-2</v>
      </c>
      <c r="M24" s="24">
        <f t="shared" ca="1" si="5"/>
        <v>-0.18328955662902968</v>
      </c>
      <c r="N24" s="24">
        <f ca="1">IFERROR(IF(ISBLANK($C24),,IF(OR([1]!SNLData($D24,$B$1,$C24,N$4)="NA",[1]!SNLData($D24,$B$1,$C24,N$4)=0,[1]!SNLData($D24,$B$1,$C24,N$4)="NM"),"NM",[1]!SNLData($D24,$B$1,$C24,N$4)/100)),)</f>
        <v>2.0146489E-2</v>
      </c>
      <c r="O24" s="24">
        <f t="shared" ca="1" si="6"/>
        <v>0.20787116465547562</v>
      </c>
      <c r="P24" s="24">
        <f t="shared" ca="1" si="7"/>
        <v>-0.34277901103853925</v>
      </c>
      <c r="Q24" s="24">
        <f t="shared" ca="1" si="1"/>
        <v>-8.0520004735792239E-2</v>
      </c>
    </row>
    <row r="25" spans="1:17" x14ac:dyDescent="0.25">
      <c r="B25" s="7" t="str">
        <f>MID([1]!SNLLabel($D25,$C25),11,LEN([1]!SNLLabel($D25,$C25))-10)</f>
        <v>Tot RE &amp; Tot Mrtg Loans to Cash &amp; Inv Assets (%)</v>
      </c>
      <c r="C25" s="7">
        <v>241243</v>
      </c>
      <c r="D25" s="7">
        <v>287</v>
      </c>
      <c r="E25" s="24">
        <f ca="1">IFERROR(IF(ISBLANK($C25),,IF(OR([1]!SNLData($D25,$B$1,$C25,E$4)="NA",[1]!SNLData($D25,$B$1,$C25,E$4)=0,[1]!SNLData($D25,$B$1,$C25,E$4)="NM"),"NM",[1]!SNLData($D25,$B$1,$C25,E$4)/100)),)</f>
        <v>1.6989757000000001E-2</v>
      </c>
      <c r="F25" s="24">
        <f ca="1">IFERROR(IF(ISBLANK($C25),,IF(OR([1]!SNLData($D25,$B$1,$C25,F$4)="NA",[1]!SNLData($D25,$B$1,$C25,F$4)=0,[1]!SNLData($D25,$B$1,$C25,F$4)="NM"),"NM",[1]!SNLData($D25,$B$1,$C25,F$4)/100)),)</f>
        <v>1.8751971999999999E-2</v>
      </c>
      <c r="G25" s="24">
        <f t="shared" ca="1" si="2"/>
        <v>0.10372220155944545</v>
      </c>
      <c r="H25" s="24">
        <f ca="1">IFERROR(IF(ISBLANK($C25),,IF(OR([1]!SNLData($D25,$B$1,$C25,H$4)="NA",[1]!SNLData($D25,$B$1,$C25,H$4)=0,[1]!SNLData($D25,$B$1,$C25,H$4)="NM"),"NM",[1]!SNLData($D25,$B$1,$C25,H$4)/100)),)</f>
        <v>1.7589527000000001E-2</v>
      </c>
      <c r="I25" s="24">
        <f t="shared" ca="1" si="3"/>
        <v>-6.1990546914212463E-2</v>
      </c>
      <c r="J25" s="24">
        <f ca="1">IFERROR(IF(ISBLANK($C25),,IF(OR([1]!SNLData($D25,$B$1,$C25,J$4)="NA",[1]!SNLData($D25,$B$1,$C25,J$4)=0,[1]!SNLData($D25,$B$1,$C25,J$4)="NM"),"NM",[1]!SNLData($D25,$B$1,$C25,J$4)/100)),)</f>
        <v>2.2155728E-2</v>
      </c>
      <c r="K25" s="24">
        <f t="shared" ca="1" si="4"/>
        <v>0.25959771402607923</v>
      </c>
      <c r="L25" s="24">
        <f ca="1">IFERROR(IF(ISBLANK($C25),,IF(OR([1]!SNLData($D25,$B$1,$C25,L$4)="NA",[1]!SNLData($D25,$B$1,$C25,L$4)=0,[1]!SNLData($D25,$B$1,$C25,L$4)="NM"),"NM",[1]!SNLData($D25,$B$1,$C25,L$4)/100)),)</f>
        <v>2.8065394E-2</v>
      </c>
      <c r="M25" s="24">
        <f t="shared" ca="1" si="5"/>
        <v>0.26673309944949675</v>
      </c>
      <c r="N25" s="24">
        <f ca="1">IFERROR(IF(ISBLANK($C25),,IF(OR([1]!SNLData($D25,$B$1,$C25,N$4)="NA",[1]!SNLData($D25,$B$1,$C25,N$4)=0,[1]!SNLData($D25,$B$1,$C25,N$4)="NM"),"NM",[1]!SNLData($D25,$B$1,$C25,N$4)/100)),)</f>
        <v>2.9002786999999999E-2</v>
      </c>
      <c r="O25" s="24">
        <f t="shared" ca="1" si="6"/>
        <v>3.3400314992905411E-2</v>
      </c>
      <c r="P25" s="24">
        <f t="shared" ca="1" si="7"/>
        <v>0.54665264005300362</v>
      </c>
      <c r="Q25" s="24">
        <f t="shared" ca="1" si="1"/>
        <v>9.1135177675383039E-2</v>
      </c>
    </row>
    <row r="26" spans="1:17" x14ac:dyDescent="0.25">
      <c r="B26" s="7" t="str">
        <f>MID([1]!SNLLabel($D26,$C26),10,LEN([1]!SNLLabel($D26,$C26))-9)</f>
        <v>Tot Aff Inv to C&amp;S (%)</v>
      </c>
      <c r="C26" s="7">
        <v>241244</v>
      </c>
      <c r="D26" s="7">
        <v>287</v>
      </c>
      <c r="E26" s="24">
        <f ca="1">IFERROR(IF(ISBLANK($C26),,IF(OR([1]!SNLData($D26,$B$1,$C26,E$4)="NA",[1]!SNLData($D26,$B$1,$C26,E$4)=0,[1]!SNLData($D26,$B$1,$C26,E$4)="NM"),"NM",[1]!SNLData($D26,$B$1,$C26,E$4)/100)),)</f>
        <v>0.132113589</v>
      </c>
      <c r="F26" s="24">
        <f ca="1">IFERROR(IF(ISBLANK($C26),,IF(OR([1]!SNLData($D26,$B$1,$C26,F$4)="NA",[1]!SNLData($D26,$B$1,$C26,F$4)=0,[1]!SNLData($D26,$B$1,$C26,F$4)="NM"),"NM",[1]!SNLData($D26,$B$1,$C26,F$4)/100)),)</f>
        <v>0.129537548</v>
      </c>
      <c r="G26" s="24">
        <f t="shared" ca="1" si="2"/>
        <v>-1.9498683061285993E-2</v>
      </c>
      <c r="H26" s="24">
        <f ca="1">IFERROR(IF(ISBLANK($C26),,IF(OR([1]!SNLData($D26,$B$1,$C26,H$4)="NA",[1]!SNLData($D26,$B$1,$C26,H$4)=0,[1]!SNLData($D26,$B$1,$C26,H$4)="NM"),"NM",[1]!SNLData($D26,$B$1,$C26,H$4)/100)),)</f>
        <v>0.129125192</v>
      </c>
      <c r="I26" s="24">
        <f t="shared" ca="1" si="3"/>
        <v>-3.1832932332485075E-3</v>
      </c>
      <c r="J26" s="24">
        <f ca="1">IFERROR(IF(ISBLANK($C26),,IF(OR([1]!SNLData($D26,$B$1,$C26,J$4)="NA",[1]!SNLData($D26,$B$1,$C26,J$4)=0,[1]!SNLData($D26,$B$1,$C26,J$4)="NM"),"NM",[1]!SNLData($D26,$B$1,$C26,J$4)/100)),)</f>
        <v>0.12762432799999998</v>
      </c>
      <c r="K26" s="24">
        <f t="shared" ca="1" si="4"/>
        <v>-1.1623324440052096E-2</v>
      </c>
      <c r="L26" s="24">
        <f ca="1">IFERROR(IF(ISBLANK($C26),,IF(OR([1]!SNLData($D26,$B$1,$C26,L$4)="NA",[1]!SNLData($D26,$B$1,$C26,L$4)=0,[1]!SNLData($D26,$B$1,$C26,L$4)="NM"),"NM",[1]!SNLData($D26,$B$1,$C26,L$4)/100)),)</f>
        <v>0.15525893500000001</v>
      </c>
      <c r="M26" s="24">
        <f t="shared" ca="1" si="5"/>
        <v>0.21653087176294505</v>
      </c>
      <c r="N26" s="24">
        <f ca="1">IFERROR(IF(ISBLANK($C26),,IF(OR([1]!SNLData($D26,$B$1,$C26,N$4)="NA",[1]!SNLData($D26,$B$1,$C26,N$4)=0,[1]!SNLData($D26,$B$1,$C26,N$4)="NM"),"NM",[1]!SNLData($D26,$B$1,$C26,N$4)/100)),)</f>
        <v>0.113940287</v>
      </c>
      <c r="O26" s="24">
        <f t="shared" ca="1" si="6"/>
        <v>-0.26612734397540472</v>
      </c>
      <c r="P26" s="24">
        <f t="shared" ca="1" si="7"/>
        <v>-0.12040725828776688</v>
      </c>
      <c r="Q26" s="24">
        <f t="shared" ca="1" si="1"/>
        <v>-2.5332853453701731E-2</v>
      </c>
    </row>
    <row r="27" spans="1:17" x14ac:dyDescent="0.25">
      <c r="B27" s="7" t="str">
        <f>MID([1]!SNLLabel($D27,$C27),10,LEN([1]!SNLLabel($D27,$C27))-9)</f>
        <v>Surplus Relief (%)</v>
      </c>
      <c r="C27" s="7">
        <v>241245</v>
      </c>
      <c r="D27" s="7">
        <v>287</v>
      </c>
      <c r="E27" s="24" t="str">
        <f ca="1">IFERROR(IF(ISBLANK($C27),,IF(OR([1]!SNLData($D27,$B$1,$C27,E$4)="NA",[1]!SNLData($D27,$B$1,$C27,E$4)=0,[1]!SNLData($D27,$B$1,$C27,E$4)="NM"),"NM",[1]!SNLData($D27,$B$1,$C27,E$4)/100)),)</f>
        <v>NM</v>
      </c>
      <c r="F27" s="24" t="str">
        <f ca="1">IFERROR(IF(ISBLANK($C27),,IF(OR([1]!SNLData($D27,$B$1,$C27,F$4)="NA",[1]!SNLData($D27,$B$1,$C27,F$4)=0,[1]!SNLData($D27,$B$1,$C27,F$4)="NM"),"NM",[1]!SNLData($D27,$B$1,$C27,F$4)/100)),)</f>
        <v>NM</v>
      </c>
      <c r="G27" s="24" t="str">
        <f t="shared" ca="1" si="2"/>
        <v/>
      </c>
      <c r="H27" s="24" t="str">
        <f ca="1">IFERROR(IF(ISBLANK($C27),,IF(OR([1]!SNLData($D27,$B$1,$C27,H$4)="NA",[1]!SNLData($D27,$B$1,$C27,H$4)=0,[1]!SNLData($D27,$B$1,$C27,H$4)="NM"),"NM",[1]!SNLData($D27,$B$1,$C27,H$4)/100)),)</f>
        <v>NM</v>
      </c>
      <c r="I27" s="24" t="str">
        <f t="shared" ca="1" si="3"/>
        <v/>
      </c>
      <c r="J27" s="24" t="str">
        <f ca="1">IFERROR(IF(ISBLANK($C27),,IF(OR([1]!SNLData($D27,$B$1,$C27,J$4)="NA",[1]!SNLData($D27,$B$1,$C27,J$4)=0,[1]!SNLData($D27,$B$1,$C27,J$4)="NM"),"NM",[1]!SNLData($D27,$B$1,$C27,J$4)/100)),)</f>
        <v>NM</v>
      </c>
      <c r="K27" s="24" t="str">
        <f t="shared" ca="1" si="4"/>
        <v/>
      </c>
      <c r="L27" s="24" t="str">
        <f ca="1">IFERROR(IF(ISBLANK($C27),,IF(OR([1]!SNLData($D27,$B$1,$C27,L$4)="NA",[1]!SNLData($D27,$B$1,$C27,L$4)=0,[1]!SNLData($D27,$B$1,$C27,L$4)="NM"),"NM",[1]!SNLData($D27,$B$1,$C27,L$4)/100)),)</f>
        <v>NM</v>
      </c>
      <c r="M27" s="24" t="str">
        <f t="shared" ca="1" si="5"/>
        <v/>
      </c>
      <c r="N27" s="24" t="str">
        <f ca="1">IFERROR(IF(ISBLANK($C27),,IF(OR([1]!SNLData($D27,$B$1,$C27,N$4)="NA",[1]!SNLData($D27,$B$1,$C27,N$4)=0,[1]!SNLData($D27,$B$1,$C27,N$4)="NM"),"NM",[1]!SNLData($D27,$B$1,$C27,N$4)/100)),)</f>
        <v>NM</v>
      </c>
      <c r="O27" s="24" t="str">
        <f t="shared" ca="1" si="6"/>
        <v/>
      </c>
      <c r="P27" s="24" t="str">
        <f t="shared" ca="1" si="7"/>
        <v/>
      </c>
      <c r="Q27" s="24" t="str">
        <f t="shared" ca="1" si="1"/>
        <v/>
      </c>
    </row>
    <row r="28" spans="1:17" x14ac:dyDescent="0.25">
      <c r="B28" s="7" t="str">
        <f>MID([1]!SNLLabel($D28,$C28),10,LEN([1]!SNLLabel($D28,$C28))-9)</f>
        <v>Chg in Premium (%)</v>
      </c>
      <c r="C28" s="7">
        <v>241246</v>
      </c>
      <c r="D28" s="7">
        <v>287</v>
      </c>
      <c r="E28" s="24" t="str">
        <f ca="1">IFERROR(IF(ISBLANK($C28),,IF(OR([1]!SNLData($D28,$B$1,$C28,E$4)="NA",[1]!SNLData($D28,$B$1,$C28,E$4)=0,[1]!SNLData($D28,$B$1,$C28,E$4)="NM"),"NM",[1]!SNLData($D28,$B$1,$C28,E$4)/100)),)</f>
        <v>NM</v>
      </c>
      <c r="F28" s="24" t="str">
        <f ca="1">IFERROR(IF(ISBLANK($C28),,IF(OR([1]!SNLData($D28,$B$1,$C28,F$4)="NA",[1]!SNLData($D28,$B$1,$C28,F$4)=0,[1]!SNLData($D28,$B$1,$C28,F$4)="NM"),"NM",[1]!SNLData($D28,$B$1,$C28,F$4)/100)),)</f>
        <v>NM</v>
      </c>
      <c r="G28" s="24" t="str">
        <f t="shared" ca="1" si="2"/>
        <v/>
      </c>
      <c r="H28" s="24" t="str">
        <f ca="1">IFERROR(IF(ISBLANK($C28),,IF(OR([1]!SNLData($D28,$B$1,$C28,H$4)="NA",[1]!SNLData($D28,$B$1,$C28,H$4)=0,[1]!SNLData($D28,$B$1,$C28,H$4)="NM"),"NM",[1]!SNLData($D28,$B$1,$C28,H$4)/100)),)</f>
        <v>NM</v>
      </c>
      <c r="I28" s="24" t="str">
        <f t="shared" ca="1" si="3"/>
        <v/>
      </c>
      <c r="J28" s="24" t="str">
        <f ca="1">IFERROR(IF(ISBLANK($C28),,IF(OR([1]!SNLData($D28,$B$1,$C28,J$4)="NA",[1]!SNLData($D28,$B$1,$C28,J$4)=0,[1]!SNLData($D28,$B$1,$C28,J$4)="NM"),"NM",[1]!SNLData($D28,$B$1,$C28,J$4)/100)),)</f>
        <v>NM</v>
      </c>
      <c r="K28" s="24" t="str">
        <f t="shared" ca="1" si="4"/>
        <v/>
      </c>
      <c r="L28" s="24" t="str">
        <f ca="1">IFERROR(IF(ISBLANK($C28),,IF(OR([1]!SNLData($D28,$B$1,$C28,L$4)="NA",[1]!SNLData($D28,$B$1,$C28,L$4)=0,[1]!SNLData($D28,$B$1,$C28,L$4)="NM"),"NM",[1]!SNLData($D28,$B$1,$C28,L$4)/100)),)</f>
        <v>NM</v>
      </c>
      <c r="M28" s="24" t="str">
        <f t="shared" ca="1" si="5"/>
        <v/>
      </c>
      <c r="N28" s="24" t="str">
        <f ca="1">IFERROR(IF(ISBLANK($C28),,IF(OR([1]!SNLData($D28,$B$1,$C28,N$4)="NA",[1]!SNLData($D28,$B$1,$C28,N$4)=0,[1]!SNLData($D28,$B$1,$C28,N$4)="NM"),"NM",[1]!SNLData($D28,$B$1,$C28,N$4)/100)),)</f>
        <v>NM</v>
      </c>
      <c r="O28" s="24" t="str">
        <f t="shared" ca="1" si="6"/>
        <v/>
      </c>
      <c r="P28" s="24" t="str">
        <f t="shared" ca="1" si="7"/>
        <v/>
      </c>
      <c r="Q28" s="24" t="str">
        <f t="shared" ca="1" si="1"/>
        <v/>
      </c>
    </row>
    <row r="29" spans="1:17" x14ac:dyDescent="0.25">
      <c r="B29" s="7" t="str">
        <f>MID([1]!SNLLabel($D29,$C29),12,LEN([1]!SNLLabel($D29,$C29))-11)</f>
        <v>Chg in Prod Mix (%)</v>
      </c>
      <c r="C29" s="7">
        <v>241247</v>
      </c>
      <c r="D29" s="7">
        <v>287</v>
      </c>
      <c r="E29" s="24" t="str">
        <f ca="1">IFERROR(IF(ISBLANK($C29),,IF(OR([1]!SNLData($D29,$B$1,$C29,E$4)="NA",[1]!SNLData($D29,$B$1,$C29,E$4)=0,[1]!SNLData($D29,$B$1,$C29,E$4)="NM"),"NM",[1]!SNLData($D29,$B$1,$C29,E$4)/100)),)</f>
        <v>NM</v>
      </c>
      <c r="F29" s="24" t="str">
        <f ca="1">IFERROR(IF(ISBLANK($C29),,IF(OR([1]!SNLData($D29,$B$1,$C29,F$4)="NA",[1]!SNLData($D29,$B$1,$C29,F$4)=0,[1]!SNLData($D29,$B$1,$C29,F$4)="NM"),"NM",[1]!SNLData($D29,$B$1,$C29,F$4)/100)),)</f>
        <v>NM</v>
      </c>
      <c r="G29" s="24" t="str">
        <f t="shared" ca="1" si="2"/>
        <v/>
      </c>
      <c r="H29" s="24" t="str">
        <f ca="1">IFERROR(IF(ISBLANK($C29),,IF(OR([1]!SNLData($D29,$B$1,$C29,H$4)="NA",[1]!SNLData($D29,$B$1,$C29,H$4)=0,[1]!SNLData($D29,$B$1,$C29,H$4)="NM"),"NM",[1]!SNLData($D29,$B$1,$C29,H$4)/100)),)</f>
        <v>NM</v>
      </c>
      <c r="I29" s="24" t="str">
        <f t="shared" ca="1" si="3"/>
        <v/>
      </c>
      <c r="J29" s="24" t="str">
        <f ca="1">IFERROR(IF(ISBLANK($C29),,IF(OR([1]!SNLData($D29,$B$1,$C29,J$4)="NA",[1]!SNLData($D29,$B$1,$C29,J$4)=0,[1]!SNLData($D29,$B$1,$C29,J$4)="NM"),"NM",[1]!SNLData($D29,$B$1,$C29,J$4)/100)),)</f>
        <v>NM</v>
      </c>
      <c r="K29" s="24" t="str">
        <f t="shared" ca="1" si="4"/>
        <v/>
      </c>
      <c r="L29" s="24" t="str">
        <f ca="1">IFERROR(IF(ISBLANK($C29),,IF(OR([1]!SNLData($D29,$B$1,$C29,L$4)="NA",[1]!SNLData($D29,$B$1,$C29,L$4)=0,[1]!SNLData($D29,$B$1,$C29,L$4)="NM"),"NM",[1]!SNLData($D29,$B$1,$C29,L$4)/100)),)</f>
        <v>NM</v>
      </c>
      <c r="M29" s="24" t="str">
        <f t="shared" ca="1" si="5"/>
        <v/>
      </c>
      <c r="N29" s="24" t="str">
        <f ca="1">IFERROR(IF(ISBLANK($C29),,IF(OR([1]!SNLData($D29,$B$1,$C29,N$4)="NA",[1]!SNLData($D29,$B$1,$C29,N$4)=0,[1]!SNLData($D29,$B$1,$C29,N$4)="NM"),"NM",[1]!SNLData($D29,$B$1,$C29,N$4)/100)),)</f>
        <v>NM</v>
      </c>
      <c r="O29" s="24" t="str">
        <f t="shared" ca="1" si="6"/>
        <v/>
      </c>
      <c r="P29" s="24" t="str">
        <f t="shared" ca="1" si="7"/>
        <v/>
      </c>
      <c r="Q29" s="24" t="str">
        <f t="shared" ca="1" si="1"/>
        <v/>
      </c>
    </row>
    <row r="30" spans="1:17" x14ac:dyDescent="0.25">
      <c r="B30" s="7" t="str">
        <f>MID([1]!SNLLabel($D30,$C30),11,LEN([1]!SNLLabel($D30,$C30))-10)</f>
        <v>Chg in Asset Mix (%)</v>
      </c>
      <c r="C30" s="7">
        <v>241248</v>
      </c>
      <c r="D30" s="7">
        <v>287</v>
      </c>
      <c r="E30" s="24">
        <f ca="1">IFERROR(IF(ISBLANK($C30),,IF(OR([1]!SNLData($D30,$B$1,$C30,E$4)="NA",[1]!SNLData($D30,$B$1,$C30,E$4)=0,[1]!SNLData($D30,$B$1,$C30,E$4)="NM"),"NM",[1]!SNLData($D30,$B$1,$C30,E$4)/100)),)</f>
        <v>2E-3</v>
      </c>
      <c r="F30" s="24">
        <f ca="1">IFERROR(IF(ISBLANK($C30),,IF(OR([1]!SNLData($D30,$B$1,$C30,F$4)="NA",[1]!SNLData($D30,$B$1,$C30,F$4)=0,[1]!SNLData($D30,$B$1,$C30,F$4)="NM"),"NM",[1]!SNLData($D30,$B$1,$C30,F$4)/100)),)</f>
        <v>4.0000000000000001E-3</v>
      </c>
      <c r="G30" s="24">
        <f t="shared" ca="1" si="2"/>
        <v>1</v>
      </c>
      <c r="H30" s="24">
        <f ca="1">IFERROR(IF(ISBLANK($C30),,IF(OR([1]!SNLData($D30,$B$1,$C30,H$4)="NA",[1]!SNLData($D30,$B$1,$C30,H$4)=0,[1]!SNLData($D30,$B$1,$C30,H$4)="NM"),"NM",[1]!SNLData($D30,$B$1,$C30,H$4)/100)),)</f>
        <v>5.0000000000000001E-3</v>
      </c>
      <c r="I30" s="24">
        <f t="shared" ca="1" si="3"/>
        <v>0.25</v>
      </c>
      <c r="J30" s="24">
        <f ca="1">IFERROR(IF(ISBLANK($C30),,IF(OR([1]!SNLData($D30,$B$1,$C30,J$4)="NA",[1]!SNLData($D30,$B$1,$C30,J$4)=0,[1]!SNLData($D30,$B$1,$C30,J$4)="NM"),"NM",[1]!SNLData($D30,$B$1,$C30,J$4)/100)),)</f>
        <v>4.0000000000000001E-3</v>
      </c>
      <c r="K30" s="24">
        <f t="shared" ca="1" si="4"/>
        <v>-0.19999999999999996</v>
      </c>
      <c r="L30" s="24">
        <f ca="1">IFERROR(IF(ISBLANK($C30),,IF(OR([1]!SNLData($D30,$B$1,$C30,L$4)="NA",[1]!SNLData($D30,$B$1,$C30,L$4)=0,[1]!SNLData($D30,$B$1,$C30,L$4)="NM"),"NM",[1]!SNLData($D30,$B$1,$C30,L$4)/100)),)</f>
        <v>6.0000000000000001E-3</v>
      </c>
      <c r="M30" s="24">
        <f t="shared" ca="1" si="5"/>
        <v>0.5</v>
      </c>
      <c r="N30" s="24">
        <f ca="1">IFERROR(IF(ISBLANK($C30),,IF(OR([1]!SNLData($D30,$B$1,$C30,N$4)="NA",[1]!SNLData($D30,$B$1,$C30,N$4)=0,[1]!SNLData($D30,$B$1,$C30,N$4)="NM"),"NM",[1]!SNLData($D30,$B$1,$C30,N$4)/100)),)</f>
        <v>5.0000000000000001E-3</v>
      </c>
      <c r="O30" s="24">
        <f t="shared" ca="1" si="6"/>
        <v>-0.16666666666666663</v>
      </c>
      <c r="P30" s="24">
        <f t="shared" ca="1" si="7"/>
        <v>0.25</v>
      </c>
      <c r="Q30" s="24">
        <f t="shared" ca="1" si="1"/>
        <v>4.5639552591273169E-2</v>
      </c>
    </row>
    <row r="31" spans="1:17" x14ac:dyDescent="0.25">
      <c r="B31" s="7" t="str">
        <f>MID([1]!SNLLabel($D31,$C31),11,LEN([1]!SNLLabel($D31,$C31))-10)</f>
        <v>Chg in Reserving (%)</v>
      </c>
      <c r="C31" s="7">
        <v>241249</v>
      </c>
      <c r="D31" s="7">
        <v>287</v>
      </c>
      <c r="E31" s="24" t="str">
        <f ca="1">IFERROR(IF(ISBLANK($C31),,IF(OR([1]!SNLData($D31,$B$1,$C31,E$4)="NA",[1]!SNLData($D31,$B$1,$C31,E$4)=0,[1]!SNLData($D31,$B$1,$C31,E$4)="NM"),"NM",[1]!SNLData($D31,$B$1,$C31,E$4)/100)),)</f>
        <v>NM</v>
      </c>
      <c r="F31" s="24" t="str">
        <f ca="1">IFERROR(IF(ISBLANK($C31),,IF(OR([1]!SNLData($D31,$B$1,$C31,F$4)="NA",[1]!SNLData($D31,$B$1,$C31,F$4)=0,[1]!SNLData($D31,$B$1,$C31,F$4)="NM"),"NM",[1]!SNLData($D31,$B$1,$C31,F$4)/100)),)</f>
        <v>NM</v>
      </c>
      <c r="G31" s="24" t="str">
        <f t="shared" ca="1" si="2"/>
        <v/>
      </c>
      <c r="H31" s="24" t="str">
        <f ca="1">IFERROR(IF(ISBLANK($C31),,IF(OR([1]!SNLData($D31,$B$1,$C31,H$4)="NA",[1]!SNLData($D31,$B$1,$C31,H$4)=0,[1]!SNLData($D31,$B$1,$C31,H$4)="NM"),"NM",[1]!SNLData($D31,$B$1,$C31,H$4)/100)),)</f>
        <v>NM</v>
      </c>
      <c r="I31" s="24" t="str">
        <f t="shared" ca="1" si="3"/>
        <v/>
      </c>
      <c r="J31" s="24" t="str">
        <f ca="1">IFERROR(IF(ISBLANK($C31),,IF(OR([1]!SNLData($D31,$B$1,$C31,J$4)="NA",[1]!SNLData($D31,$B$1,$C31,J$4)=0,[1]!SNLData($D31,$B$1,$C31,J$4)="NM"),"NM",[1]!SNLData($D31,$B$1,$C31,J$4)/100)),)</f>
        <v>NM</v>
      </c>
      <c r="K31" s="24" t="str">
        <f t="shared" ca="1" si="4"/>
        <v/>
      </c>
      <c r="L31" s="24" t="str">
        <f ca="1">IFERROR(IF(ISBLANK($C31),,IF(OR([1]!SNLData($D31,$B$1,$C31,L$4)="NA",[1]!SNLData($D31,$B$1,$C31,L$4)=0,[1]!SNLData($D31,$B$1,$C31,L$4)="NM"),"NM",[1]!SNLData($D31,$B$1,$C31,L$4)/100)),)</f>
        <v>NM</v>
      </c>
      <c r="M31" s="24" t="str">
        <f t="shared" ca="1" si="5"/>
        <v/>
      </c>
      <c r="N31" s="24" t="str">
        <f ca="1">IFERROR(IF(ISBLANK($C31),,IF(OR([1]!SNLData($D31,$B$1,$C31,N$4)="NA",[1]!SNLData($D31,$B$1,$C31,N$4)=0,[1]!SNLData($D31,$B$1,$C31,N$4)="NM"),"NM",[1]!SNLData($D31,$B$1,$C31,N$4)/100)),)</f>
        <v>NM</v>
      </c>
      <c r="O31" s="24" t="str">
        <f t="shared" ca="1" si="6"/>
        <v/>
      </c>
      <c r="P31" s="24" t="str">
        <f t="shared" ca="1" si="7"/>
        <v/>
      </c>
      <c r="Q31" s="24" t="str">
        <f t="shared" ca="1" si="1"/>
        <v/>
      </c>
    </row>
    <row r="32" spans="1:17" x14ac:dyDescent="0.25">
      <c r="A32" t="s">
        <v>54</v>
      </c>
    </row>
    <row r="33" spans="1:17" x14ac:dyDescent="0.25">
      <c r="B33" s="7" t="str">
        <f>[1]!SNLLabel($D33,$C33)</f>
        <v>Cash &amp; Short-Term Investments/ Liabilities (%)</v>
      </c>
      <c r="C33" s="7">
        <v>123228</v>
      </c>
      <c r="D33" s="7">
        <v>287</v>
      </c>
      <c r="E33" s="24">
        <f ca="1">IFERROR(IF(ISBLANK($C33),,IF([1]!SNLData($D33,$B$1,$C33,E$4)="NA",,[1]!SNLData($D33,$B$1,$C33,E$4)/100)),)</f>
        <v>2.2084807999999997E-2</v>
      </c>
      <c r="F33" s="24">
        <f ca="1">IFERROR(IF(ISBLANK($C33),,IF([1]!SNLData($D33,$B$1,$C33,F$4)="NA",,[1]!SNLData($D33,$B$1,$C33,F$4)/100)),)</f>
        <v>8.1222760000000012E-3</v>
      </c>
      <c r="G33" s="24">
        <f t="shared" ref="G33:G47" ca="1" si="8">IFERROR((F33/E33)-1,0)</f>
        <v>-0.63222338179258775</v>
      </c>
      <c r="H33" s="24">
        <f ca="1">IFERROR(IF(ISBLANK($C33),,IF([1]!SNLData($D33,$B$1,$C33,H$4)="NA",,[1]!SNLData($D33,$B$1,$C33,H$4)/100)),)</f>
        <v>3.9561093999999998E-2</v>
      </c>
      <c r="I33" s="24">
        <f t="shared" ref="I33:O47" ca="1" si="9">IFERROR((H33/F33)-1,0)</f>
        <v>3.870690678327108</v>
      </c>
      <c r="J33" s="24">
        <f ca="1">IFERROR(IF(ISBLANK($C33),,IF([1]!SNLData($D33,$B$1,$C33,J$4)="NA",,[1]!SNLData($D33,$B$1,$C33,J$4)/100)),)</f>
        <v>1.9538161999999998E-2</v>
      </c>
      <c r="K33" s="24">
        <f t="shared" ca="1" si="9"/>
        <v>-0.50612685281150216</v>
      </c>
      <c r="L33" s="24">
        <f ca="1">IFERROR(IF(ISBLANK($C33),,IF([1]!SNLData($D33,$B$1,$C33,L$4)="NA",,[1]!SNLData($D33,$B$1,$C33,L$4)/100)),)</f>
        <v>3.8882907000000001E-2</v>
      </c>
      <c r="M33" s="24">
        <f t="shared" ca="1" si="9"/>
        <v>0.99010055295887134</v>
      </c>
      <c r="N33" s="24">
        <f ca="1">IFERROR(IF(ISBLANK($C33),,IF([1]!SNLData($D33,$B$1,$C33,N$4)="NA",,[1]!SNLData($D33,$B$1,$C33,N$4)/100)),)</f>
        <v>2.6139991999999997E-2</v>
      </c>
      <c r="O33" s="24">
        <f t="shared" ca="1" si="9"/>
        <v>-0.32772536785894124</v>
      </c>
      <c r="P33" s="24">
        <f t="shared" ref="P33:P47" ca="1" si="10">IFERROR((N33/F33)-1,0)</f>
        <v>2.2183087597614257</v>
      </c>
      <c r="Q33" s="24">
        <f t="shared" ref="Q33:Q47" ca="1" si="11">IFERROR(((1+P33)^(1/5))-1,0)</f>
        <v>0.26335540132053104</v>
      </c>
    </row>
    <row r="34" spans="1:17" x14ac:dyDescent="0.25">
      <c r="B34" s="7" t="str">
        <f>[1]!SNLLabel($D34,$C34)</f>
        <v>Liquid Investments/ Liabilities (%)</v>
      </c>
      <c r="C34" s="7">
        <v>123229</v>
      </c>
      <c r="D34" s="7">
        <v>287</v>
      </c>
      <c r="E34" s="24">
        <f ca="1">IFERROR(IF(ISBLANK($C34),,IF([1]!SNLData($D34,$B$1,$C34,E$4)="NA",,[1]!SNLData($D34,$B$1,$C34,E$4)/100)),)</f>
        <v>0.891072906</v>
      </c>
      <c r="F34" s="24">
        <f ca="1">IFERROR(IF(ISBLANK($C34),,IF([1]!SNLData($D34,$B$1,$C34,F$4)="NA",,[1]!SNLData($D34,$B$1,$C34,F$4)/100)),)</f>
        <v>0.81283203799999992</v>
      </c>
      <c r="G34" s="24">
        <f t="shared" ca="1" si="8"/>
        <v>-8.780523734160095E-2</v>
      </c>
      <c r="H34" s="24">
        <f ca="1">IFERROR(IF(ISBLANK($C34),,IF([1]!SNLData($D34,$B$1,$C34,H$4)="NA",,[1]!SNLData($D34,$B$1,$C34,H$4)/100)),)</f>
        <v>0.836928216</v>
      </c>
      <c r="I34" s="24">
        <f t="shared" ca="1" si="9"/>
        <v>2.9644719786500406E-2</v>
      </c>
      <c r="J34" s="24">
        <f ca="1">IFERROR(IF(ISBLANK($C34),,IF([1]!SNLData($D34,$B$1,$C34,J$4)="NA",,[1]!SNLData($D34,$B$1,$C34,J$4)/100)),)</f>
        <v>0.85202865799999994</v>
      </c>
      <c r="K34" s="24">
        <f t="shared" ca="1" si="9"/>
        <v>1.8042696746646492E-2</v>
      </c>
      <c r="L34" s="24">
        <f ca="1">IFERROR(IF(ISBLANK($C34),,IF([1]!SNLData($D34,$B$1,$C34,L$4)="NA",,[1]!SNLData($D34,$B$1,$C34,L$4)/100)),)</f>
        <v>0.92806476500000001</v>
      </c>
      <c r="M34" s="24">
        <f t="shared" ca="1" si="9"/>
        <v>8.9241255309982837E-2</v>
      </c>
      <c r="N34" s="24">
        <f ca="1">IFERROR(IF(ISBLANK($C34),,IF([1]!SNLData($D34,$B$1,$C34,N$4)="NA",,[1]!SNLData($D34,$B$1,$C34,N$4)/100)),)</f>
        <v>0.82501673600000003</v>
      </c>
      <c r="O34" s="24">
        <f t="shared" ca="1" si="9"/>
        <v>-0.11103538555307613</v>
      </c>
      <c r="P34" s="24">
        <f t="shared" ca="1" si="10"/>
        <v>1.4990425365098758E-2</v>
      </c>
      <c r="Q34" s="24">
        <f t="shared" ca="1" si="11"/>
        <v>2.9802680572288409E-3</v>
      </c>
    </row>
    <row r="35" spans="1:17" x14ac:dyDescent="0.25">
      <c r="B35" s="7" t="str">
        <f>[1]!SNLLabel($D35,$C35)</f>
        <v>Cash &amp; Short-Term Investments/ C&amp;S (%)</v>
      </c>
      <c r="C35" s="7">
        <v>123230</v>
      </c>
      <c r="D35" s="7">
        <v>287</v>
      </c>
      <c r="E35" s="24">
        <f ca="1">IFERROR(IF(ISBLANK($C35),,IF([1]!SNLData($D35,$B$1,$C35,E$4)="NA",,[1]!SNLData($D35,$B$1,$C35,E$4)/100)),)</f>
        <v>6.4482052999999998E-2</v>
      </c>
      <c r="F35" s="24">
        <f ca="1">IFERROR(IF(ISBLANK($C35),,IF([1]!SNLData($D35,$B$1,$C35,F$4)="NA",,[1]!SNLData($D35,$B$1,$C35,F$4)/100)),)</f>
        <v>2.6763534999999998E-2</v>
      </c>
      <c r="G35" s="24">
        <f t="shared" ca="1" si="8"/>
        <v>-0.58494598489288174</v>
      </c>
      <c r="H35" s="24">
        <f ca="1">IFERROR(IF(ISBLANK($C35),,IF([1]!SNLData($D35,$B$1,$C35,H$4)="NA",,[1]!SNLData($D35,$B$1,$C35,H$4)/100)),)</f>
        <v>0.121291992</v>
      </c>
      <c r="I35" s="24">
        <f t="shared" ca="1" si="9"/>
        <v>3.5319869740675145</v>
      </c>
      <c r="J35" s="24">
        <f ca="1">IFERROR(IF(ISBLANK($C35),,IF([1]!SNLData($D35,$B$1,$C35,J$4)="NA",,[1]!SNLData($D35,$B$1,$C35,J$4)/100)),)</f>
        <v>5.8481955000000002E-2</v>
      </c>
      <c r="K35" s="24">
        <f t="shared" ca="1" si="9"/>
        <v>-0.51784158182512163</v>
      </c>
      <c r="L35" s="24">
        <f ca="1">IFERROR(IF(ISBLANK($C35),,IF([1]!SNLData($D35,$B$1,$C35,L$4)="NA",,[1]!SNLData($D35,$B$1,$C35,L$4)/100)),)</f>
        <v>0.106753687</v>
      </c>
      <c r="M35" s="24">
        <f t="shared" ca="1" si="9"/>
        <v>0.82541241995073511</v>
      </c>
      <c r="N35" s="24">
        <f ca="1">IFERROR(IF(ISBLANK($C35),,IF([1]!SNLData($D35,$B$1,$C35,N$4)="NA",,[1]!SNLData($D35,$B$1,$C35,N$4)/100)),)</f>
        <v>7.6793589999999995E-2</v>
      </c>
      <c r="O35" s="24">
        <f t="shared" ca="1" si="9"/>
        <v>-0.2806469532054664</v>
      </c>
      <c r="P35" s="24">
        <f t="shared" ca="1" si="10"/>
        <v>1.8693365805376607</v>
      </c>
      <c r="Q35" s="24">
        <f t="shared" ca="1" si="11"/>
        <v>0.23468536110967309</v>
      </c>
    </row>
    <row r="36" spans="1:17" x14ac:dyDescent="0.25">
      <c r="B36" s="7" t="str">
        <f>[1]!SNLLabel($D36,$C36)</f>
        <v>Liabilities/ Invested Assets (%)</v>
      </c>
      <c r="C36" s="7">
        <v>123231</v>
      </c>
      <c r="D36" s="7">
        <v>287</v>
      </c>
      <c r="E36" s="24">
        <f ca="1">IFERROR(IF(ISBLANK($C36),,IF([1]!SNLData($D36,$B$1,$C36,E$4)="NA",,[1]!SNLData($D36,$B$1,$C36,E$4)/100)),)</f>
        <v>1.0004030659999998</v>
      </c>
      <c r="F36" s="24">
        <f ca="1">IFERROR(IF(ISBLANK($C36),,IF([1]!SNLData($D36,$B$1,$C36,F$4)="NA",,[1]!SNLData($D36,$B$1,$C36,F$4)/100)),)</f>
        <v>1.112114719</v>
      </c>
      <c r="G36" s="24">
        <f t="shared" ca="1" si="8"/>
        <v>0.11166664397248072</v>
      </c>
      <c r="H36" s="24">
        <f ca="1">IFERROR(IF(ISBLANK($C36),,IF([1]!SNLData($D36,$B$1,$C36,H$4)="NA",,[1]!SNLData($D36,$B$1,$C36,H$4)/100)),)</f>
        <v>1.0703662780000001</v>
      </c>
      <c r="I36" s="24">
        <f t="shared" ca="1" si="9"/>
        <v>-3.7539689284518785E-2</v>
      </c>
      <c r="J36" s="24">
        <f ca="1">IFERROR(IF(ISBLANK($C36),,IF([1]!SNLData($D36,$B$1,$C36,J$4)="NA",,[1]!SNLData($D36,$B$1,$C36,J$4)/100)),)</f>
        <v>1.054224998</v>
      </c>
      <c r="K36" s="24">
        <f t="shared" ca="1" si="9"/>
        <v>-1.5080146237566705E-2</v>
      </c>
      <c r="L36" s="24">
        <f ca="1">IFERROR(IF(ISBLANK($C36),,IF([1]!SNLData($D36,$B$1,$C36,L$4)="NA",,[1]!SNLData($D36,$B$1,$C36,L$4)/100)),)</f>
        <v>0.98591378600000001</v>
      </c>
      <c r="M36" s="24">
        <f t="shared" ca="1" si="9"/>
        <v>-6.4797564210292036E-2</v>
      </c>
      <c r="N36" s="24">
        <f ca="1">IFERROR(IF(ISBLANK($C36),,IF([1]!SNLData($D36,$B$1,$C36,N$4)="NA",,[1]!SNLData($D36,$B$1,$C36,N$4)/100)),)</f>
        <v>1.0285785119999999</v>
      </c>
      <c r="O36" s="24">
        <f t="shared" ca="1" si="9"/>
        <v>4.3274297008359275E-2</v>
      </c>
      <c r="P36" s="24">
        <f t="shared" ca="1" si="10"/>
        <v>-7.5114739129713892E-2</v>
      </c>
      <c r="Q36" s="24">
        <f t="shared" ca="1" si="11"/>
        <v>-1.5495803451747947E-2</v>
      </c>
    </row>
    <row r="37" spans="1:17" x14ac:dyDescent="0.25">
      <c r="B37" s="7" t="str">
        <f>[1]!SNLLabel($D37,$C37)</f>
        <v>Affiliated Investments/ C&amp;S (%)</v>
      </c>
      <c r="C37" s="7">
        <v>123232</v>
      </c>
      <c r="D37" s="7">
        <v>287</v>
      </c>
      <c r="E37" s="24">
        <f ca="1">IFERROR(IF(ISBLANK($C37),,IF([1]!SNLData($D37,$B$1,$C37,E$4)="NA",,[1]!SNLData($D37,$B$1,$C37,E$4)/100)),)</f>
        <v>0.108884806</v>
      </c>
      <c r="F37" s="24">
        <f ca="1">IFERROR(IF(ISBLANK($C37),,IF([1]!SNLData($D37,$B$1,$C37,F$4)="NA",,[1]!SNLData($D37,$B$1,$C37,F$4)/100)),)</f>
        <v>0.108474944</v>
      </c>
      <c r="G37" s="24">
        <f t="shared" ca="1" si="8"/>
        <v>-3.7641799168930401E-3</v>
      </c>
      <c r="H37" s="24">
        <f ca="1">IFERROR(IF(ISBLANK($C37),,IF([1]!SNLData($D37,$B$1,$C37,H$4)="NA",,[1]!SNLData($D37,$B$1,$C37,H$4)/100)),)</f>
        <v>0.100998476</v>
      </c>
      <c r="I37" s="24">
        <f t="shared" ca="1" si="9"/>
        <v>-6.8923455724485105E-2</v>
      </c>
      <c r="J37" s="24">
        <f ca="1">IFERROR(IF(ISBLANK($C37),,IF([1]!SNLData($D37,$B$1,$C37,J$4)="NA",,[1]!SNLData($D37,$B$1,$C37,J$4)/100)),)</f>
        <v>9.9836565000000002E-2</v>
      </c>
      <c r="K37" s="24">
        <f t="shared" ca="1" si="9"/>
        <v>-1.150424289570473E-2</v>
      </c>
      <c r="L37" s="24">
        <f ca="1">IFERROR(IF(ISBLANK($C37),,IF([1]!SNLData($D37,$B$1,$C37,L$4)="NA",,[1]!SNLData($D37,$B$1,$C37,L$4)/100)),)</f>
        <v>0.131485411</v>
      </c>
      <c r="M37" s="24">
        <f t="shared" ca="1" si="9"/>
        <v>0.31700655967079783</v>
      </c>
      <c r="N37" s="24">
        <f ca="1">IFERROR(IF(ISBLANK($C37),,IF([1]!SNLData($D37,$B$1,$C37,N$4)="NA",,[1]!SNLData($D37,$B$1,$C37,N$4)/100)),)</f>
        <v>8.227978200000001E-2</v>
      </c>
      <c r="O37" s="24">
        <f t="shared" ca="1" si="9"/>
        <v>-0.37422881082981885</v>
      </c>
      <c r="P37" s="24">
        <f t="shared" ca="1" si="10"/>
        <v>-0.24148583105053267</v>
      </c>
      <c r="Q37" s="24">
        <f t="shared" ca="1" si="11"/>
        <v>-5.3778657502815186E-2</v>
      </c>
    </row>
    <row r="38" spans="1:17" x14ac:dyDescent="0.25">
      <c r="B38" s="7" t="str">
        <f>[1]!SNLLabel($D38,$C38)</f>
        <v>Net Adm Cash &amp; Invested Assets ($000)</v>
      </c>
      <c r="C38" s="7">
        <v>122991</v>
      </c>
      <c r="D38" s="7">
        <v>287</v>
      </c>
      <c r="E38" s="8">
        <f ca="1">IF(ISBLANK($C38),,IF([1]!SNLData($D38,$B$1,$C38,E$4)="NA",,[1]!SNLData($D38,$B$1,$C38,E$4)))</f>
        <v>26356361.693</v>
      </c>
      <c r="F38" s="8">
        <f ca="1">IF(ISBLANK($C38),,IF([1]!SNLData($D38,$B$1,$C38,F$4)="NA",,[1]!SNLData($D38,$B$1,$C38,F$4)))</f>
        <v>25481374.539000001</v>
      </c>
      <c r="G38" s="24">
        <f t="shared" ca="1" si="8"/>
        <v>-3.3198328517110465E-2</v>
      </c>
      <c r="H38" s="8">
        <f ca="1">IF(ISBLANK($C38),,IF([1]!SNLData($D38,$B$1,$C38,H$4)="NA",,[1]!SNLData($D38,$B$1,$C38,H$4)))</f>
        <v>26533864.206</v>
      </c>
      <c r="I38" s="24">
        <f t="shared" ca="1" si="9"/>
        <v>4.1304273652472467E-2</v>
      </c>
      <c r="J38" s="8">
        <f ca="1">IF(ISBLANK($C38),,IF([1]!SNLData($D38,$B$1,$C38,J$4)="NA",,[1]!SNLData($D38,$B$1,$C38,J$4)))</f>
        <v>26652455.316</v>
      </c>
      <c r="K38" s="24">
        <f t="shared" ca="1" si="9"/>
        <v>4.4694247727845582E-3</v>
      </c>
      <c r="L38" s="8">
        <f ca="1">IF(ISBLANK($C38),,IF([1]!SNLData($D38,$B$1,$C38,L$4)="NA",,[1]!SNLData($D38,$B$1,$C38,L$4)))</f>
        <v>26730825.75</v>
      </c>
      <c r="M38" s="24">
        <f t="shared" ca="1" si="9"/>
        <v>2.9404583206618096E-3</v>
      </c>
      <c r="N38" s="8">
        <f ca="1">IF(ISBLANK($C38),,IF([1]!SNLData($D38,$B$1,$C38,N$4)="NA",,[1]!SNLData($D38,$B$1,$C38,N$4)))</f>
        <v>25681205.577</v>
      </c>
      <c r="O38" s="24">
        <f t="shared" ca="1" si="9"/>
        <v>-3.9266283159995585E-2</v>
      </c>
      <c r="P38" s="24">
        <f t="shared" ca="1" si="10"/>
        <v>7.8422393460035877E-3</v>
      </c>
      <c r="Q38" s="24">
        <f t="shared" ca="1" si="11"/>
        <v>1.5635508359908012E-3</v>
      </c>
    </row>
    <row r="39" spans="1:17" x14ac:dyDescent="0.25">
      <c r="B39" s="7" t="str">
        <f>[1]!SNLLabel($D39,$C39)</f>
        <v>Reinsurance Recoverable ($000)</v>
      </c>
      <c r="C39" s="7">
        <v>122979</v>
      </c>
      <c r="D39" s="7">
        <v>287</v>
      </c>
      <c r="E39" s="8">
        <f ca="1">IF(ISBLANK($C39),,IF([1]!SNLData($D39,$B$1,$C39,E$4)="NA",,[1]!SNLData($D39,$B$1,$C39,E$4)))</f>
        <v>14357183</v>
      </c>
      <c r="F39" s="8">
        <f ca="1">IF(ISBLANK($C39),,IF([1]!SNLData($D39,$B$1,$C39,F$4)="NA",,[1]!SNLData($D39,$B$1,$C39,F$4)))</f>
        <v>14205050</v>
      </c>
      <c r="G39" s="24">
        <f t="shared" ca="1" si="8"/>
        <v>-1.0596298730746856E-2</v>
      </c>
      <c r="H39" s="8">
        <f ca="1">IF(ISBLANK($C39),,IF([1]!SNLData($D39,$B$1,$C39,H$4)="NA",,[1]!SNLData($D39,$B$1,$C39,H$4)))</f>
        <v>15251937</v>
      </c>
      <c r="I39" s="24">
        <f t="shared" ca="1" si="9"/>
        <v>7.3698227038975661E-2</v>
      </c>
      <c r="J39" s="8">
        <f ca="1">IF(ISBLANK($C39),,IF([1]!SNLData($D39,$B$1,$C39,J$4)="NA",,[1]!SNLData($D39,$B$1,$C39,J$4)))</f>
        <v>13994168</v>
      </c>
      <c r="K39" s="24">
        <f t="shared" ca="1" si="9"/>
        <v>-8.2466181180790299E-2</v>
      </c>
      <c r="L39" s="8">
        <f ca="1">IF(ISBLANK($C39),,IF([1]!SNLData($D39,$B$1,$C39,L$4)="NA",,[1]!SNLData($D39,$B$1,$C39,L$4)))</f>
        <v>14723293</v>
      </c>
      <c r="M39" s="24">
        <f t="shared" ca="1" si="9"/>
        <v>5.2102061372994779E-2</v>
      </c>
      <c r="N39" s="8">
        <f ca="1">IF(ISBLANK($C39),,IF([1]!SNLData($D39,$B$1,$C39,N$4)="NA",,[1]!SNLData($D39,$B$1,$C39,N$4)))</f>
        <v>15015551</v>
      </c>
      <c r="O39" s="24">
        <f t="shared" ca="1" si="9"/>
        <v>1.9850043057622946E-2</v>
      </c>
      <c r="P39" s="24">
        <f t="shared" ca="1" si="10"/>
        <v>5.7057243726702733E-2</v>
      </c>
      <c r="Q39" s="24">
        <f t="shared" ca="1" si="11"/>
        <v>1.1159581153589171E-2</v>
      </c>
    </row>
    <row r="40" spans="1:17" x14ac:dyDescent="0.25">
      <c r="B40" s="7" t="str">
        <f>[1]!SNLLabel($D40,$C40)</f>
        <v>Loss &amp; Loss Adj Exp Reserves ($000)</v>
      </c>
      <c r="C40" s="7">
        <v>122919</v>
      </c>
      <c r="D40" s="7">
        <v>287</v>
      </c>
      <c r="E40" s="8">
        <f ca="1">IF(ISBLANK($C40),,IF([1]!SNLData($D40,$B$1,$C40,E$4)="NA",,[1]!SNLData($D40,$B$1,$C40,E$4)))</f>
        <v>14733033.875</v>
      </c>
      <c r="F40" s="8">
        <f ca="1">IF(ISBLANK($C40),,IF([1]!SNLData($D40,$B$1,$C40,F$4)="NA",,[1]!SNLData($D40,$B$1,$C40,F$4)))</f>
        <v>14734810.843</v>
      </c>
      <c r="G40" s="24">
        <f t="shared" ca="1" si="8"/>
        <v>1.2061113923156341E-4</v>
      </c>
      <c r="H40" s="8">
        <f ca="1">IF(ISBLANK($C40),,IF([1]!SNLData($D40,$B$1,$C40,H$4)="NA",,[1]!SNLData($D40,$B$1,$C40,H$4)))</f>
        <v>14614495.189000001</v>
      </c>
      <c r="I40" s="24">
        <f t="shared" ca="1" si="9"/>
        <v>-8.1654020049505283E-3</v>
      </c>
      <c r="J40" s="8">
        <f ca="1">IF(ISBLANK($C40),,IF([1]!SNLData($D40,$B$1,$C40,J$4)="NA",,[1]!SNLData($D40,$B$1,$C40,J$4)))</f>
        <v>14236603.944</v>
      </c>
      <c r="K40" s="24">
        <f t="shared" ca="1" si="9"/>
        <v>-2.5857290321216975E-2</v>
      </c>
      <c r="L40" s="8">
        <f ca="1">IF(ISBLANK($C40),,IF([1]!SNLData($D40,$B$1,$C40,L$4)="NA",,[1]!SNLData($D40,$B$1,$C40,L$4)))</f>
        <v>14277174.457</v>
      </c>
      <c r="M40" s="24">
        <f t="shared" ca="1" si="9"/>
        <v>2.8497325035932164E-3</v>
      </c>
      <c r="N40" s="8">
        <f ca="1">IF(ISBLANK($C40),,IF([1]!SNLData($D40,$B$1,$C40,N$4)="NA",,[1]!SNLData($D40,$B$1,$C40,N$4)))</f>
        <v>14371647.581</v>
      </c>
      <c r="O40" s="24">
        <f t="shared" ca="1" si="9"/>
        <v>6.6170742876703326E-3</v>
      </c>
      <c r="P40" s="24">
        <f t="shared" ca="1" si="10"/>
        <v>-2.4646618532773834E-2</v>
      </c>
      <c r="Q40" s="24">
        <f t="shared" ca="1" si="11"/>
        <v>-4.9786514494768452E-3</v>
      </c>
    </row>
    <row r="41" spans="1:17" x14ac:dyDescent="0.25">
      <c r="B41" s="7" t="str">
        <f>[1]!SNLLabel($D41,$C41)</f>
        <v>Unearned Premiums ($000)</v>
      </c>
      <c r="C41" s="7">
        <v>122920</v>
      </c>
      <c r="D41" s="7">
        <v>287</v>
      </c>
      <c r="E41" s="8">
        <f ca="1">IF(ISBLANK($C41),,IF([1]!SNLData($D41,$B$1,$C41,E$4)="NA",,[1]!SNLData($D41,$B$1,$C41,E$4)))</f>
        <v>4448840.9220000003</v>
      </c>
      <c r="F41" s="8">
        <f ca="1">IF(ISBLANK($C41),,IF([1]!SNLData($D41,$B$1,$C41,F$4)="NA",,[1]!SNLData($D41,$B$1,$C41,F$4)))</f>
        <v>4376255.66</v>
      </c>
      <c r="G41" s="24">
        <f t="shared" ca="1" si="8"/>
        <v>-1.6315544491837919E-2</v>
      </c>
      <c r="H41" s="8">
        <f ca="1">IF(ISBLANK($C41),,IF([1]!SNLData($D41,$B$1,$C41,H$4)="NA",,[1]!SNLData($D41,$B$1,$C41,H$4)))</f>
        <v>4397147.8059999999</v>
      </c>
      <c r="I41" s="24">
        <f t="shared" ca="1" si="9"/>
        <v>4.77397748741204E-3</v>
      </c>
      <c r="J41" s="8">
        <f ca="1">IF(ISBLANK($C41),,IF([1]!SNLData($D41,$B$1,$C41,J$4)="NA",,[1]!SNLData($D41,$B$1,$C41,J$4)))</f>
        <v>4510857.3990000002</v>
      </c>
      <c r="K41" s="24">
        <f t="shared" ca="1" si="9"/>
        <v>2.5859852344476852E-2</v>
      </c>
      <c r="L41" s="8">
        <f ca="1">IF(ISBLANK($C41),,IF([1]!SNLData($D41,$B$1,$C41,L$4)="NA",,[1]!SNLData($D41,$B$1,$C41,L$4)))</f>
        <v>4600965.3810000001</v>
      </c>
      <c r="M41" s="24">
        <f t="shared" ca="1" si="9"/>
        <v>1.9975799283740603E-2</v>
      </c>
      <c r="N41" s="8">
        <f ca="1">IF(ISBLANK($C41),,IF([1]!SNLData($D41,$B$1,$C41,N$4)="NA",,[1]!SNLData($D41,$B$1,$C41,N$4)))</f>
        <v>4499793.159</v>
      </c>
      <c r="O41" s="24">
        <f t="shared" ca="1" si="9"/>
        <v>-2.1989346500583928E-2</v>
      </c>
      <c r="P41" s="24">
        <f t="shared" ca="1" si="10"/>
        <v>2.8229040668067418E-2</v>
      </c>
      <c r="Q41" s="24">
        <f t="shared" ca="1" si="11"/>
        <v>5.5831167116451308E-3</v>
      </c>
    </row>
    <row r="42" spans="1:17" x14ac:dyDescent="0.25">
      <c r="B42" s="7" t="str">
        <f>[1]!SNLLabel($D42,$C42)</f>
        <v>Cash Flow: Premiums Collected Net of Reinsurance ($000)</v>
      </c>
      <c r="C42" s="7">
        <v>114153</v>
      </c>
      <c r="D42" s="7">
        <v>287</v>
      </c>
      <c r="E42" s="8">
        <f ca="1">IF(ISBLANK($C42),,IF([1]!SNLData($D42,$B$1,$C42,E$4)="NA",,[1]!SNLData($D42,$B$1,$C42,E$4)))</f>
        <v>5979597.5650000004</v>
      </c>
      <c r="F42" s="8">
        <f ca="1">IF(ISBLANK($C42),,IF([1]!SNLData($D42,$B$1,$C42,F$4)="NA",,[1]!SNLData($D42,$B$1,$C42,F$4)))</f>
        <v>5092862.3880000003</v>
      </c>
      <c r="G42" s="24">
        <f t="shared" ca="1" si="8"/>
        <v>-0.14829345409300965</v>
      </c>
      <c r="H42" s="8">
        <f ca="1">IF(ISBLANK($C42),,IF([1]!SNLData($D42,$B$1,$C42,H$4)="NA",,[1]!SNLData($D42,$B$1,$C42,H$4)))</f>
        <v>5816724.0430000005</v>
      </c>
      <c r="I42" s="24">
        <f t="shared" ca="1" si="9"/>
        <v>0.14213257689930736</v>
      </c>
      <c r="J42" s="8">
        <f ca="1">IF(ISBLANK($C42),,IF([1]!SNLData($D42,$B$1,$C42,J$4)="NA",,[1]!SNLData($D42,$B$1,$C42,J$4)))</f>
        <v>6165511.6540000001</v>
      </c>
      <c r="K42" s="24">
        <f t="shared" ca="1" si="9"/>
        <v>5.9962894650252396E-2</v>
      </c>
      <c r="L42" s="8">
        <f ca="1">IF(ISBLANK($C42),,IF([1]!SNLData($D42,$B$1,$C42,L$4)="NA",,[1]!SNLData($D42,$B$1,$C42,L$4)))</f>
        <v>5698773.3190000001</v>
      </c>
      <c r="M42" s="24">
        <f t="shared" ca="1" si="9"/>
        <v>-7.5701476404994583E-2</v>
      </c>
      <c r="N42" s="8">
        <f ca="1">IF(ISBLANK($C42),,IF([1]!SNLData($D42,$B$1,$C42,N$4)="NA",,[1]!SNLData($D42,$B$1,$C42,N$4)))</f>
        <v>5110715.8670000006</v>
      </c>
      <c r="O42" s="24">
        <f t="shared" ca="1" si="9"/>
        <v>-0.10319018130434954</v>
      </c>
      <c r="P42" s="24">
        <f t="shared" ca="1" si="10"/>
        <v>3.5055883390973097E-3</v>
      </c>
      <c r="Q42" s="24">
        <f t="shared" ca="1" si="11"/>
        <v>7.0013659866385858E-4</v>
      </c>
    </row>
    <row r="43" spans="1:17" x14ac:dyDescent="0.25">
      <c r="B43" s="7" t="str">
        <f>[1]!SNLLabel($D43,$C43)</f>
        <v>Cash Flow: Benefit &amp; Loss Related Pymts ($000)</v>
      </c>
      <c r="C43" s="7">
        <v>114157</v>
      </c>
      <c r="D43" s="7">
        <v>287</v>
      </c>
      <c r="E43" s="8">
        <f ca="1">IF(ISBLANK($C43),,IF([1]!SNLData($D43,$B$1,$C43,E$4)="NA",,[1]!SNLData($D43,$B$1,$C43,E$4)))</f>
        <v>2978810.7409999999</v>
      </c>
      <c r="F43" s="8">
        <f ca="1">IF(ISBLANK($C43),,IF([1]!SNLData($D43,$B$1,$C43,F$4)="NA",,[1]!SNLData($D43,$B$1,$C43,F$4)))</f>
        <v>4110016.3820000002</v>
      </c>
      <c r="G43" s="24">
        <f t="shared" ca="1" si="8"/>
        <v>0.37975075939878256</v>
      </c>
      <c r="H43" s="8">
        <f ca="1">IF(ISBLANK($C43),,IF([1]!SNLData($D43,$B$1,$C43,H$4)="NA",,[1]!SNLData($D43,$B$1,$C43,H$4)))</f>
        <v>3910078.0530000003</v>
      </c>
      <c r="I43" s="24">
        <f t="shared" ca="1" si="9"/>
        <v>-4.8646601477220108E-2</v>
      </c>
      <c r="J43" s="8">
        <f ca="1">IF(ISBLANK($C43),,IF([1]!SNLData($D43,$B$1,$C43,J$4)="NA",,[1]!SNLData($D43,$B$1,$C43,J$4)))</f>
        <v>4344742.6310000001</v>
      </c>
      <c r="K43" s="24">
        <f t="shared" ca="1" si="9"/>
        <v>0.11116519212871068</v>
      </c>
      <c r="L43" s="8">
        <f ca="1">IF(ISBLANK($C43),,IF([1]!SNLData($D43,$B$1,$C43,L$4)="NA",,[1]!SNLData($D43,$B$1,$C43,L$4)))</f>
        <v>2498696.6040000003</v>
      </c>
      <c r="M43" s="24">
        <f t="shared" ca="1" si="9"/>
        <v>-0.42489191737810894</v>
      </c>
      <c r="N43" s="8">
        <f ca="1">IF(ISBLANK($C43),,IF([1]!SNLData($D43,$B$1,$C43,N$4)="NA",,[1]!SNLData($D43,$B$1,$C43,N$4)))</f>
        <v>3438866.8810000001</v>
      </c>
      <c r="O43" s="24">
        <f t="shared" ca="1" si="9"/>
        <v>0.37626427934265516</v>
      </c>
      <c r="P43" s="24">
        <f t="shared" ca="1" si="10"/>
        <v>-0.1632960646919388</v>
      </c>
      <c r="Q43" s="24">
        <f t="shared" ca="1" si="11"/>
        <v>-3.5028776663735828E-2</v>
      </c>
    </row>
    <row r="44" spans="1:17" x14ac:dyDescent="0.25">
      <c r="B44" s="7" t="str">
        <f>[1]!SNLLabel($D44,$C44)</f>
        <v>Cash Flow: Exp &amp; WI For Deductions ($000)</v>
      </c>
      <c r="C44" s="7">
        <v>114159</v>
      </c>
      <c r="D44" s="7">
        <v>287</v>
      </c>
      <c r="E44" s="8">
        <f ca="1">IF(ISBLANK($C44),,IF([1]!SNLData($D44,$B$1,$C44,E$4)="NA",,[1]!SNLData($D44,$B$1,$C44,E$4)))</f>
        <v>2099835.7200000002</v>
      </c>
      <c r="F44" s="8">
        <f ca="1">IF(ISBLANK($C44),,IF([1]!SNLData($D44,$B$1,$C44,F$4)="NA",,[1]!SNLData($D44,$B$1,$C44,F$4)))</f>
        <v>2113062.2489999998</v>
      </c>
      <c r="G44" s="24">
        <f t="shared" ca="1" si="8"/>
        <v>6.2988398921033362E-3</v>
      </c>
      <c r="H44" s="8">
        <f ca="1">IF(ISBLANK($C44),,IF([1]!SNLData($D44,$B$1,$C44,H$4)="NA",,[1]!SNLData($D44,$B$1,$C44,H$4)))</f>
        <v>2044512.1610000001</v>
      </c>
      <c r="I44" s="24">
        <f t="shared" ca="1" si="9"/>
        <v>-3.2441111487577223E-2</v>
      </c>
      <c r="J44" s="8">
        <f ca="1">IF(ISBLANK($C44),,IF([1]!SNLData($D44,$B$1,$C44,J$4)="NA",,[1]!SNLData($D44,$B$1,$C44,J$4)))</f>
        <v>1950125.696</v>
      </c>
      <c r="K44" s="24">
        <f t="shared" ca="1" si="9"/>
        <v>-4.6165763550085392E-2</v>
      </c>
      <c r="L44" s="8">
        <f ca="1">IF(ISBLANK($C44),,IF([1]!SNLData($D44,$B$1,$C44,L$4)="NA",,[1]!SNLData($D44,$B$1,$C44,L$4)))</f>
        <v>1924763.8970000001</v>
      </c>
      <c r="M44" s="24">
        <f t="shared" ca="1" si="9"/>
        <v>-1.3005212459904936E-2</v>
      </c>
      <c r="N44" s="8">
        <f ca="1">IF(ISBLANK($C44),,IF([1]!SNLData($D44,$B$1,$C44,N$4)="NA",,[1]!SNLData($D44,$B$1,$C44,N$4)))</f>
        <v>1700037.416</v>
      </c>
      <c r="O44" s="24">
        <f t="shared" ca="1" si="9"/>
        <v>-0.1167553492406348</v>
      </c>
      <c r="P44" s="24">
        <f t="shared" ca="1" si="10"/>
        <v>-0.19546269079174672</v>
      </c>
      <c r="Q44" s="24">
        <f t="shared" ca="1" si="11"/>
        <v>-4.2565136191686448E-2</v>
      </c>
    </row>
    <row r="45" spans="1:17" x14ac:dyDescent="0.25">
      <c r="B45" s="7" t="str">
        <f>[1]!SNLLabel($D45,$C45)</f>
        <v>Cash From Operations ($000)</v>
      </c>
      <c r="C45" s="7">
        <v>114164</v>
      </c>
      <c r="D45" s="7">
        <v>287</v>
      </c>
      <c r="E45" s="8">
        <f ca="1">IF(ISBLANK($C45),,IF([1]!SNLData($D45,$B$1,$C45,E$4)="NA",,[1]!SNLData($D45,$B$1,$C45,E$4)))</f>
        <v>1726355.9380000001</v>
      </c>
      <c r="F45" s="8">
        <f ca="1">IF(ISBLANK($C45),,IF([1]!SNLData($D45,$B$1,$C45,F$4)="NA",,[1]!SNLData($D45,$B$1,$C45,F$4)))</f>
        <v>-224717.20800000001</v>
      </c>
      <c r="G45" s="24">
        <f t="shared" ca="1" si="8"/>
        <v>-1.1301685261153833</v>
      </c>
      <c r="H45" s="8">
        <f ca="1">IF(ISBLANK($C45),,IF([1]!SNLData($D45,$B$1,$C45,H$4)="NA",,[1]!SNLData($D45,$B$1,$C45,H$4)))</f>
        <v>748674.58900000004</v>
      </c>
      <c r="I45" s="24">
        <f t="shared" ca="1" si="9"/>
        <v>-4.3316299880336713</v>
      </c>
      <c r="J45" s="8">
        <f ca="1">IF(ISBLANK($C45),,IF([1]!SNLData($D45,$B$1,$C45,J$4)="NA",,[1]!SNLData($D45,$B$1,$C45,J$4)))</f>
        <v>581726.59400000004</v>
      </c>
      <c r="K45" s="24">
        <f t="shared" ca="1" si="9"/>
        <v>-0.22299140033988785</v>
      </c>
      <c r="L45" s="8">
        <f ca="1">IF(ISBLANK($C45),,IF([1]!SNLData($D45,$B$1,$C45,L$4)="NA",,[1]!SNLData($D45,$B$1,$C45,L$4)))</f>
        <v>1977046.835</v>
      </c>
      <c r="M45" s="24">
        <f t="shared" ca="1" si="9"/>
        <v>2.3985842411048512</v>
      </c>
      <c r="N45" s="8">
        <f ca="1">IF(ISBLANK($C45),,IF([1]!SNLData($D45,$B$1,$C45,N$4)="NA",,[1]!SNLData($D45,$B$1,$C45,N$4)))</f>
        <v>611429.14600000007</v>
      </c>
      <c r="O45" s="24">
        <f t="shared" ca="1" si="9"/>
        <v>-0.69073613473602913</v>
      </c>
      <c r="P45" s="24">
        <f t="shared" ca="1" si="10"/>
        <v>-3.7208826215035566</v>
      </c>
      <c r="Q45" s="24">
        <f t="shared" ca="1" si="11"/>
        <v>-2.2216363910922192</v>
      </c>
    </row>
    <row r="46" spans="1:17" x14ac:dyDescent="0.25">
      <c r="B46" s="7" t="str">
        <f>[1]!SNLLabel($D46,$C46)</f>
        <v>Cash Flow: Income Taxes Excl Capital Gains Taxes ($000)</v>
      </c>
      <c r="C46" s="7">
        <v>114161</v>
      </c>
      <c r="D46" s="7">
        <v>287</v>
      </c>
      <c r="E46" s="8">
        <f ca="1">IF(ISBLANK($C46),,IF([1]!SNLData($D46,$B$1,$C46,E$4)="NA",,[1]!SNLData($D46,$B$1,$C46,E$4)))</f>
        <v>71198.926000000007</v>
      </c>
      <c r="F46" s="8">
        <f ca="1">IF(ISBLANK($C46),,IF([1]!SNLData($D46,$B$1,$C46,F$4)="NA",,[1]!SNLData($D46,$B$1,$C46,F$4)))</f>
        <v>86730.845000000001</v>
      </c>
      <c r="G46" s="24">
        <f t="shared" ca="1" si="8"/>
        <v>0.21814822038186343</v>
      </c>
      <c r="H46" s="8">
        <f ca="1">IF(ISBLANK($C46),,IF([1]!SNLData($D46,$B$1,$C46,H$4)="NA",,[1]!SNLData($D46,$B$1,$C46,H$4)))</f>
        <v>31407.648000000001</v>
      </c>
      <c r="I46" s="24">
        <f t="shared" ca="1" si="9"/>
        <v>-0.63787222412049593</v>
      </c>
      <c r="J46" s="8">
        <f ca="1">IF(ISBLANK($C46),,IF([1]!SNLData($D46,$B$1,$C46,J$4)="NA",,[1]!SNLData($D46,$B$1,$C46,J$4)))</f>
        <v>101314.72100000001</v>
      </c>
      <c r="K46" s="24">
        <f t="shared" ca="1" si="9"/>
        <v>2.2257977738415815</v>
      </c>
      <c r="L46" s="8">
        <f ca="1">IF(ISBLANK($C46),,IF([1]!SNLData($D46,$B$1,$C46,L$4)="NA",,[1]!SNLData($D46,$B$1,$C46,L$4)))</f>
        <v>59867.466</v>
      </c>
      <c r="M46" s="24">
        <f t="shared" ca="1" si="9"/>
        <v>-0.40909410390618361</v>
      </c>
      <c r="N46" s="8">
        <f ca="1">IF(ISBLANK($C46),,IF([1]!SNLData($D46,$B$1,$C46,N$4)="NA",,[1]!SNLData($D46,$B$1,$C46,N$4)))</f>
        <v>101644.997</v>
      </c>
      <c r="O46" s="24">
        <f t="shared" ca="1" si="9"/>
        <v>0.69783362803429827</v>
      </c>
      <c r="P46" s="24">
        <f t="shared" ca="1" si="10"/>
        <v>0.1719590302619558</v>
      </c>
      <c r="Q46" s="24">
        <f t="shared" ca="1" si="11"/>
        <v>3.2244282281743697E-2</v>
      </c>
    </row>
    <row r="47" spans="1:17" x14ac:dyDescent="0.25">
      <c r="B47" s="7" t="str">
        <f>[1]!SNLLabel($D47,$C47)</f>
        <v>Cash Flow: Dividends Paid to Policyholders ($000)</v>
      </c>
      <c r="C47" s="7">
        <v>114160</v>
      </c>
      <c r="D47" s="7">
        <v>287</v>
      </c>
      <c r="E47" s="8">
        <f ca="1">IF(ISBLANK($C47),,IF([1]!SNLData($D47,$B$1,$C47,E$4)="NA",,[1]!SNLData($D47,$B$1,$C47,E$4)))</f>
        <v>7267.7139999999999</v>
      </c>
      <c r="F47" s="8">
        <f ca="1">IF(ISBLANK($C47),,IF([1]!SNLData($D47,$B$1,$C47,F$4)="NA",,[1]!SNLData($D47,$B$1,$C47,F$4)))</f>
        <v>8299.6869999999999</v>
      </c>
      <c r="G47" s="24">
        <f t="shared" ca="1" si="8"/>
        <v>0.14199416762960126</v>
      </c>
      <c r="H47" s="8">
        <f ca="1">IF(ISBLANK($C47),,IF([1]!SNLData($D47,$B$1,$C47,H$4)="NA",,[1]!SNLData($D47,$B$1,$C47,H$4)))</f>
        <v>5265.03</v>
      </c>
      <c r="I47" s="24">
        <f t="shared" ca="1" si="9"/>
        <v>-0.3656351137097098</v>
      </c>
      <c r="J47" s="8">
        <f ca="1">IF(ISBLANK($C47),,IF([1]!SNLData($D47,$B$1,$C47,J$4)="NA",,[1]!SNLData($D47,$B$1,$C47,J$4)))</f>
        <v>5882.241</v>
      </c>
      <c r="K47" s="24">
        <f t="shared" ca="1" si="9"/>
        <v>0.11722839186101508</v>
      </c>
      <c r="L47" s="8">
        <f ca="1">IF(ISBLANK($C47),,IF([1]!SNLData($D47,$B$1,$C47,L$4)="NA",,[1]!SNLData($D47,$B$1,$C47,L$4)))</f>
        <v>6717.7219999999998</v>
      </c>
      <c r="M47" s="24">
        <f t="shared" ca="1" si="9"/>
        <v>0.14203447291601945</v>
      </c>
      <c r="N47" s="8">
        <f ca="1">IF(ISBLANK($C47),,IF([1]!SNLData($D47,$B$1,$C47,N$4)="NA",,[1]!SNLData($D47,$B$1,$C47,N$4)))</f>
        <v>6238.3710000000001</v>
      </c>
      <c r="O47" s="24">
        <f t="shared" ca="1" si="9"/>
        <v>-7.1356182944158686E-2</v>
      </c>
      <c r="P47" s="24">
        <f t="shared" ca="1" si="10"/>
        <v>-0.24836069119233051</v>
      </c>
      <c r="Q47" s="24">
        <f t="shared" ca="1" si="11"/>
        <v>-5.5500142135471831E-2</v>
      </c>
    </row>
    <row r="48" spans="1:17" x14ac:dyDescent="0.25">
      <c r="A48" s="23" t="s">
        <v>55</v>
      </c>
    </row>
    <row r="49" spans="1:17" x14ac:dyDescent="0.25">
      <c r="A49" s="23"/>
      <c r="B49" s="7" t="str">
        <f>[1]!SNLLabel($D49,$C49)</f>
        <v>Net Admitted Derivatives ($000)</v>
      </c>
      <c r="C49" s="42">
        <v>226072</v>
      </c>
      <c r="D49" s="7">
        <v>287</v>
      </c>
      <c r="E49" s="8">
        <f ca="1">IF(ISBLANK($C49),,IF([1]!SNLData($D49,$B$1,$C49,E$4)="NA",,[1]!SNLData($D49,$B$1,$C49,E$4)))</f>
        <v>0</v>
      </c>
      <c r="F49" s="8">
        <f ca="1">IF(ISBLANK($C49),,IF([1]!SNLData($D49,$B$1,$C49,F$4)="NA",,[1]!SNLData($D49,$B$1,$C49,F$4)))</f>
        <v>0</v>
      </c>
      <c r="G49" s="24">
        <f ca="1">IFERROR((F49/E49)-1,0)</f>
        <v>0</v>
      </c>
      <c r="H49" s="8">
        <f ca="1">IF(ISBLANK($C49),,IF([1]!SNLData($D49,$B$1,$C49,H$4)="NA",,[1]!SNLData($D49,$B$1,$C49,H$4)))</f>
        <v>0</v>
      </c>
      <c r="I49" s="24">
        <f ca="1">IFERROR((H49/F49)-1,0)</f>
        <v>0</v>
      </c>
      <c r="J49" s="8">
        <f ca="1">IF(ISBLANK($C49),,IF([1]!SNLData($D49,$B$1,$C49,J$4)="NA",,[1]!SNLData($D49,$B$1,$C49,J$4)))</f>
        <v>0</v>
      </c>
      <c r="K49" s="24">
        <f ca="1">IFERROR((J49/H49)-1,0)</f>
        <v>0</v>
      </c>
      <c r="L49" s="8">
        <f ca="1">IF(ISBLANK($C49),,IF([1]!SNLData($D49,$B$1,$C49,L$4)="NA",,[1]!SNLData($D49,$B$1,$C49,L$4)))</f>
        <v>0</v>
      </c>
      <c r="M49" s="24">
        <f ca="1">IFERROR((L49/J49)-1,0)</f>
        <v>0</v>
      </c>
      <c r="N49" s="8">
        <f ca="1">IF(ISBLANK($C49),,IF([1]!SNLData($D49,$B$1,$C49,N$4)="NA",,[1]!SNLData($D49,$B$1,$C49,N$4)))</f>
        <v>0</v>
      </c>
      <c r="O49" s="24">
        <f ca="1">IFERROR((N49/L49)-1,0)</f>
        <v>0</v>
      </c>
      <c r="P49" s="24">
        <f ca="1">IFERROR((N49/F49)-1,0)</f>
        <v>0</v>
      </c>
      <c r="Q49" s="24">
        <f ca="1">IFERROR(((1+P49)^(1/5))-1,0)</f>
        <v>0</v>
      </c>
    </row>
    <row r="50" spans="1:17" x14ac:dyDescent="0.25">
      <c r="B50" s="7" t="str">
        <f>[1]!SNLLabel($D50,$C50)</f>
        <v>Net Adm Bonds ($000)</v>
      </c>
      <c r="C50" s="7">
        <v>113918</v>
      </c>
      <c r="D50" s="7">
        <v>287</v>
      </c>
      <c r="E50" s="8">
        <f ca="1">IF(ISBLANK($C50),,IF([1]!SNLData($D50,$B$1,$C50,E$4)="NA",,[1]!SNLData($D50,$B$1,$C50,E$4)))</f>
        <v>21970957.903000001</v>
      </c>
      <c r="F50" s="8">
        <f ca="1">IF(ISBLANK($C50),,IF([1]!SNLData($D50,$B$1,$C50,F$4)="NA",,[1]!SNLData($D50,$B$1,$C50,F$4)))</f>
        <v>21866739.732999999</v>
      </c>
      <c r="G50" s="24">
        <f t="shared" ref="G50:G67" ca="1" si="12">IFERROR((F50/E50)-1,0)</f>
        <v>-4.7434513533782807E-3</v>
      </c>
      <c r="H50" s="8">
        <f ca="1">IF(ISBLANK($C50),,IF([1]!SNLData($D50,$B$1,$C50,H$4)="NA",,[1]!SNLData($D50,$B$1,$C50,H$4)))</f>
        <v>21776039.675000001</v>
      </c>
      <c r="I50" s="24">
        <f t="shared" ref="I50:O67" ca="1" si="13">IFERROR((H50/F50)-1,0)</f>
        <v>-4.1478546462561106E-3</v>
      </c>
      <c r="J50" s="8">
        <f ca="1">IF(ISBLANK($C50),,IF([1]!SNLData($D50,$B$1,$C50,J$4)="NA",,[1]!SNLData($D50,$B$1,$C50,J$4)))</f>
        <v>21800114.096999999</v>
      </c>
      <c r="K50" s="24">
        <f t="shared" ca="1" si="13"/>
        <v>1.1055463876490368E-3</v>
      </c>
      <c r="L50" s="8">
        <f ca="1">IF(ISBLANK($C50),,IF([1]!SNLData($D50,$B$1,$C50,L$4)="NA",,[1]!SNLData($D50,$B$1,$C50,L$4)))</f>
        <v>20724556.522</v>
      </c>
      <c r="M50" s="24">
        <f t="shared" ca="1" si="13"/>
        <v>-4.9337245218730841E-2</v>
      </c>
      <c r="N50" s="8">
        <f ca="1">IF(ISBLANK($C50),,IF([1]!SNLData($D50,$B$1,$C50,N$4)="NA",,[1]!SNLData($D50,$B$1,$C50,N$4)))</f>
        <v>19408047.517999999</v>
      </c>
      <c r="O50" s="24">
        <f t="shared" ca="1" si="13"/>
        <v>-6.3524109797112871E-2</v>
      </c>
      <c r="P50" s="24">
        <f t="shared" ref="P50:P67" ca="1" si="14">IFERROR((N50/F50)-1,0)</f>
        <v>-0.11243981704732531</v>
      </c>
      <c r="Q50" s="24">
        <f t="shared" ref="Q50:Q67" ca="1" si="15">IFERROR(((1+P50)^(1/5))-1,0)</f>
        <v>-2.3573489567230932E-2</v>
      </c>
    </row>
    <row r="51" spans="1:17" x14ac:dyDescent="0.25">
      <c r="B51" s="42" t="s">
        <v>282</v>
      </c>
      <c r="C51" s="7"/>
      <c r="D51" s="7"/>
      <c r="E51" s="8">
        <f ca="1">SUM(E52:E53)</f>
        <v>873937.73699999996</v>
      </c>
      <c r="F51" s="8">
        <f ca="1">SUM(F52:F53)</f>
        <v>692258.06599999999</v>
      </c>
      <c r="G51" s="24">
        <f t="shared" ca="1" si="12"/>
        <v>-0.20788628675500254</v>
      </c>
      <c r="H51" s="8">
        <f ca="1">SUM(H52:H53)</f>
        <v>730028.99800000002</v>
      </c>
      <c r="I51" s="24">
        <f t="shared" ca="1" si="13"/>
        <v>5.456192402097626E-2</v>
      </c>
      <c r="J51" s="8">
        <f ca="1">SUM(J52:J53)</f>
        <v>1075693.3530000001</v>
      </c>
      <c r="K51" s="24">
        <f t="shared" ca="1" si="13"/>
        <v>0.47349400632986915</v>
      </c>
      <c r="L51" s="8">
        <f ca="1">SUM(L52:L53)</f>
        <v>1868828.611</v>
      </c>
      <c r="M51" s="24">
        <f t="shared" ca="1" si="13"/>
        <v>0.7373246806704028</v>
      </c>
      <c r="N51" s="8">
        <f ca="1">SUM(N52:N53)</f>
        <v>2046233.037</v>
      </c>
      <c r="O51" s="24">
        <f t="shared" ca="1" si="13"/>
        <v>9.492814105894487E-2</v>
      </c>
      <c r="P51" s="24">
        <f ca="1">IFERROR((N51/F51)-1,0)</f>
        <v>1.9558818271681937</v>
      </c>
      <c r="Q51" s="24">
        <f ca="1">IFERROR(((1+P51)^(1/5))-1,0)</f>
        <v>0.24204523631512487</v>
      </c>
    </row>
    <row r="52" spans="1:17" x14ac:dyDescent="0.25">
      <c r="B52" s="7" t="str">
        <f>[1]!SNLLabel($D52,$C52)</f>
        <v>Net Adm Preferred Stock ($000)</v>
      </c>
      <c r="C52" s="7">
        <v>113919</v>
      </c>
      <c r="D52" s="7">
        <v>287</v>
      </c>
      <c r="E52" s="8">
        <f ca="1">IF(ISBLANK($C52),,IF([1]!SNLData($D52,$B$1,$C52,E$4)="NA",,[1]!SNLData($D52,$B$1,$C52,E$4)))</f>
        <v>1775.1190000000001</v>
      </c>
      <c r="F52" s="8">
        <f ca="1">IF(ISBLANK($C52),,IF([1]!SNLData($D52,$B$1,$C52,F$4)="NA",,[1]!SNLData($D52,$B$1,$C52,F$4)))</f>
        <v>1140.2719999999999</v>
      </c>
      <c r="G52" s="24">
        <f t="shared" ca="1" si="12"/>
        <v>-0.35763630494631637</v>
      </c>
      <c r="H52" s="8">
        <f ca="1">IF(ISBLANK($C52),,IF([1]!SNLData($D52,$B$1,$C52,H$4)="NA",,[1]!SNLData($D52,$B$1,$C52,H$4)))</f>
        <v>1039.5999999999999</v>
      </c>
      <c r="I52" s="24">
        <f t="shared" ca="1" si="13"/>
        <v>-8.8287706792765208E-2</v>
      </c>
      <c r="J52" s="8">
        <f ca="1">IF(ISBLANK($C52),,IF([1]!SNLData($D52,$B$1,$C52,J$4)="NA",,[1]!SNLData($D52,$B$1,$C52,J$4)))</f>
        <v>0</v>
      </c>
      <c r="K52" s="24">
        <f t="shared" ca="1" si="13"/>
        <v>-1</v>
      </c>
      <c r="L52" s="8">
        <f ca="1">IF(ISBLANK($C52),,IF([1]!SNLData($D52,$B$1,$C52,L$4)="NA",,[1]!SNLData($D52,$B$1,$C52,L$4)))</f>
        <v>0</v>
      </c>
      <c r="M52" s="24">
        <f t="shared" ca="1" si="13"/>
        <v>0</v>
      </c>
      <c r="N52" s="8">
        <f ca="1">IF(ISBLANK($C52),,IF([1]!SNLData($D52,$B$1,$C52,N$4)="NA",,[1]!SNLData($D52,$B$1,$C52,N$4)))</f>
        <v>0</v>
      </c>
      <c r="O52" s="24">
        <f t="shared" ca="1" si="13"/>
        <v>0</v>
      </c>
      <c r="P52" s="24">
        <f t="shared" ca="1" si="14"/>
        <v>-1</v>
      </c>
      <c r="Q52" s="24">
        <f t="shared" ca="1" si="15"/>
        <v>-1</v>
      </c>
    </row>
    <row r="53" spans="1:17" x14ac:dyDescent="0.25">
      <c r="B53" s="7" t="str">
        <f>[1]!SNLLabel($D53,$C53)</f>
        <v>Net Adm Common Stock ($000)</v>
      </c>
      <c r="C53" s="7">
        <v>113920</v>
      </c>
      <c r="D53" s="7">
        <v>287</v>
      </c>
      <c r="E53" s="8">
        <f ca="1">IF(ISBLANK($C53),,IF([1]!SNLData($D53,$B$1,$C53,E$4)="NA",,[1]!SNLData($D53,$B$1,$C53,E$4)))</f>
        <v>872162.61800000002</v>
      </c>
      <c r="F53" s="8">
        <f ca="1">IF(ISBLANK($C53),,IF([1]!SNLData($D53,$B$1,$C53,F$4)="NA",,[1]!SNLData($D53,$B$1,$C53,F$4)))</f>
        <v>691117.79399999999</v>
      </c>
      <c r="G53" s="24">
        <f t="shared" ca="1" si="12"/>
        <v>-0.20758149944005055</v>
      </c>
      <c r="H53" s="8">
        <f ca="1">IF(ISBLANK($C53),,IF([1]!SNLData($D53,$B$1,$C53,H$4)="NA",,[1]!SNLData($D53,$B$1,$C53,H$4)))</f>
        <v>728989.39800000004</v>
      </c>
      <c r="I53" s="24">
        <f t="shared" ca="1" si="13"/>
        <v>5.4797610955448883E-2</v>
      </c>
      <c r="J53" s="8">
        <f ca="1">IF(ISBLANK($C53),,IF([1]!SNLData($D53,$B$1,$C53,J$4)="NA",,[1]!SNLData($D53,$B$1,$C53,J$4)))</f>
        <v>1075693.3530000001</v>
      </c>
      <c r="K53" s="24">
        <f t="shared" ca="1" si="13"/>
        <v>0.47559533232059437</v>
      </c>
      <c r="L53" s="8">
        <f ca="1">IF(ISBLANK($C53),,IF([1]!SNLData($D53,$B$1,$C53,L$4)="NA",,[1]!SNLData($D53,$B$1,$C53,L$4)))</f>
        <v>1868828.611</v>
      </c>
      <c r="M53" s="24">
        <f t="shared" ca="1" si="13"/>
        <v>0.7373246806704028</v>
      </c>
      <c r="N53" s="8">
        <f ca="1">IF(ISBLANK($C53),,IF([1]!SNLData($D53,$B$1,$C53,N$4)="NA",,[1]!SNLData($D53,$B$1,$C53,N$4)))</f>
        <v>2046233.037</v>
      </c>
      <c r="O53" s="24">
        <f t="shared" ca="1" si="13"/>
        <v>9.492814105894487E-2</v>
      </c>
      <c r="P53" s="24">
        <f t="shared" ca="1" si="14"/>
        <v>1.9607587227019074</v>
      </c>
      <c r="Q53" s="24">
        <f t="shared" ca="1" si="15"/>
        <v>0.24245481501898758</v>
      </c>
    </row>
    <row r="54" spans="1:17" x14ac:dyDescent="0.25">
      <c r="B54" s="42" t="s">
        <v>281</v>
      </c>
      <c r="C54" s="7"/>
      <c r="D54" s="7"/>
      <c r="E54" s="8">
        <f ca="1">SUM(E55:E59)</f>
        <v>1870.029</v>
      </c>
      <c r="F54" s="8">
        <f ca="1">SUM(F55:F59)</f>
        <v>1816.9110000000001</v>
      </c>
      <c r="G54" s="24">
        <f t="shared" ca="1" si="12"/>
        <v>-2.8404907089676135E-2</v>
      </c>
      <c r="H54" s="8">
        <f ca="1">SUM(H55:H59)</f>
        <v>0</v>
      </c>
      <c r="I54" s="24">
        <f t="shared" ca="1" si="13"/>
        <v>-1</v>
      </c>
      <c r="J54" s="8">
        <f ca="1">SUM(J55:J59)</f>
        <v>0</v>
      </c>
      <c r="K54" s="24">
        <f t="shared" ca="1" si="13"/>
        <v>0</v>
      </c>
      <c r="L54" s="8">
        <f ca="1">SUM(L55:L59)</f>
        <v>0</v>
      </c>
      <c r="M54" s="24">
        <f t="shared" ca="1" si="13"/>
        <v>0</v>
      </c>
      <c r="N54" s="8">
        <f ca="1">SUM(N55:N59)</f>
        <v>743791.69099999999</v>
      </c>
      <c r="O54" s="24">
        <f t="shared" ca="1" si="13"/>
        <v>0</v>
      </c>
      <c r="P54" s="24">
        <f ca="1">IFERROR((N54/F54)-1,0)</f>
        <v>408.37156030207314</v>
      </c>
      <c r="Q54" s="24">
        <f ca="1">IFERROR(((1+P54)^(1/5))-1,0)</f>
        <v>2.3298412853776731</v>
      </c>
    </row>
    <row r="55" spans="1:17" x14ac:dyDescent="0.25">
      <c r="B55" s="7" t="str">
        <f>[1]!SNLLabel($D55,$C55)</f>
        <v>Net Adm First Lien Real Estate Loans ($000)</v>
      </c>
      <c r="C55" s="7">
        <v>113921</v>
      </c>
      <c r="D55" s="7">
        <v>287</v>
      </c>
      <c r="E55" s="8">
        <f ca="1">IF(ISBLANK($C55),,IF([1]!SNLData($D55,$B$1,$C55,E$4)="NA",,[1]!SNLData($D55,$B$1,$C55,E$4)))</f>
        <v>1870.029</v>
      </c>
      <c r="F55" s="8">
        <f ca="1">IF(ISBLANK($C55),,IF([1]!SNLData($D55,$B$1,$C55,F$4)="NA",,[1]!SNLData($D55,$B$1,$C55,F$4)))</f>
        <v>1816.9110000000001</v>
      </c>
      <c r="G55" s="24">
        <f t="shared" ca="1" si="12"/>
        <v>-2.8404907089676135E-2</v>
      </c>
      <c r="H55" s="8">
        <f ca="1">IF(ISBLANK($C55),,IF([1]!SNLData($D55,$B$1,$C55,H$4)="NA",,[1]!SNLData($D55,$B$1,$C55,H$4)))</f>
        <v>0</v>
      </c>
      <c r="I55" s="24">
        <f t="shared" ca="1" si="13"/>
        <v>-1</v>
      </c>
      <c r="J55" s="8">
        <f ca="1">IF(ISBLANK($C55),,IF([1]!SNLData($D55,$B$1,$C55,J$4)="NA",,[1]!SNLData($D55,$B$1,$C55,J$4)))</f>
        <v>0</v>
      </c>
      <c r="K55" s="24">
        <f t="shared" ca="1" si="13"/>
        <v>0</v>
      </c>
      <c r="L55" s="8">
        <f ca="1">IF(ISBLANK($C55),,IF([1]!SNLData($D55,$B$1,$C55,L$4)="NA",,[1]!SNLData($D55,$B$1,$C55,L$4)))</f>
        <v>0</v>
      </c>
      <c r="M55" s="24">
        <f t="shared" ca="1" si="13"/>
        <v>0</v>
      </c>
      <c r="N55" s="8">
        <f ca="1">IF(ISBLANK($C55),,IF([1]!SNLData($D55,$B$1,$C55,N$4)="NA",,[1]!SNLData($D55,$B$1,$C55,N$4)))</f>
        <v>0</v>
      </c>
      <c r="O55" s="24">
        <f t="shared" ca="1" si="13"/>
        <v>0</v>
      </c>
      <c r="P55" s="24">
        <f t="shared" ca="1" si="14"/>
        <v>-1</v>
      </c>
      <c r="Q55" s="24">
        <f t="shared" ca="1" si="15"/>
        <v>-1</v>
      </c>
    </row>
    <row r="56" spans="1:17" x14ac:dyDescent="0.25">
      <c r="B56" s="7" t="str">
        <f>[1]!SNLLabel($D56,$C56)</f>
        <v>Net Adm Real Estate Loans Less First Liens ($000)</v>
      </c>
      <c r="C56" s="7">
        <v>113922</v>
      </c>
      <c r="D56" s="7">
        <v>287</v>
      </c>
      <c r="E56" s="8">
        <f ca="1">IF(ISBLANK($C56),,IF([1]!SNLData($D56,$B$1,$C56,E$4)="NA",,[1]!SNLData($D56,$B$1,$C56,E$4)))</f>
        <v>0</v>
      </c>
      <c r="F56" s="8">
        <f ca="1">IF(ISBLANK($C56),,IF([1]!SNLData($D56,$B$1,$C56,F$4)="NA",,[1]!SNLData($D56,$B$1,$C56,F$4)))</f>
        <v>0</v>
      </c>
      <c r="G56" s="24">
        <f t="shared" ca="1" si="12"/>
        <v>0</v>
      </c>
      <c r="H56" s="8">
        <f ca="1">IF(ISBLANK($C56),,IF([1]!SNLData($D56,$B$1,$C56,H$4)="NA",,[1]!SNLData($D56,$B$1,$C56,H$4)))</f>
        <v>0</v>
      </c>
      <c r="I56" s="24">
        <f t="shared" ca="1" si="13"/>
        <v>0</v>
      </c>
      <c r="J56" s="8">
        <f ca="1">IF(ISBLANK($C56),,IF([1]!SNLData($D56,$B$1,$C56,J$4)="NA",,[1]!SNLData($D56,$B$1,$C56,J$4)))</f>
        <v>0</v>
      </c>
      <c r="K56" s="24">
        <f t="shared" ca="1" si="13"/>
        <v>0</v>
      </c>
      <c r="L56" s="8">
        <f ca="1">IF(ISBLANK($C56),,IF([1]!SNLData($D56,$B$1,$C56,L$4)="NA",,[1]!SNLData($D56,$B$1,$C56,L$4)))</f>
        <v>0</v>
      </c>
      <c r="M56" s="24">
        <f t="shared" ca="1" si="13"/>
        <v>0</v>
      </c>
      <c r="N56" s="8">
        <f ca="1">IF(ISBLANK($C56),,IF([1]!SNLData($D56,$B$1,$C56,N$4)="NA",,[1]!SNLData($D56,$B$1,$C56,N$4)))</f>
        <v>0</v>
      </c>
      <c r="O56" s="24">
        <f t="shared" ca="1" si="13"/>
        <v>0</v>
      </c>
      <c r="P56" s="24">
        <f t="shared" ca="1" si="14"/>
        <v>0</v>
      </c>
      <c r="Q56" s="24">
        <f t="shared" ca="1" si="15"/>
        <v>0</v>
      </c>
    </row>
    <row r="57" spans="1:17" x14ac:dyDescent="0.25">
      <c r="B57" s="7" t="str">
        <f>[1]!SNLLabel($D57,$C57)</f>
        <v>Net Adm Occupied Properties ($000)</v>
      </c>
      <c r="C57" s="7">
        <v>113923</v>
      </c>
      <c r="D57" s="7">
        <v>287</v>
      </c>
      <c r="E57" s="8">
        <f ca="1">IF(ISBLANK($C57),,IF([1]!SNLData($D57,$B$1,$C57,E$4)="NA",,[1]!SNLData($D57,$B$1,$C57,E$4)))</f>
        <v>0</v>
      </c>
      <c r="F57" s="8">
        <f ca="1">IF(ISBLANK($C57),,IF([1]!SNLData($D57,$B$1,$C57,F$4)="NA",,[1]!SNLData($D57,$B$1,$C57,F$4)))</f>
        <v>0</v>
      </c>
      <c r="G57" s="24">
        <f t="shared" ca="1" si="12"/>
        <v>0</v>
      </c>
      <c r="H57" s="8">
        <f ca="1">IF(ISBLANK($C57),,IF([1]!SNLData($D57,$B$1,$C57,H$4)="NA",,[1]!SNLData($D57,$B$1,$C57,H$4)))</f>
        <v>0</v>
      </c>
      <c r="I57" s="24">
        <f t="shared" ca="1" si="13"/>
        <v>0</v>
      </c>
      <c r="J57" s="8">
        <f ca="1">IF(ISBLANK($C57),,IF([1]!SNLData($D57,$B$1,$C57,J$4)="NA",,[1]!SNLData($D57,$B$1,$C57,J$4)))</f>
        <v>0</v>
      </c>
      <c r="K57" s="24">
        <f t="shared" ca="1" si="13"/>
        <v>0</v>
      </c>
      <c r="L57" s="8">
        <f ca="1">IF(ISBLANK($C57),,IF([1]!SNLData($D57,$B$1,$C57,L$4)="NA",,[1]!SNLData($D57,$B$1,$C57,L$4)))</f>
        <v>0</v>
      </c>
      <c r="M57" s="24">
        <f t="shared" ca="1" si="13"/>
        <v>0</v>
      </c>
      <c r="N57" s="8">
        <f ca="1">IF(ISBLANK($C57),,IF([1]!SNLData($D57,$B$1,$C57,N$4)="NA",,[1]!SNLData($D57,$B$1,$C57,N$4)))</f>
        <v>0</v>
      </c>
      <c r="O57" s="24">
        <f t="shared" ca="1" si="13"/>
        <v>0</v>
      </c>
      <c r="P57" s="24">
        <f t="shared" ca="1" si="14"/>
        <v>0</v>
      </c>
      <c r="Q57" s="24">
        <f t="shared" ca="1" si="15"/>
        <v>0</v>
      </c>
    </row>
    <row r="58" spans="1:17" x14ac:dyDescent="0.25">
      <c r="B58" s="7" t="str">
        <f>[1]!SNLLabel($D58,$C58)</f>
        <v>Net Adm Income Generating Properties ($000)</v>
      </c>
      <c r="C58" s="7">
        <v>113925</v>
      </c>
      <c r="D58" s="7">
        <v>287</v>
      </c>
      <c r="E58" s="8">
        <f ca="1">IF(ISBLANK($C58),,IF([1]!SNLData($D58,$B$1,$C58,E$4)="NA",,[1]!SNLData($D58,$B$1,$C58,E$4)))</f>
        <v>0</v>
      </c>
      <c r="F58" s="8">
        <f ca="1">IF(ISBLANK($C58),,IF([1]!SNLData($D58,$B$1,$C58,F$4)="NA",,[1]!SNLData($D58,$B$1,$C58,F$4)))</f>
        <v>0</v>
      </c>
      <c r="G58" s="24">
        <f t="shared" ca="1" si="12"/>
        <v>0</v>
      </c>
      <c r="H58" s="8">
        <f ca="1">IF(ISBLANK($C58),,IF([1]!SNLData($D58,$B$1,$C58,H$4)="NA",,[1]!SNLData($D58,$B$1,$C58,H$4)))</f>
        <v>0</v>
      </c>
      <c r="I58" s="24">
        <f t="shared" ca="1" si="13"/>
        <v>0</v>
      </c>
      <c r="J58" s="8">
        <f ca="1">IF(ISBLANK($C58),,IF([1]!SNLData($D58,$B$1,$C58,J$4)="NA",,[1]!SNLData($D58,$B$1,$C58,J$4)))</f>
        <v>0</v>
      </c>
      <c r="K58" s="24">
        <f t="shared" ca="1" si="13"/>
        <v>0</v>
      </c>
      <c r="L58" s="8">
        <f ca="1">IF(ISBLANK($C58),,IF([1]!SNLData($D58,$B$1,$C58,L$4)="NA",,[1]!SNLData($D58,$B$1,$C58,L$4)))</f>
        <v>0</v>
      </c>
      <c r="M58" s="24">
        <f t="shared" ca="1" si="13"/>
        <v>0</v>
      </c>
      <c r="N58" s="8">
        <f ca="1">IF(ISBLANK($C58),,IF([1]!SNLData($D58,$B$1,$C58,N$4)="NA",,[1]!SNLData($D58,$B$1,$C58,N$4)))</f>
        <v>743791.69099999999</v>
      </c>
      <c r="O58" s="24">
        <f t="shared" ca="1" si="13"/>
        <v>0</v>
      </c>
      <c r="P58" s="24">
        <f t="shared" ca="1" si="14"/>
        <v>0</v>
      </c>
      <c r="Q58" s="24">
        <f t="shared" ca="1" si="15"/>
        <v>0</v>
      </c>
    </row>
    <row r="59" spans="1:17" x14ac:dyDescent="0.25">
      <c r="B59" s="7" t="str">
        <f>[1]!SNLLabel($D59,$C59)</f>
        <v>Net Adm Properties for Sale ($000)</v>
      </c>
      <c r="C59" s="7">
        <v>113927</v>
      </c>
      <c r="D59" s="7">
        <v>287</v>
      </c>
      <c r="E59" s="8">
        <f ca="1">IF(ISBLANK($C59),,IF([1]!SNLData($D59,$B$1,$C59,E$4)="NA",,[1]!SNLData($D59,$B$1,$C59,E$4)))</f>
        <v>0</v>
      </c>
      <c r="F59" s="8">
        <f ca="1">IF(ISBLANK($C59),,IF([1]!SNLData($D59,$B$1,$C59,F$4)="NA",,[1]!SNLData($D59,$B$1,$C59,F$4)))</f>
        <v>0</v>
      </c>
      <c r="G59" s="24">
        <f t="shared" ca="1" si="12"/>
        <v>0</v>
      </c>
      <c r="H59" s="8">
        <f ca="1">IF(ISBLANK($C59),,IF([1]!SNLData($D59,$B$1,$C59,H$4)="NA",,[1]!SNLData($D59,$B$1,$C59,H$4)))</f>
        <v>0</v>
      </c>
      <c r="I59" s="24">
        <f t="shared" ca="1" si="13"/>
        <v>0</v>
      </c>
      <c r="J59" s="8">
        <f ca="1">IF(ISBLANK($C59),,IF([1]!SNLData($D59,$B$1,$C59,J$4)="NA",,[1]!SNLData($D59,$B$1,$C59,J$4)))</f>
        <v>0</v>
      </c>
      <c r="K59" s="24">
        <f t="shared" ca="1" si="13"/>
        <v>0</v>
      </c>
      <c r="L59" s="8">
        <f ca="1">IF(ISBLANK($C59),,IF([1]!SNLData($D59,$B$1,$C59,L$4)="NA",,[1]!SNLData($D59,$B$1,$C59,L$4)))</f>
        <v>0</v>
      </c>
      <c r="M59" s="24">
        <f t="shared" ca="1" si="13"/>
        <v>0</v>
      </c>
      <c r="N59" s="8">
        <f ca="1">IF(ISBLANK($C59),,IF([1]!SNLData($D59,$B$1,$C59,N$4)="NA",,[1]!SNLData($D59,$B$1,$C59,N$4)))</f>
        <v>0</v>
      </c>
      <c r="O59" s="24">
        <f t="shared" ca="1" si="13"/>
        <v>0</v>
      </c>
      <c r="P59" s="24">
        <f t="shared" ca="1" si="14"/>
        <v>0</v>
      </c>
      <c r="Q59" s="24">
        <f t="shared" ca="1" si="15"/>
        <v>0</v>
      </c>
    </row>
    <row r="60" spans="1:17" x14ac:dyDescent="0.25">
      <c r="B60" s="7" t="str">
        <f>[1]!SNLLabel($D60,$C60)</f>
        <v>Net Cash Cash Equivalents and Short Term Assets ($000)</v>
      </c>
      <c r="C60" s="7">
        <v>113929</v>
      </c>
      <c r="D60" s="7">
        <v>287</v>
      </c>
      <c r="E60" s="8">
        <f ca="1">IF(ISBLANK($C60),,IF([1]!SNLData($D60,$B$1,$C60,E$4)="NA",,[1]!SNLData($D60,$B$1,$C60,E$4)))</f>
        <v>582309.79200000002</v>
      </c>
      <c r="F60" s="8">
        <f ca="1">IF(ISBLANK($C60),,IF([1]!SNLData($D60,$B$1,$C60,F$4)="NA",,[1]!SNLData($D60,$B$1,$C60,F$4)))</f>
        <v>230170.772</v>
      </c>
      <c r="G60" s="24">
        <f t="shared" ca="1" si="12"/>
        <v>-0.60472797270082657</v>
      </c>
      <c r="H60" s="8">
        <f ca="1">IF(ISBLANK($C60),,IF([1]!SNLData($D60,$B$1,$C60,H$4)="NA",,[1]!SNLData($D60,$B$1,$C60,H$4)))</f>
        <v>1123572.7920000001</v>
      </c>
      <c r="I60" s="24">
        <f t="shared" ca="1" si="13"/>
        <v>3.8814746643852773</v>
      </c>
      <c r="J60" s="8">
        <f ca="1">IF(ISBLANK($C60),,IF([1]!SNLData($D60,$B$1,$C60,J$4)="NA",,[1]!SNLData($D60,$B$1,$C60,J$4)))</f>
        <v>548977.11100000003</v>
      </c>
      <c r="K60" s="24">
        <f t="shared" ca="1" si="13"/>
        <v>-0.51140049411235655</v>
      </c>
      <c r="L60" s="8">
        <f ca="1">IF(ISBLANK($C60),,IF([1]!SNLData($D60,$B$1,$C60,L$4)="NA",,[1]!SNLData($D60,$B$1,$C60,L$4)))</f>
        <v>1024731.39</v>
      </c>
      <c r="M60" s="24">
        <f t="shared" ca="1" si="13"/>
        <v>0.86661951740279375</v>
      </c>
      <c r="N60" s="8">
        <f ca="1">IF(ISBLANK($C60),,IF([1]!SNLData($D60,$B$1,$C60,N$4)="NA",,[1]!SNLData($D60,$B$1,$C60,N$4)))</f>
        <v>690491.45200000005</v>
      </c>
      <c r="O60" s="24">
        <f t="shared" ca="1" si="13"/>
        <v>-0.3261732208671777</v>
      </c>
      <c r="P60" s="24">
        <f t="shared" ca="1" si="14"/>
        <v>1.9999093542598017</v>
      </c>
      <c r="Q60" s="24">
        <f t="shared" ca="1" si="15"/>
        <v>0.24572341151099075</v>
      </c>
    </row>
    <row r="61" spans="1:17" x14ac:dyDescent="0.25">
      <c r="B61" s="7" t="str">
        <f>[1]!SNLLabel($D61,$C61)</f>
        <v>Net Adm Other Investments ($000)</v>
      </c>
      <c r="C61" s="7">
        <v>122990</v>
      </c>
      <c r="D61" s="7">
        <v>287</v>
      </c>
      <c r="E61" s="8">
        <f ca="1">IF(ISBLANK($C61),,IF([1]!SNLData($D61,$B$1,$C61,E$4)="NA",,[1]!SNLData($D61,$B$1,$C61,E$4)))</f>
        <v>2927286.2319999998</v>
      </c>
      <c r="F61" s="8">
        <f ca="1">IF(ISBLANK($C61),,IF([1]!SNLData($D61,$B$1,$C61,F$4)="NA",,[1]!SNLData($D61,$B$1,$C61,F$4)))</f>
        <v>2690389.057</v>
      </c>
      <c r="G61" s="24">
        <f t="shared" ca="1" si="12"/>
        <v>-8.0927233015455902E-2</v>
      </c>
      <c r="H61" s="8">
        <f ca="1">IF(ISBLANK($C61),,IF([1]!SNLData($D61,$B$1,$C61,H$4)="NA",,[1]!SNLData($D61,$B$1,$C61,H$4)))</f>
        <v>2904222.7409999999</v>
      </c>
      <c r="I61" s="24">
        <f t="shared" ca="1" si="13"/>
        <v>7.9480580492117259E-2</v>
      </c>
      <c r="J61" s="8">
        <f ca="1">IF(ISBLANK($C61),,IF([1]!SNLData($D61,$B$1,$C61,J$4)="NA",,[1]!SNLData($D61,$B$1,$C61,J$4)))</f>
        <v>3227670.7549999999</v>
      </c>
      <c r="K61" s="24">
        <f t="shared" ca="1" si="13"/>
        <v>0.1113716277452701</v>
      </c>
      <c r="L61" s="8">
        <f ca="1">IF(ISBLANK($C61),,IF([1]!SNLData($D61,$B$1,$C61,L$4)="NA",,[1]!SNLData($D61,$B$1,$C61,L$4)))</f>
        <v>3112709.227</v>
      </c>
      <c r="M61" s="24">
        <f t="shared" ca="1" si="13"/>
        <v>-3.5617489120261858E-2</v>
      </c>
      <c r="N61" s="8">
        <f ca="1">IF(ISBLANK($C61),,IF([1]!SNLData($D61,$B$1,$C61,N$4)="NA",,[1]!SNLData($D61,$B$1,$C61,N$4)))</f>
        <v>2792641.8790000002</v>
      </c>
      <c r="O61" s="24">
        <f t="shared" ca="1" si="13"/>
        <v>-0.10282597077288769</v>
      </c>
      <c r="P61" s="24">
        <f t="shared" ca="1" si="14"/>
        <v>3.8006704544814252E-2</v>
      </c>
      <c r="Q61" s="24">
        <f t="shared" ca="1" si="15"/>
        <v>7.4883472475075763E-3</v>
      </c>
    </row>
    <row r="62" spans="1:17" x14ac:dyDescent="0.25">
      <c r="B62" s="7" t="str">
        <f>[1]!SNLLabel($D62,$C62)</f>
        <v>Net Adm Cash &amp; Invested Assets ($000)</v>
      </c>
      <c r="C62" s="7">
        <v>113938</v>
      </c>
      <c r="D62" s="7">
        <v>287</v>
      </c>
      <c r="E62" s="8">
        <f ca="1">IF(ISBLANK($C62),,IF([1]!SNLData($D62,$B$1,$C62,E$4)="NA",,[1]!SNLData($D62,$B$1,$C62,E$4)))</f>
        <v>26356361.693</v>
      </c>
      <c r="F62" s="8">
        <f ca="1">IF(ISBLANK($C62),,IF([1]!SNLData($D62,$B$1,$C62,F$4)="NA",,[1]!SNLData($D62,$B$1,$C62,F$4)))</f>
        <v>25481374.539000001</v>
      </c>
      <c r="G62" s="24">
        <f t="shared" ca="1" si="12"/>
        <v>-3.3198328517110465E-2</v>
      </c>
      <c r="H62" s="8">
        <f ca="1">IF(ISBLANK($C62),,IF([1]!SNLData($D62,$B$1,$C62,H$4)="NA",,[1]!SNLData($D62,$B$1,$C62,H$4)))</f>
        <v>26533864.206</v>
      </c>
      <c r="I62" s="24">
        <f t="shared" ca="1" si="13"/>
        <v>4.1304273652472467E-2</v>
      </c>
      <c r="J62" s="8">
        <f ca="1">IF(ISBLANK($C62),,IF([1]!SNLData($D62,$B$1,$C62,J$4)="NA",,[1]!SNLData($D62,$B$1,$C62,J$4)))</f>
        <v>26652455.316</v>
      </c>
      <c r="K62" s="24">
        <f t="shared" ca="1" si="13"/>
        <v>4.4694247727845582E-3</v>
      </c>
      <c r="L62" s="8">
        <f ca="1">IF(ISBLANK($C62),,IF([1]!SNLData($D62,$B$1,$C62,L$4)="NA",,[1]!SNLData($D62,$B$1,$C62,L$4)))</f>
        <v>26730825.75</v>
      </c>
      <c r="M62" s="24">
        <f t="shared" ca="1" si="13"/>
        <v>2.9404583206618096E-3</v>
      </c>
      <c r="N62" s="8">
        <f ca="1">IF(ISBLANK($C62),,IF([1]!SNLData($D62,$B$1,$C62,N$4)="NA",,[1]!SNLData($D62,$B$1,$C62,N$4)))</f>
        <v>25681205.577</v>
      </c>
      <c r="O62" s="24">
        <f t="shared" ca="1" si="13"/>
        <v>-3.9266283159995585E-2</v>
      </c>
      <c r="P62" s="24">
        <f t="shared" ca="1" si="14"/>
        <v>7.8422393460035877E-3</v>
      </c>
      <c r="Q62" s="24">
        <f t="shared" ca="1" si="15"/>
        <v>1.5635508359908012E-3</v>
      </c>
    </row>
    <row r="63" spans="1:17" x14ac:dyDescent="0.25">
      <c r="B63" s="7" t="str">
        <f>[1]!SNLLabel($D63,$C63)</f>
        <v>Net Adm Premiums &amp; Considerations Due ($000)</v>
      </c>
      <c r="C63" s="7">
        <v>122992</v>
      </c>
      <c r="D63" s="7">
        <v>287</v>
      </c>
      <c r="E63" s="8">
        <f ca="1">IF(ISBLANK($C63),,IF([1]!SNLData($D63,$B$1,$C63,E$4)="NA",,[1]!SNLData($D63,$B$1,$C63,E$4)))</f>
        <v>5508832.5600000005</v>
      </c>
      <c r="F63" s="8">
        <f ca="1">IF(ISBLANK($C63),,IF([1]!SNLData($D63,$B$1,$C63,F$4)="NA",,[1]!SNLData($D63,$B$1,$C63,F$4)))</f>
        <v>6787648.642</v>
      </c>
      <c r="G63" s="24">
        <f t="shared" ca="1" si="12"/>
        <v>0.23213921789628689</v>
      </c>
      <c r="H63" s="8">
        <f ca="1">IF(ISBLANK($C63),,IF([1]!SNLData($D63,$B$1,$C63,H$4)="NA",,[1]!SNLData($D63,$B$1,$C63,H$4)))</f>
        <v>6722471.9100000001</v>
      </c>
      <c r="I63" s="24">
        <f t="shared" ca="1" si="13"/>
        <v>-9.6022548363368099E-3</v>
      </c>
      <c r="J63" s="8">
        <f ca="1">IF(ISBLANK($C63),,IF([1]!SNLData($D63,$B$1,$C63,J$4)="NA",,[1]!SNLData($D63,$B$1,$C63,J$4)))</f>
        <v>6287938.5420000004</v>
      </c>
      <c r="K63" s="24">
        <f t="shared" ca="1" si="13"/>
        <v>-6.4638926546291775E-2</v>
      </c>
      <c r="L63" s="8">
        <f ca="1">IF(ISBLANK($C63),,IF([1]!SNLData($D63,$B$1,$C63,L$4)="NA",,[1]!SNLData($D63,$B$1,$C63,L$4)))</f>
        <v>5588486.909</v>
      </c>
      <c r="M63" s="24">
        <f t="shared" ca="1" si="13"/>
        <v>-0.11123703393855477</v>
      </c>
      <c r="N63" s="8">
        <f ca="1">IF(ISBLANK($C63),,IF([1]!SNLData($D63,$B$1,$C63,N$4)="NA",,[1]!SNLData($D63,$B$1,$C63,N$4)))</f>
        <v>5672086.1639999999</v>
      </c>
      <c r="O63" s="24">
        <f t="shared" ca="1" si="13"/>
        <v>1.495919313425742E-2</v>
      </c>
      <c r="P63" s="24">
        <f t="shared" ca="1" si="14"/>
        <v>-0.16435183033741951</v>
      </c>
      <c r="Q63" s="24">
        <f t="shared" ca="1" si="15"/>
        <v>-3.527242271812725E-2</v>
      </c>
    </row>
    <row r="64" spans="1:17" x14ac:dyDescent="0.25">
      <c r="B64" s="7" t="str">
        <f>[1]!SNLLabel($D64,$C64)</f>
        <v>Net Adm Reinsurance Recoverable ($000)</v>
      </c>
      <c r="C64" s="7">
        <v>122993</v>
      </c>
      <c r="D64" s="7">
        <v>287</v>
      </c>
      <c r="E64" s="8">
        <f ca="1">IF(ISBLANK($C64),,IF([1]!SNLData($D64,$B$1,$C64,E$4)="NA",,[1]!SNLData($D64,$B$1,$C64,E$4)))</f>
        <v>1387168.27</v>
      </c>
      <c r="F64" s="8">
        <f ca="1">IF(ISBLANK($C64),,IF([1]!SNLData($D64,$B$1,$C64,F$4)="NA",,[1]!SNLData($D64,$B$1,$C64,F$4)))</f>
        <v>2754265.4410000001</v>
      </c>
      <c r="G64" s="24">
        <f t="shared" ca="1" si="12"/>
        <v>0.98553088371895936</v>
      </c>
      <c r="H64" s="8">
        <f ca="1">IF(ISBLANK($C64),,IF([1]!SNLData($D64,$B$1,$C64,H$4)="NA",,[1]!SNLData($D64,$B$1,$C64,H$4)))</f>
        <v>2533202.0090000001</v>
      </c>
      <c r="I64" s="24">
        <f t="shared" ca="1" si="13"/>
        <v>-8.0262210282730728E-2</v>
      </c>
      <c r="J64" s="8">
        <f ca="1">IF(ISBLANK($C64),,IF([1]!SNLData($D64,$B$1,$C64,J$4)="NA",,[1]!SNLData($D64,$B$1,$C64,J$4)))</f>
        <v>2453809.2170000002</v>
      </c>
      <c r="K64" s="24">
        <f t="shared" ca="1" si="13"/>
        <v>-3.1340884666099189E-2</v>
      </c>
      <c r="L64" s="8">
        <f ca="1">IF(ISBLANK($C64),,IF([1]!SNLData($D64,$B$1,$C64,L$4)="NA",,[1]!SNLData($D64,$B$1,$C64,L$4)))</f>
        <v>1554214.699</v>
      </c>
      <c r="M64" s="24">
        <f t="shared" ca="1" si="13"/>
        <v>-0.36661143489379933</v>
      </c>
      <c r="N64" s="8">
        <f ca="1">IF(ISBLANK($C64),,IF([1]!SNLData($D64,$B$1,$C64,N$4)="NA",,[1]!SNLData($D64,$B$1,$C64,N$4)))</f>
        <v>1623345.152</v>
      </c>
      <c r="O64" s="24">
        <f t="shared" ca="1" si="13"/>
        <v>4.4479345771520018E-2</v>
      </c>
      <c r="P64" s="24">
        <f t="shared" ca="1" si="14"/>
        <v>-0.41060686169354588</v>
      </c>
      <c r="Q64" s="24">
        <f t="shared" ca="1" si="15"/>
        <v>-0.10033460679499973</v>
      </c>
    </row>
    <row r="65" spans="2:17" x14ac:dyDescent="0.25">
      <c r="B65" s="7" t="str">
        <f>[1]!SNLLabel($D65,$C65)</f>
        <v>Other Admitted Assets ($000)</v>
      </c>
      <c r="C65" s="7">
        <v>122995</v>
      </c>
      <c r="D65" s="7">
        <v>287</v>
      </c>
      <c r="E65" s="8">
        <f ca="1">IF(ISBLANK($C65),,IF([1]!SNLData($D65,$B$1,$C65,E$4)="NA",,[1]!SNLData($D65,$B$1,$C65,E$4)))</f>
        <v>1935424.868</v>
      </c>
      <c r="F65" s="8">
        <f ca="1">IF(ISBLANK($C65),,IF([1]!SNLData($D65,$B$1,$C65,F$4)="NA",,[1]!SNLData($D65,$B$1,$C65,F$4)))</f>
        <v>1733944.673</v>
      </c>
      <c r="G65" s="24">
        <f t="shared" ca="1" si="12"/>
        <v>-0.10410127426346583</v>
      </c>
      <c r="H65" s="8">
        <f ca="1">IF(ISBLANK($C65),,IF([1]!SNLData($D65,$B$1,$C65,H$4)="NA",,[1]!SNLData($D65,$B$1,$C65,H$4)))</f>
        <v>1614238.72</v>
      </c>
      <c r="I65" s="24">
        <f t="shared" ca="1" si="13"/>
        <v>-6.9036777738063382E-2</v>
      </c>
      <c r="J65" s="8">
        <f ca="1">IF(ISBLANK($C65),,IF([1]!SNLData($D65,$B$1,$C65,J$4)="NA",,[1]!SNLData($D65,$B$1,$C65,J$4)))</f>
        <v>1829754.2310000001</v>
      </c>
      <c r="K65" s="24">
        <f t="shared" ca="1" si="13"/>
        <v>0.1335090704552051</v>
      </c>
      <c r="L65" s="8">
        <f ca="1">IF(ISBLANK($C65),,IF([1]!SNLData($D65,$B$1,$C65,L$4)="NA",,[1]!SNLData($D65,$B$1,$C65,L$4)))</f>
        <v>1851585.338</v>
      </c>
      <c r="M65" s="24">
        <f t="shared" ca="1" si="13"/>
        <v>1.1931169022666221E-2</v>
      </c>
      <c r="N65" s="8">
        <f ca="1">IF(ISBLANK($C65),,IF([1]!SNLData($D65,$B$1,$C65,N$4)="NA",,[1]!SNLData($D65,$B$1,$C65,N$4)))</f>
        <v>2145347.7510000002</v>
      </c>
      <c r="O65" s="24">
        <f t="shared" ca="1" si="13"/>
        <v>0.15865453618103786</v>
      </c>
      <c r="P65" s="24">
        <f t="shared" ca="1" si="14"/>
        <v>0.2372642474734834</v>
      </c>
      <c r="Q65" s="24">
        <f t="shared" ca="1" si="15"/>
        <v>4.350009444597891E-2</v>
      </c>
    </row>
    <row r="66" spans="2:17" x14ac:dyDescent="0.25">
      <c r="B66" s="7" t="str">
        <f>[1]!SNLLabel($D66,$C66)</f>
        <v>Net Adm Assets Separate &amp; Seg Accts ($000)</v>
      </c>
      <c r="C66" s="7">
        <v>113962</v>
      </c>
      <c r="D66" s="7">
        <v>287</v>
      </c>
      <c r="E66" s="8">
        <f ca="1">IF(ISBLANK($C66),,IF([1]!SNLData($D66,$B$1,$C66,E$4)="NA",,[1]!SNLData($D66,$B$1,$C66,E$4)))</f>
        <v>0</v>
      </c>
      <c r="F66" s="8">
        <f ca="1">IF(ISBLANK($C66),,IF([1]!SNLData($D66,$B$1,$C66,F$4)="NA",,[1]!SNLData($D66,$B$1,$C66,F$4)))</f>
        <v>0</v>
      </c>
      <c r="G66" s="24">
        <f t="shared" ca="1" si="12"/>
        <v>0</v>
      </c>
      <c r="H66" s="8">
        <f ca="1">IF(ISBLANK($C66),,IF([1]!SNLData($D66,$B$1,$C66,H$4)="NA",,[1]!SNLData($D66,$B$1,$C66,H$4)))</f>
        <v>0</v>
      </c>
      <c r="I66" s="24">
        <f t="shared" ca="1" si="13"/>
        <v>0</v>
      </c>
      <c r="J66" s="8">
        <f ca="1">IF(ISBLANK($C66),,IF([1]!SNLData($D66,$B$1,$C66,J$4)="NA",,[1]!SNLData($D66,$B$1,$C66,J$4)))</f>
        <v>0</v>
      </c>
      <c r="K66" s="24">
        <f t="shared" ca="1" si="13"/>
        <v>0</v>
      </c>
      <c r="L66" s="8">
        <f ca="1">IF(ISBLANK($C66),,IF([1]!SNLData($D66,$B$1,$C66,L$4)="NA",,[1]!SNLData($D66,$B$1,$C66,L$4)))</f>
        <v>0</v>
      </c>
      <c r="M66" s="24">
        <f t="shared" ca="1" si="13"/>
        <v>0</v>
      </c>
      <c r="N66" s="8">
        <f ca="1">IF(ISBLANK($C66),,IF([1]!SNLData($D66,$B$1,$C66,N$4)="NA",,[1]!SNLData($D66,$B$1,$C66,N$4)))</f>
        <v>0</v>
      </c>
      <c r="O66" s="24">
        <f t="shared" ca="1" si="13"/>
        <v>0</v>
      </c>
      <c r="P66" s="24">
        <f t="shared" ca="1" si="14"/>
        <v>0</v>
      </c>
      <c r="Q66" s="24">
        <f t="shared" ca="1" si="15"/>
        <v>0</v>
      </c>
    </row>
    <row r="67" spans="2:17" x14ac:dyDescent="0.25">
      <c r="B67" s="7" t="str">
        <f>[1]!SNLLabel($D67,$C67)</f>
        <v>Net Total Assets ($000)</v>
      </c>
      <c r="C67" s="7">
        <v>113963</v>
      </c>
      <c r="D67" s="7">
        <v>287</v>
      </c>
      <c r="E67" s="8">
        <f ca="1">IF(ISBLANK($C67),,IF([1]!SNLData($D67,$B$1,$C67,E$4)="NA",,[1]!SNLData($D67,$B$1,$C67,E$4)))</f>
        <v>35397556.574000001</v>
      </c>
      <c r="F67" s="8">
        <f ca="1">IF(ISBLANK($C67),,IF([1]!SNLData($D67,$B$1,$C67,F$4)="NA",,[1]!SNLData($D67,$B$1,$C67,F$4)))</f>
        <v>36938375.134999998</v>
      </c>
      <c r="G67" s="24">
        <f t="shared" ca="1" si="12"/>
        <v>4.3528952564249934E-2</v>
      </c>
      <c r="H67" s="8">
        <f ca="1">IF(ISBLANK($C67),,IF([1]!SNLData($D67,$B$1,$C67,H$4)="NA",,[1]!SNLData($D67,$B$1,$C67,H$4)))</f>
        <v>37664325.071000002</v>
      </c>
      <c r="I67" s="24">
        <f t="shared" ca="1" si="13"/>
        <v>1.9653001339307696E-2</v>
      </c>
      <c r="J67" s="8">
        <f ca="1">IF(ISBLANK($C67),,IF([1]!SNLData($D67,$B$1,$C67,J$4)="NA",,[1]!SNLData($D67,$B$1,$C67,J$4)))</f>
        <v>37484804.365000002</v>
      </c>
      <c r="K67" s="24">
        <f t="shared" ca="1" si="13"/>
        <v>-4.7663327475426787E-3</v>
      </c>
      <c r="L67" s="8">
        <f ca="1">IF(ISBLANK($C67),,IF([1]!SNLData($D67,$B$1,$C67,L$4)="NA",,[1]!SNLData($D67,$B$1,$C67,L$4)))</f>
        <v>35953315.370999999</v>
      </c>
      <c r="M67" s="24">
        <f t="shared" ca="1" si="13"/>
        <v>-4.0856262155924972E-2</v>
      </c>
      <c r="N67" s="8">
        <f ca="1">IF(ISBLANK($C67),,IF([1]!SNLData($D67,$B$1,$C67,N$4)="NA",,[1]!SNLData($D67,$B$1,$C67,N$4)))</f>
        <v>35406660.851999998</v>
      </c>
      <c r="O67" s="24">
        <f t="shared" ca="1" si="13"/>
        <v>-1.5204564957615352E-2</v>
      </c>
      <c r="P67" s="24">
        <f t="shared" ca="1" si="14"/>
        <v>-4.1466747722442854E-2</v>
      </c>
      <c r="Q67" s="24">
        <f t="shared" ca="1" si="15"/>
        <v>-8.4344339015054448E-3</v>
      </c>
    </row>
    <row r="68" spans="2:17" x14ac:dyDescent="0.25">
      <c r="E68" s="26"/>
      <c r="F68" s="2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P283"/>
  <sheetViews>
    <sheetView workbookViewId="0">
      <selection sqref="A1:XFD2"/>
    </sheetView>
  </sheetViews>
  <sheetFormatPr defaultRowHeight="15" x14ac:dyDescent="0.25"/>
  <cols>
    <col min="1" max="1" width="27.75" customWidth="1"/>
    <col min="2" max="2" width="9.875" bestFit="1" customWidth="1"/>
    <col min="3" max="3" width="16.75" customWidth="1"/>
    <col min="188" max="188" width="10.25" customWidth="1"/>
    <col min="189" max="189" width="12.625" customWidth="1"/>
  </cols>
  <sheetData>
    <row r="1" spans="1:276" x14ac:dyDescent="0.25">
      <c r="A1" t="str">
        <f ca="1">Financials!$N$4&amp;" - "&amp;SUBSTITUTE(SUBSTITUTE(SUBSTITUTE(SUBSTITUTE(SUBSTITUTE(Financials!B49," (%)","")," ($000)",""),"Adm ",""),"Short Term","ST"),"Admitted ","")</f>
        <v>2015Y - Net Derivatives</v>
      </c>
      <c r="B1" t="str">
        <f ca="1">Financials!$N$4&amp;" - "&amp;SUBSTITUTE(SUBSTITUTE(SUBSTITUTE(SUBSTITUTE(SUBSTITUTE(Financials!B50," (%)","")," ($000)",""),"Adm ",""),"Short Term","ST"),"Admitted ","")</f>
        <v>2015Y - Net Bonds</v>
      </c>
      <c r="C1" t="str">
        <f ca="1">Financials!$N$4&amp;" - "&amp;"US Federal Government Bonds"</f>
        <v>2015Y - US Federal Government Bonds</v>
      </c>
      <c r="D1" t="str">
        <f ca="1">Financials!$N$4&amp;" - "&amp;"Foreign Government Bonds"</f>
        <v>2015Y - Foreign Government Bonds</v>
      </c>
      <c r="E1" t="str">
        <f ca="1">Financials!$N$4&amp;" - "&amp;"Government Agency Bonds"</f>
        <v>2015Y - Government Agency Bonds</v>
      </c>
      <c r="F1" t="str">
        <f ca="1">Financials!$N$4&amp;" - "&amp;"Corporate Bonds"</f>
        <v>2015Y - Corporate Bonds</v>
      </c>
      <c r="G1" t="str">
        <f ca="1">Financials!$N$4&amp;" - "&amp;"Corporate IG Bonds"</f>
        <v>2015Y - Corporate IG Bonds</v>
      </c>
      <c r="H1" t="str">
        <f ca="1">Financials!$N$4&amp;" - "&amp;"Corporate HY Bonds"</f>
        <v>2015Y - Corporate HY Bonds</v>
      </c>
      <c r="I1" t="str">
        <f ca="1">Financials!$N$4&amp;" - "&amp;"Municipal Bonds"</f>
        <v>2015Y - Municipal Bonds</v>
      </c>
      <c r="J1" t="str">
        <f ca="1">Financials!$N$4&amp;" - "&amp;"Municipal IG Bonds"</f>
        <v>2015Y - Municipal IG Bonds</v>
      </c>
      <c r="K1" t="str">
        <f ca="1">Financials!$N$4&amp;" - "&amp;"Municipal HY Bonds"</f>
        <v>2015Y - Municipal HY Bonds</v>
      </c>
      <c r="L1" t="str">
        <f ca="1">Financials!$N$4&amp;" - "&amp;"Credit Tenant Bonds"</f>
        <v>2015Y - Credit Tenant Bonds</v>
      </c>
      <c r="M1" t="str">
        <f ca="1">Financials!$N$4&amp;" - "&amp;"Hybrid Securities"</f>
        <v>2015Y - Hybrid Securities</v>
      </c>
      <c r="N1" t="str">
        <f ca="1">Financials!$N$4&amp;" - "&amp;"Affiliated Bonds"</f>
        <v>2015Y - Affiliated Bonds</v>
      </c>
      <c r="O1" t="str">
        <f ca="1">Financials!$N$4&amp;" - "&amp;"Total IG Bonds"</f>
        <v>2015Y - Total IG Bonds</v>
      </c>
      <c r="P1" t="str">
        <f ca="1">Financials!$N$4&amp;" - "&amp;"Total HY Bonds"</f>
        <v>2015Y - Total HY Bonds</v>
      </c>
      <c r="Q1" t="str">
        <f ca="1">Financials!$N$4&amp;" - "&amp;SUBSTITUTE(SUBSTITUTE(SUBSTITUTE(SUBSTITUTE(SUBSTITUTE(Financials!B51," (%)","")," ($000)",""),"Adm ",""),"Short Term","ST"),"Admitted ","")</f>
        <v>2015Y - Net Stock</v>
      </c>
      <c r="R1" t="str">
        <f ca="1">Financials!$N$4&amp;" - "&amp;SUBSTITUTE(SUBSTITUTE(SUBSTITUTE(SUBSTITUTE(SUBSTITUTE(Financials!B52," (%)","")," ($000)",""),"Adm ",""),"Short Term","ST"),"Admitted ","")</f>
        <v>2015Y - Net Preferred Stock</v>
      </c>
      <c r="S1" t="str">
        <f ca="1">Financials!$N$4&amp;" - "&amp;SUBSTITUTE(SUBSTITUTE(SUBSTITUTE(SUBSTITUTE(SUBSTITUTE(Financials!B53," (%)","")," ($000)",""),"Adm ",""),"Short Term","ST"),"Admitted ","")</f>
        <v>2015Y - Net Common Stock</v>
      </c>
      <c r="T1" t="str">
        <f ca="1">Financials!$N$4&amp;" - "&amp;SUBSTITUTE(SUBSTITUTE(SUBSTITUTE(SUBSTITUTE(SUBSTITUTE(Financials!B54," (%)","")," ($000)",""),"Adm ",""),"Short Term","ST"),"Admitted ","")</f>
        <v>2015Y - Net Real Estate</v>
      </c>
      <c r="U1" t="str">
        <f ca="1">Financials!$N$4&amp;" - "&amp;SUBSTITUTE(SUBSTITUTE(SUBSTITUTE(SUBSTITUTE(SUBSTITUTE(SUBSTITUTE(Financials!B55," (%)","")," ($000)",""),"Adm ",""),"Short Term","ST"),"Admitted ",""),"Real Estate","RE")</f>
        <v>2015Y - Net First Lien RE Loans</v>
      </c>
      <c r="V1" t="str">
        <f ca="1">Financials!$N$4&amp;" - "&amp;SUBSTITUTE(SUBSTITUTE(SUBSTITUTE(SUBSTITUTE(SUBSTITUTE(SUBSTITUTE(SUBSTITUTE(Financials!B56," (%)","")," ($000)",""),"Adm ",""),"Short Term","ST"),"Admitted ",""),"First","1st"),"Real Estate","RE")</f>
        <v>2015Y - Net RE Loans Less 1st Liens</v>
      </c>
      <c r="W1" t="str">
        <f ca="1">Financials!$N$4&amp;" - "&amp;SUBSTITUTE(SUBSTITUTE(SUBSTITUTE(SUBSTITUTE(SUBSTITUTE(Financials!B57," (%)","")," ($000)",""),"Adm ",""),"Short Term","ST"),"Admitted ","")</f>
        <v>2015Y - Net Occupied Properties</v>
      </c>
      <c r="X1" t="str">
        <f ca="1">Financials!$N$4&amp;" - "&amp;SUBSTITUTE(SUBSTITUTE(SUBSTITUTE(SUBSTITUTE(SUBSTITUTE(Financials!B58," (%)","")," ($000)",""),"Adm ",""),"Short Term","ST"),"Admitted ","")</f>
        <v>2015Y - Net Income Generating Properties</v>
      </c>
      <c r="Y1" t="str">
        <f ca="1">Financials!$N$4&amp;" - "&amp;SUBSTITUTE(SUBSTITUTE(SUBSTITUTE(SUBSTITUTE(SUBSTITUTE(Financials!B59," (%)","")," ($000)",""),"Adm ",""),"Short Term","ST"),"Admitted ","")</f>
        <v>2015Y - Net Properties for Sale</v>
      </c>
      <c r="Z1" t="str">
        <f ca="1">Financials!$N$4&amp;" - "&amp;"Net Cash, Cash Equiv &amp; ST"</f>
        <v>2015Y - Net Cash, Cash Equiv &amp; ST</v>
      </c>
      <c r="AA1" t="str">
        <f ca="1">Financials!$N$4&amp;" - "&amp;SUBSTITUTE(SUBSTITUTE(SUBSTITUTE(SUBSTITUTE(SUBSTITUTE(Financials!B61," (%)","")," ($000)",""),"Adm ",""),"Short Term","ST"),"Admitted ","")</f>
        <v>2015Y - Net Other Investments</v>
      </c>
      <c r="AB1" t="str">
        <f ca="1">Financials!$N$4&amp;" - "&amp;SUBSTITUTE(SUBSTITUTE(SUBSTITUTE(SUBSTITUTE(SUBSTITUTE(Financials!B62," (%)","")," ($000)",""),"Adm ",""),"Short Term","ST"),"Admitted ","")</f>
        <v>2015Y - Net Cash &amp; Invested Assets</v>
      </c>
      <c r="AC1" t="str">
        <f ca="1">Financials!$O$4&amp;" - "&amp;SUBSTITUTE(SUBSTITUTE(SUBSTITUTE(SUBSTITUTE(SUBSTITUTE(Financials!B49," (%)","")," ($000)",""),"Adm ",""),"Short Term","ST"),"Admitted ","")</f>
        <v>2015Y
% Chg - Net Derivatives</v>
      </c>
      <c r="AD1" t="str">
        <f ca="1">Financials!$O$4&amp;" - "&amp;SUBSTITUTE(SUBSTITUTE(SUBSTITUTE(SUBSTITUTE(SUBSTITUTE(Financials!B50," (%)","")," ($000)",""),"Adm ",""),"Short Term","ST"),"Admitted ","")</f>
        <v>2015Y
% Chg - Net Bonds</v>
      </c>
      <c r="AE1" t="str">
        <f ca="1">Financials!$O$4&amp;" - "&amp;"US Federal Government Bonds"</f>
        <v>2015Y
% Chg - US Federal Government Bonds</v>
      </c>
      <c r="AF1" t="str">
        <f ca="1">Financials!$O$4&amp;" - "&amp;"Foreign Government Bonds"</f>
        <v>2015Y
% Chg - Foreign Government Bonds</v>
      </c>
      <c r="AG1" t="str">
        <f ca="1">Financials!$O$4&amp;" - "&amp;"Government Agency Bonds"</f>
        <v>2015Y
% Chg - Government Agency Bonds</v>
      </c>
      <c r="AH1" t="str">
        <f ca="1">Financials!$O$4&amp;" - "&amp;"Corporate Bonds"</f>
        <v>2015Y
% Chg - Corporate Bonds</v>
      </c>
      <c r="AI1" t="str">
        <f ca="1">Financials!$O$4&amp;" - "&amp;"Corporate IG Bonds"</f>
        <v>2015Y
% Chg - Corporate IG Bonds</v>
      </c>
      <c r="AJ1" t="str">
        <f ca="1">Financials!$O$4&amp;" - "&amp;"Corporate HY Bonds"</f>
        <v>2015Y
% Chg - Corporate HY Bonds</v>
      </c>
      <c r="AK1" t="str">
        <f ca="1">Financials!$O$4&amp;" - "&amp;"Municipal Bonds"</f>
        <v>2015Y
% Chg - Municipal Bonds</v>
      </c>
      <c r="AL1" t="str">
        <f ca="1">Financials!$O$4&amp;" - "&amp;"Municipal IG Bonds"</f>
        <v>2015Y
% Chg - Municipal IG Bonds</v>
      </c>
      <c r="AM1" t="str">
        <f ca="1">Financials!$O$4&amp;" - "&amp;"Municipal HY Bonds"</f>
        <v>2015Y
% Chg - Municipal HY Bonds</v>
      </c>
      <c r="AN1" t="str">
        <f ca="1">Financials!$O$4&amp;" - "&amp;"Credit Tenant Bonds"</f>
        <v>2015Y
% Chg - Credit Tenant Bonds</v>
      </c>
      <c r="AO1" t="str">
        <f ca="1">Financials!$O$4&amp;" - "&amp;"Hybrid Securities"</f>
        <v>2015Y
% Chg - Hybrid Securities</v>
      </c>
      <c r="AP1" t="str">
        <f ca="1">Financials!$O$4&amp;" - "&amp;"Affiliated Bonds"</f>
        <v>2015Y
% Chg - Affiliated Bonds</v>
      </c>
      <c r="AQ1" t="str">
        <f ca="1">Financials!$O$4&amp;" - "&amp;"Total IG Bonds"</f>
        <v>2015Y
% Chg - Total IG Bonds</v>
      </c>
      <c r="AR1" t="str">
        <f ca="1">Financials!$O$4&amp;" - "&amp;"Total HY Bonds"</f>
        <v>2015Y
% Chg - Total HY Bonds</v>
      </c>
      <c r="AS1" t="str">
        <f ca="1">Financials!$O$4&amp;" - "&amp;SUBSTITUTE(SUBSTITUTE(SUBSTITUTE(SUBSTITUTE(SUBSTITUTE(Financials!B51," (%)","")," ($000)",""),"Adm ",""),"Short Term","ST"),"Admitted ","")</f>
        <v>2015Y
% Chg - Net Stock</v>
      </c>
      <c r="AT1" t="str">
        <f ca="1">Financials!$O$4&amp;" - "&amp;SUBSTITUTE(SUBSTITUTE(SUBSTITUTE(SUBSTITUTE(SUBSTITUTE(Financials!B52," (%)","")," ($000)",""),"Adm ",""),"Short Term","ST"),"Admitted ","")</f>
        <v>2015Y
% Chg - Net Preferred Stock</v>
      </c>
      <c r="AU1" t="str">
        <f ca="1">Financials!$O$4&amp;" - "&amp;SUBSTITUTE(SUBSTITUTE(SUBSTITUTE(SUBSTITUTE(SUBSTITUTE(Financials!B53," (%)","")," ($000)",""),"Adm ",""),"Short Term","ST"),"Admitted ","")</f>
        <v>2015Y
% Chg - Net Common Stock</v>
      </c>
      <c r="AV1" t="str">
        <f ca="1">Financials!$O$4&amp;" - "&amp;SUBSTITUTE(SUBSTITUTE(SUBSTITUTE(SUBSTITUTE(SUBSTITUTE(Financials!B54," (%)","")," ($000)",""),"Adm ",""),"Short Term","ST"),"Admitted ","")</f>
        <v>2015Y
% Chg - Net Real Estate</v>
      </c>
      <c r="AW1" t="str">
        <f ca="1">Financials!$O$4&amp;" - "&amp;SUBSTITUTE(SUBSTITUTE(SUBSTITUTE(SUBSTITUTE(SUBSTITUTE(SUBSTITUTE(Financials!B55," (%)","")," ($000)",""),"Adm ",""),"Short Term","ST"),"Admitted ",""),"Real Estate","RE")</f>
        <v>2015Y
% Chg - Net First Lien RE Loans</v>
      </c>
      <c r="AX1" t="str">
        <f ca="1">Financials!$O$4&amp;" - "&amp;SUBSTITUTE(SUBSTITUTE(SUBSTITUTE(SUBSTITUTE(SUBSTITUTE(SUBSTITUTE(SUBSTITUTE(Financials!B56," (%)","")," ($000)",""),"Adm ",""),"Short Term","ST"),"Admitted ",""),"First","1st"),"Real Estate","RE")</f>
        <v>2015Y
% Chg - Net RE Loans Less 1st Liens</v>
      </c>
      <c r="AY1" t="str">
        <f ca="1">Financials!$O$4&amp;" - "&amp;SUBSTITUTE(SUBSTITUTE(SUBSTITUTE(SUBSTITUTE(SUBSTITUTE(Financials!B57," (%)","")," ($000)",""),"Adm ",""),"Short Term","ST"),"Admitted ","")</f>
        <v>2015Y
% Chg - Net Occupied Properties</v>
      </c>
      <c r="AZ1" t="str">
        <f ca="1">Financials!$O$4&amp;" - "&amp;SUBSTITUTE(SUBSTITUTE(SUBSTITUTE(SUBSTITUTE(SUBSTITUTE(Financials!B58," (%)","")," ($000)",""),"Adm ",""),"Short Term","ST"),"Admitted ","")</f>
        <v>2015Y
% Chg - Net Income Generating Properties</v>
      </c>
      <c r="BA1" t="str">
        <f ca="1">Financials!$O$4&amp;" - "&amp;SUBSTITUTE(SUBSTITUTE(SUBSTITUTE(SUBSTITUTE(SUBSTITUTE(Financials!B59," (%)","")," ($000)",""),"Adm ",""),"Short Term","ST"),"Admitted ","")</f>
        <v>2015Y
% Chg - Net Properties for Sale</v>
      </c>
      <c r="BB1" t="str">
        <f ca="1">Financials!$O$4&amp;" - "&amp;"Net Cash, Cash Equiv &amp; ST"</f>
        <v>2015Y
% Chg - Net Cash, Cash Equiv &amp; ST</v>
      </c>
      <c r="BC1" t="str">
        <f ca="1">Financials!$O$4&amp;" - "&amp;SUBSTITUTE(SUBSTITUTE(SUBSTITUTE(SUBSTITUTE(SUBSTITUTE(Financials!B61," (%)","")," ($000)",""),"Adm ",""),"Short Term","ST"),"Admitted ","")</f>
        <v>2015Y
% Chg - Net Other Investments</v>
      </c>
      <c r="BD1" t="str">
        <f ca="1">Financials!$O$4&amp;" - "&amp;SUBSTITUTE(SUBSTITUTE(SUBSTITUTE(SUBSTITUTE(SUBSTITUTE(Financials!B62," (%)","")," ($000)",""),"Adm ",""),"Short Term","ST"),"Admitted ","")</f>
        <v>2015Y
% Chg - Net Cash &amp; Invested Assets</v>
      </c>
      <c r="BE1" t="str">
        <f ca="1">Financials!$P$4&amp;" - "&amp;SUBSTITUTE(SUBSTITUTE(SUBSTITUTE(SUBSTITUTE(SUBSTITUTE(Financials!B49," (%)","")," ($000)",""),"Adm ",""),"Short Term","ST"),"Admitted ","")</f>
        <v>5 Yr % Chg - Net Derivatives</v>
      </c>
      <c r="BF1" t="str">
        <f ca="1">Financials!$P$4&amp;" - "&amp;SUBSTITUTE(SUBSTITUTE(SUBSTITUTE(SUBSTITUTE(SUBSTITUTE(Financials!B50," (%)","")," ($000)",""),"Adm ",""),"Short Term","ST"),"Admitted ","")</f>
        <v>5 Yr % Chg - Net Bonds</v>
      </c>
      <c r="BG1" t="str">
        <f ca="1">Financials!$P$4&amp;" - "&amp;"US Federal Government Bonds"</f>
        <v>5 Yr % Chg - US Federal Government Bonds</v>
      </c>
      <c r="BH1" t="str">
        <f ca="1">Financials!$P$4&amp;" - "&amp;"Foreign Government Bonds"</f>
        <v>5 Yr % Chg - Foreign Government Bonds</v>
      </c>
      <c r="BI1" t="str">
        <f ca="1">Financials!$P$4&amp;" - "&amp;"Government Agency Bonds"</f>
        <v>5 Yr % Chg - Government Agency Bonds</v>
      </c>
      <c r="BJ1" t="str">
        <f ca="1">Financials!$P$4&amp;" - "&amp;"Corporate Bonds"</f>
        <v>5 Yr % Chg - Corporate Bonds</v>
      </c>
      <c r="BK1" t="str">
        <f ca="1">Financials!$P$4&amp;" - "&amp;"Corporate IG Bonds"</f>
        <v>5 Yr % Chg - Corporate IG Bonds</v>
      </c>
      <c r="BL1" t="str">
        <f ca="1">Financials!$P$4&amp;" - "&amp;"Corporate HY Bonds"</f>
        <v>5 Yr % Chg - Corporate HY Bonds</v>
      </c>
      <c r="BM1" t="str">
        <f ca="1">Financials!$P$4&amp;" - "&amp;"Municipal Bonds"</f>
        <v>5 Yr % Chg - Municipal Bonds</v>
      </c>
      <c r="BN1" t="str">
        <f ca="1">Financials!$P$4&amp;" - "&amp;"Municipal IG Bonds"</f>
        <v>5 Yr % Chg - Municipal IG Bonds</v>
      </c>
      <c r="BO1" t="str">
        <f ca="1">Financials!$P$4&amp;" - "&amp;"Municipal HY Bonds"</f>
        <v>5 Yr % Chg - Municipal HY Bonds</v>
      </c>
      <c r="BP1" t="str">
        <f ca="1">Financials!$P$4&amp;" - "&amp;"Credit Tenant Bonds"</f>
        <v>5 Yr % Chg - Credit Tenant Bonds</v>
      </c>
      <c r="BQ1" t="str">
        <f ca="1">Financials!$P$4&amp;" - "&amp;"Hybrid Securities"</f>
        <v>5 Yr % Chg - Hybrid Securities</v>
      </c>
      <c r="BR1" t="str">
        <f ca="1">Financials!$P$4&amp;" - "&amp;"Affiliated Bonds"</f>
        <v>5 Yr % Chg - Affiliated Bonds</v>
      </c>
      <c r="BS1" t="str">
        <f ca="1">Financials!$P$4&amp;" - "&amp;"Total IG Bonds"</f>
        <v>5 Yr % Chg - Total IG Bonds</v>
      </c>
      <c r="BT1" t="str">
        <f ca="1">Financials!$P$4&amp;" - "&amp;"Total HY Bonds"</f>
        <v>5 Yr % Chg - Total HY Bonds</v>
      </c>
      <c r="BU1" t="str">
        <f ca="1">Financials!$P$4&amp;" - "&amp;SUBSTITUTE(SUBSTITUTE(SUBSTITUTE(SUBSTITUTE(SUBSTITUTE(Financials!B51," (%)","")," ($000)",""),"Adm ",""),"Short Term","ST"),"Admitted ","")</f>
        <v>5 Yr % Chg - Net Stock</v>
      </c>
      <c r="BV1" t="str">
        <f ca="1">Financials!$P$4&amp;" - "&amp;SUBSTITUTE(SUBSTITUTE(SUBSTITUTE(SUBSTITUTE(SUBSTITUTE(Financials!B52," (%)","")," ($000)",""),"Adm ",""),"Short Term","ST"),"Admitted ","")</f>
        <v>5 Yr % Chg - Net Preferred Stock</v>
      </c>
      <c r="BW1" t="str">
        <f ca="1">Financials!$P$4&amp;" - "&amp;SUBSTITUTE(SUBSTITUTE(SUBSTITUTE(SUBSTITUTE(SUBSTITUTE(Financials!B53," (%)","")," ($000)",""),"Adm ",""),"Short Term","ST"),"Admitted ","")</f>
        <v>5 Yr % Chg - Net Common Stock</v>
      </c>
      <c r="BX1" t="str">
        <f ca="1">Financials!$P$4&amp;" - "&amp;SUBSTITUTE(SUBSTITUTE(SUBSTITUTE(SUBSTITUTE(SUBSTITUTE(Financials!B54," (%)","")," ($000)",""),"Adm ",""),"Short Term","ST"),"Admitted ","")</f>
        <v>5 Yr % Chg - Net Real Estate</v>
      </c>
      <c r="BY1" t="str">
        <f ca="1">Financials!$P$4&amp;" - "&amp;SUBSTITUTE(SUBSTITUTE(SUBSTITUTE(SUBSTITUTE(SUBSTITUTE(SUBSTITUTE(Financials!B55," (%)","")," ($000)",""),"Adm ",""),"Short Term","ST"),"Admitted ",""),"Real Estate","RE")</f>
        <v>5 Yr % Chg - Net First Lien RE Loans</v>
      </c>
      <c r="BZ1" t="str">
        <f ca="1">Financials!$P$4&amp;" - "&amp;SUBSTITUTE(SUBSTITUTE(SUBSTITUTE(SUBSTITUTE(SUBSTITUTE(SUBSTITUTE(SUBSTITUTE(Financials!B56," (%)","")," ($000)",""),"Adm ",""),"Short Term","ST"),"Admitted ",""),"First","1st"),"Real Estate","RE")</f>
        <v>5 Yr % Chg - Net RE Loans Less 1st Liens</v>
      </c>
      <c r="CA1" t="str">
        <f ca="1">Financials!$P$4&amp;" - "&amp;SUBSTITUTE(SUBSTITUTE(SUBSTITUTE(SUBSTITUTE(SUBSTITUTE(Financials!B57," (%)","")," ($000)",""),"Adm ",""),"Short Term","ST"),"Admitted ","")</f>
        <v>5 Yr % Chg - Net Occupied Properties</v>
      </c>
      <c r="CB1" t="str">
        <f ca="1">Financials!$P$4&amp;" - "&amp;SUBSTITUTE(SUBSTITUTE(SUBSTITUTE(SUBSTITUTE(SUBSTITUTE(Financials!B58," (%)","")," ($000)",""),"Adm ",""),"Short Term","ST"),"Admitted ","")</f>
        <v>5 Yr % Chg - Net Income Generating Properties</v>
      </c>
      <c r="CC1" t="str">
        <f ca="1">Financials!$P$4&amp;" - "&amp;SUBSTITUTE(SUBSTITUTE(SUBSTITUTE(SUBSTITUTE(SUBSTITUTE(Financials!B59," (%)","")," ($000)",""),"Adm ",""),"Short Term","ST"),"Admitted ","")</f>
        <v>5 Yr % Chg - Net Properties for Sale</v>
      </c>
      <c r="CD1" t="str">
        <f ca="1">Financials!$P$4&amp;" - "&amp;"Net Cash, Cash Equiv &amp; ST"</f>
        <v>5 Yr % Chg - Net Cash, Cash Equiv &amp; ST</v>
      </c>
      <c r="CE1" t="str">
        <f ca="1">Financials!$P$4&amp;" - "&amp;SUBSTITUTE(SUBSTITUTE(SUBSTITUTE(SUBSTITUTE(SUBSTITUTE(Financials!B61," (%)","")," ($000)",""),"Adm ",""),"Short Term","ST"),"Admitted ","")</f>
        <v>5 Yr % Chg - Net Other Investments</v>
      </c>
      <c r="CF1" t="str">
        <f ca="1">Financials!$P$4&amp;" - "&amp;SUBSTITUTE(SUBSTITUTE(SUBSTITUTE(SUBSTITUTE(SUBSTITUTE(Financials!B62," (%)","")," ($000)",""),"Adm ",""),"Short Term","ST"),"Admitted ","")</f>
        <v>5 Yr % Chg - Net Cash &amp; Invested Assets</v>
      </c>
      <c r="CG1" t="str">
        <f ca="1">Financials!$N$4&amp;" - "&amp;SchBA!C29</f>
        <v>2015Y - Total Unaffiliated</v>
      </c>
      <c r="CH1" t="str">
        <f ca="1">Financials!$N$4&amp;" - "&amp;SUBSTITUTE(SchBA!C5,"Unaff: ","")</f>
        <v>2015Y - Oil &amp; Gas Production</v>
      </c>
      <c r="CI1" t="str">
        <f ca="1">Financials!$N$4&amp;" - "&amp;SUBSTITUTE(SchBA!C6,"Unaff: ","")</f>
        <v>2015Y - Transport Equip</v>
      </c>
      <c r="CJ1" t="str">
        <f ca="1">Financials!$N$4&amp;" - "&amp;SUBSTITUTE(SchBA!C7,"Unaff: ","")</f>
        <v>2015Y - Mineral Rights</v>
      </c>
      <c r="CK1" t="str">
        <f ca="1">Financials!$N$4&amp;" - "&amp;SUBSTITUTE(SchBA!C8,"Unaff: ","")</f>
        <v>2015Y - Fix/Var: Bonds</v>
      </c>
      <c r="CL1" t="str">
        <f ca="1">Financials!$N$4&amp;" - "&amp;SUBSTITUTE(SchBA!C9,"Unaff: ","")</f>
        <v>2015Y - Fix/Var: Mrtg Fund</v>
      </c>
      <c r="CM1" t="str">
        <f ca="1">Financials!$N$4&amp;" - "&amp;SUBSTITUTE(SchBA!C10,"Unaff: ","")</f>
        <v>2015Y - Fix/Var: Oth Fix Inc</v>
      </c>
      <c r="CN1" t="str">
        <f ca="1">Financials!$N$4&amp;" - "&amp;SUBSTITUTE(SchBA!C11,"Unaff: ","")</f>
        <v>2015Y - JV, LLCs: Fix Income</v>
      </c>
      <c r="CO1" t="str">
        <f ca="1">Financials!$N$4&amp;" - "&amp;SUBSTITUTE(SchBA!C12,"Unaff: ","")</f>
        <v>2015Y - JV, LLCs: Common Stock</v>
      </c>
      <c r="CP1" t="str">
        <f ca="1">Financials!$N$4&amp;" - "&amp;SUBSTITUTE(SchBA!C13,"Unaff: ","")</f>
        <v>2015Y - JV, LLCs: Real Estate</v>
      </c>
      <c r="CQ1" t="str">
        <f ca="1">Financials!$N$4&amp;" - "&amp;SUBSTITUTE(SchBA!C14,"Unaff: ","")</f>
        <v>2015Y - JV LLCs: Mrtg Loans</v>
      </c>
      <c r="CR1" t="str">
        <f ca="1">Financials!$N$4&amp;" - "&amp;SUBSTITUTE(SchBA!C15,"Unaff: ","")</f>
        <v>2015Y - JV, LLCs: Other</v>
      </c>
      <c r="CS1" t="str">
        <f ca="1">Financials!$N$4&amp;" - "&amp;SUBSTITUTE(SchBA!C16,"Unaff: ","")</f>
        <v>2015Y - Surplus Debentures</v>
      </c>
      <c r="CT1" t="str">
        <f ca="1">Financials!$N$4&amp;" - "&amp;SUBSTITUTE(SchBA!C17,"Unaff: ","")</f>
        <v>2015Y - Collateral Loans</v>
      </c>
      <c r="CU1" t="str">
        <f ca="1">Financials!$N$4&amp;" - "&amp;SUBSTITUTE(SchBA!C18,"Unaff: ","")</f>
        <v>2015Y - Noncollateral Loans</v>
      </c>
      <c r="CV1" t="str">
        <f ca="1">Financials!$N$4&amp;" - "&amp;SUBSTITUTE(SchBA!C19,"Unaff: ","")</f>
        <v>2015Y - Capital Notes</v>
      </c>
      <c r="CW1" t="str">
        <f ca="1">Financials!$N$4&amp;" - "&amp;SUBSTITUTE(SchBA!C20,"Unaff: ","")</f>
        <v>2015Y - Guaranteed Federal LIHTC</v>
      </c>
      <c r="CX1" t="str">
        <f ca="1">Financials!$N$4&amp;" - "&amp;SUBSTITUTE(SchBA!C21,"Unaff: ","")</f>
        <v>2015Y - Non-Guaranteed Fed LIHTC</v>
      </c>
      <c r="CY1" t="str">
        <f ca="1">Financials!$N$4&amp;" - "&amp;SUBSTITUTE(SchBA!C22,"Unaff: ","")</f>
        <v>2015Y - Guaranteed State LIHTC</v>
      </c>
      <c r="CZ1" t="str">
        <f ca="1">Financials!$N$4&amp;" - "&amp;SUBSTITUTE(SchBA!C23,"Unaff: ","")</f>
        <v>2015Y - Non-guaranteed State LIHTC</v>
      </c>
      <c r="DA1" t="str">
        <f ca="1">Financials!$N$4&amp;" - "&amp;SUBSTITUTE(SchBA!C24,"Unaff: ","")</f>
        <v>2015Y - State LIHTC</v>
      </c>
      <c r="DB1" t="str">
        <f ca="1">Financials!$N$4&amp;" - "&amp;SUBSTITUTE(SchBA!C25,"Unaff: ","")</f>
        <v>2015Y - Other LIHTC</v>
      </c>
      <c r="DC1" t="str">
        <f ca="1">Financials!$N$4&amp;" - "&amp;SUBSTITUTE(SUBSTITUTE(SchBA!C26,"Unaff: ",""),"Finance","Fin")</f>
        <v>2015Y - Working Capital Fin Investment</v>
      </c>
      <c r="DD1" t="str">
        <f ca="1">Financials!$N$4&amp;" - "&amp;SUBSTITUTE(SchBA!C27,"Unaff: ","")</f>
        <v>2015Y - Other Assets</v>
      </c>
      <c r="DE1" t="str">
        <f ca="1">Financials!$N$4&amp;" - "&amp;SUBSTITUTE(SchBA!C28,"Unaff: ","")</f>
        <v>2015Y - Non-Conforming LT Assets</v>
      </c>
      <c r="DF1" t="str">
        <f ca="1">Financials!$N$4&amp;" - "&amp;SchBA!Q29</f>
        <v>2015Y - Total Affiliated</v>
      </c>
      <c r="DG1" t="str">
        <f ca="1">Financials!$N$4&amp;" - "&amp;"Schedule BA Total"</f>
        <v>2015Y - Schedule BA Total</v>
      </c>
      <c r="DH1" t="str">
        <f ca="1">Financials!$O$4&amp;" - "&amp;SchBA!C29</f>
        <v>2015Y
% Chg - Total Unaffiliated</v>
      </c>
      <c r="DI1" t="str">
        <f ca="1">Financials!$O$4&amp;" - "&amp;SUBSTITUTE(SchBA!C5,"Unaff: ","")</f>
        <v>2015Y
% Chg - Oil &amp; Gas Production</v>
      </c>
      <c r="DJ1" t="str">
        <f ca="1">Financials!$O$4&amp;" - "&amp;SUBSTITUTE(SchBA!C6,"Unaff: ","")</f>
        <v>2015Y
% Chg - Transport Equip</v>
      </c>
      <c r="DK1" t="str">
        <f ca="1">Financials!$O$4&amp;" - "&amp;SUBSTITUTE(SchBA!C7,"Unaff: ","")</f>
        <v>2015Y
% Chg - Mineral Rights</v>
      </c>
      <c r="DL1" t="str">
        <f ca="1">Financials!$O$4&amp;" - "&amp;SUBSTITUTE(SchBA!C8,"Unaff: ","")</f>
        <v>2015Y
% Chg - Fix/Var: Bonds</v>
      </c>
      <c r="DM1" t="str">
        <f ca="1">Financials!$O$4&amp;" - "&amp;SUBSTITUTE(SchBA!C9,"Unaff: ","")</f>
        <v>2015Y
% Chg - Fix/Var: Mrtg Fund</v>
      </c>
      <c r="DN1" t="str">
        <f ca="1">Financials!$O$4&amp;" - "&amp;SUBSTITUTE(SchBA!C10,"Unaff: ","")</f>
        <v>2015Y
% Chg - Fix/Var: Oth Fix Inc</v>
      </c>
      <c r="DO1" t="str">
        <f ca="1">Financials!$O$4&amp;" - "&amp;SUBSTITUTE(SchBA!C11,"Unaff: ","")</f>
        <v>2015Y
% Chg - JV, LLCs: Fix Income</v>
      </c>
      <c r="DP1" t="str">
        <f ca="1">Financials!$O$4&amp;" - "&amp;SUBSTITUTE(SchBA!C12,"Unaff: ","")</f>
        <v>2015Y
% Chg - JV, LLCs: Common Stock</v>
      </c>
      <c r="DQ1" t="str">
        <f ca="1">Financials!$O$4&amp;" - "&amp;SUBSTITUTE(SchBA!C13,"Unaff: ","")</f>
        <v>2015Y
% Chg - JV, LLCs: Real Estate</v>
      </c>
      <c r="DR1" t="str">
        <f ca="1">Financials!$O$4&amp;" - "&amp;SUBSTITUTE(SchBA!C14,"Unaff: ","")</f>
        <v>2015Y
% Chg - JV LLCs: Mrtg Loans</v>
      </c>
      <c r="DS1" t="str">
        <f ca="1">Financials!$O$4&amp;" - "&amp;SUBSTITUTE(SchBA!C15,"Unaff: ","")</f>
        <v>2015Y
% Chg - JV, LLCs: Other</v>
      </c>
      <c r="DT1" t="str">
        <f ca="1">Financials!$O$4&amp;" - "&amp;SUBSTITUTE(SchBA!C16,"Unaff: ","")</f>
        <v>2015Y
% Chg - Surplus Debentures</v>
      </c>
      <c r="DU1" t="str">
        <f ca="1">Financials!$O$4&amp;" - "&amp;SUBSTITUTE(SchBA!C17,"Unaff: ","")</f>
        <v>2015Y
% Chg - Collateral Loans</v>
      </c>
      <c r="DV1" t="str">
        <f ca="1">Financials!$O$4&amp;" - "&amp;SUBSTITUTE(SchBA!C18,"Unaff: ","")</f>
        <v>2015Y
% Chg - Noncollateral Loans</v>
      </c>
      <c r="DW1" t="str">
        <f ca="1">Financials!$O$4&amp;" - "&amp;SUBSTITUTE(SchBA!C19,"Unaff: ","")</f>
        <v>2015Y
% Chg - Capital Notes</v>
      </c>
      <c r="DX1" t="str">
        <f ca="1">Financials!$O$4&amp;" - "&amp;SUBSTITUTE(SchBA!C20,"Unaff: ","")</f>
        <v>2015Y
% Chg - Guaranteed Federal LIHTC</v>
      </c>
      <c r="DY1" t="str">
        <f ca="1">Financials!$O$4&amp;" - "&amp;SUBSTITUTE(SchBA!C21,"Unaff: ","")</f>
        <v>2015Y
% Chg - Non-Guaranteed Fed LIHTC</v>
      </c>
      <c r="DZ1" t="str">
        <f ca="1">Financials!$O$4&amp;" - "&amp;SUBSTITUTE(SchBA!C22,"Unaff: ","")</f>
        <v>2015Y
% Chg - Guaranteed State LIHTC</v>
      </c>
      <c r="EA1" t="str">
        <f ca="1">Financials!$O$4&amp;" - "&amp;SUBSTITUTE(SchBA!C23,"Unaff: ","")</f>
        <v>2015Y
% Chg - Non-guaranteed State LIHTC</v>
      </c>
      <c r="EB1" t="str">
        <f ca="1">Financials!$O$4&amp;" - "&amp;SUBSTITUTE(SchBA!C24,"Unaff: ","")</f>
        <v>2015Y
% Chg - State LIHTC</v>
      </c>
      <c r="EC1" t="str">
        <f ca="1">Financials!$O$4&amp;" - "&amp;SUBSTITUTE(SchBA!C25,"Unaff: ","")</f>
        <v>2015Y
% Chg - Other LIHTC</v>
      </c>
      <c r="ED1" t="str">
        <f ca="1">Financials!$O$4&amp;" - "&amp;SUBSTITUTE(SUBSTITUTE(SchBA!C26,"Unaff: ",""),"Finance","Fin")</f>
        <v>2015Y
% Chg - Working Capital Fin Investment</v>
      </c>
      <c r="EE1" t="str">
        <f ca="1">Financials!$O$4&amp;" - "&amp;SUBSTITUTE(SchBA!C27,"Unaff: ","")</f>
        <v>2015Y
% Chg - Other Assets</v>
      </c>
      <c r="EF1" t="str">
        <f ca="1">Financials!$O$4&amp;" - "&amp;SUBSTITUTE(SchBA!C28,"Unaff: ","")</f>
        <v>2015Y
% Chg - Non-Conforming LT Assets</v>
      </c>
      <c r="EG1" t="str">
        <f ca="1">Financials!$O$4&amp;" - "&amp;SchBA!Q29</f>
        <v>2015Y
% Chg - Total Affiliated</v>
      </c>
      <c r="EH1" t="str">
        <f ca="1">Financials!$O$4&amp;" - "&amp;"Schedule BA Total"</f>
        <v>2015Y
% Chg - Schedule BA Total</v>
      </c>
      <c r="EI1" t="str">
        <f ca="1">Financials!$P$4&amp;" - "&amp;SchBA!C29</f>
        <v>5 Yr % Chg - Total Unaffiliated</v>
      </c>
      <c r="EJ1" t="str">
        <f ca="1">Financials!$P$4&amp;" - "&amp;SUBSTITUTE(SchBA!C5,"Unaff: ","")</f>
        <v>5 Yr % Chg - Oil &amp; Gas Production</v>
      </c>
      <c r="EK1" t="str">
        <f ca="1">Financials!$P$4&amp;" - "&amp;SUBSTITUTE(SchBA!C6,"Unaff: ","")</f>
        <v>5 Yr % Chg - Transport Equip</v>
      </c>
      <c r="EL1" t="str">
        <f ca="1">Financials!$P$4&amp;" - "&amp;SUBSTITUTE(SchBA!C7,"Unaff: ","")</f>
        <v>5 Yr % Chg - Mineral Rights</v>
      </c>
      <c r="EM1" t="str">
        <f ca="1">Financials!$P$4&amp;" - "&amp;SUBSTITUTE(SchBA!C8,"Unaff: ","")</f>
        <v>5 Yr % Chg - Fix/Var: Bonds</v>
      </c>
      <c r="EN1" t="str">
        <f ca="1">Financials!$P$4&amp;" - "&amp;SUBSTITUTE(SchBA!C9,"Unaff: ","")</f>
        <v>5 Yr % Chg - Fix/Var: Mrtg Fund</v>
      </c>
      <c r="EO1" t="str">
        <f ca="1">Financials!$P$4&amp;" - "&amp;SUBSTITUTE(SchBA!C10,"Unaff: ","")</f>
        <v>5 Yr % Chg - Fix/Var: Oth Fix Inc</v>
      </c>
      <c r="EP1" t="str">
        <f ca="1">Financials!$P$4&amp;" - "&amp;SUBSTITUTE(SchBA!C11,"Unaff: ","")</f>
        <v>5 Yr % Chg - JV, LLCs: Fix Income</v>
      </c>
      <c r="EQ1" t="str">
        <f ca="1">Financials!$P$4&amp;" - "&amp;SUBSTITUTE(SchBA!C12,"Unaff: ","")</f>
        <v>5 Yr % Chg - JV, LLCs: Common Stock</v>
      </c>
      <c r="ER1" t="str">
        <f ca="1">Financials!$P$4&amp;" - "&amp;SUBSTITUTE(SchBA!C13,"Unaff: ","")</f>
        <v>5 Yr % Chg - JV, LLCs: Real Estate</v>
      </c>
      <c r="ES1" t="str">
        <f ca="1">Financials!$P$4&amp;" - "&amp;SUBSTITUTE(SchBA!C14,"Unaff: ","")</f>
        <v>5 Yr % Chg - JV LLCs: Mrtg Loans</v>
      </c>
      <c r="ET1" t="str">
        <f ca="1">Financials!$P$4&amp;" - "&amp;SUBSTITUTE(SchBA!C15,"Unaff: ","")</f>
        <v>5 Yr % Chg - JV, LLCs: Other</v>
      </c>
      <c r="EU1" t="str">
        <f ca="1">Financials!$P$4&amp;" - "&amp;SUBSTITUTE(SchBA!C16,"Unaff: ","")</f>
        <v>5 Yr % Chg - Surplus Debentures</v>
      </c>
      <c r="EV1" t="str">
        <f ca="1">Financials!$P$4&amp;" - "&amp;SUBSTITUTE(SchBA!C17,"Unaff: ","")</f>
        <v>5 Yr % Chg - Collateral Loans</v>
      </c>
      <c r="EW1" t="str">
        <f ca="1">Financials!$P$4&amp;" - "&amp;SUBSTITUTE(SchBA!C18,"Unaff: ","")</f>
        <v>5 Yr % Chg - Noncollateral Loans</v>
      </c>
      <c r="EX1" t="str">
        <f ca="1">Financials!$P$4&amp;" - "&amp;SUBSTITUTE(SchBA!C19,"Unaff: ","")</f>
        <v>5 Yr % Chg - Capital Notes</v>
      </c>
      <c r="EY1" t="str">
        <f ca="1">Financials!$P$4&amp;" - "&amp;SUBSTITUTE(SchBA!C20,"Unaff: ","")</f>
        <v>5 Yr % Chg - Guaranteed Federal LIHTC</v>
      </c>
      <c r="EZ1" t="str">
        <f ca="1">Financials!$P$4&amp;" - "&amp;SUBSTITUTE(SchBA!C21,"Unaff: ","")</f>
        <v>5 Yr % Chg - Non-Guaranteed Fed LIHTC</v>
      </c>
      <c r="FA1" t="str">
        <f ca="1">Financials!$P$4&amp;" - "&amp;SUBSTITUTE(SchBA!C22,"Unaff: ","")</f>
        <v>5 Yr % Chg - Guaranteed State LIHTC</v>
      </c>
      <c r="FB1" t="str">
        <f ca="1">Financials!$P$4&amp;" - "&amp;SUBSTITUTE(SchBA!C23,"Unaff: ","")</f>
        <v>5 Yr % Chg - Non-guaranteed State LIHTC</v>
      </c>
      <c r="FC1" t="str">
        <f ca="1">Financials!$P$4&amp;" - "&amp;SUBSTITUTE(SchBA!C24,"Unaff: ","")</f>
        <v>5 Yr % Chg - State LIHTC</v>
      </c>
      <c r="FD1" t="str">
        <f ca="1">Financials!$P$4&amp;" - "&amp;SUBSTITUTE(SchBA!C25,"Unaff: ","")</f>
        <v>5 Yr % Chg - Other LIHTC</v>
      </c>
      <c r="FE1" t="str">
        <f ca="1">Financials!$P$4&amp;" - "&amp;SUBSTITUTE(SUBSTITUTE(SchBA!C26,"Unaff: ",""),"Finance","Fin")</f>
        <v>5 Yr % Chg - Working Capital Fin Investment</v>
      </c>
      <c r="FF1" t="str">
        <f ca="1">Financials!$P$4&amp;" - "&amp;SUBSTITUTE(SchBA!C27,"Unaff: ","")</f>
        <v>5 Yr % Chg - Other Assets</v>
      </c>
      <c r="FG1" t="str">
        <f ca="1">Financials!$P$4&amp;" - "&amp;SUBSTITUTE(SchBA!C28,"Unaff: ","")</f>
        <v>5 Yr % Chg - Non-Conforming LT Assets</v>
      </c>
      <c r="FH1" t="str">
        <f ca="1">Financials!$P$4&amp;" - "&amp;SchBA!Q29</f>
        <v>5 Yr % Chg - Total Affiliated</v>
      </c>
      <c r="FI1" t="str">
        <f ca="1">Financials!$P$4&amp;" - "&amp;"Schedule BA Total"</f>
        <v>5 Yr % Chg - Schedule BA Total</v>
      </c>
      <c r="FJ1" t="str">
        <f ca="1">Financials!$N$4&amp;" - "&amp;SUBSTITUTE(SUBSTITUTE(SUBSTITUTE(SUBSTITUTE(SUBSTITUTE(SUBSTITUTE(SUBSTITUTE(Financials!B33,"Short-Term","ST"),"(%)",""),"($000)",""),"/ ","/"),"Cash Flow: ",""),"Reinsurance","Re"),"Capital Gains Taxes","Cap Gain Tax")</f>
        <v xml:space="preserve">2015Y - Cash &amp; ST Investments/Liabilities </v>
      </c>
      <c r="FK1" t="str">
        <f ca="1">Financials!$N$4&amp;" - "&amp;SUBSTITUTE(SUBSTITUTE(SUBSTITUTE(SUBSTITUTE(SUBSTITUTE(SUBSTITUTE(SUBSTITUTE(Financials!B34,"Short-Term","ST"),"(%)",""),"($000)",""),"/ ","/"),"Cash Flow: ",""),"Reinsurance","Re"),"Capital Gains Taxes","Cap Gain Tax")</f>
        <v xml:space="preserve">2015Y - Liquid Investments/Liabilities </v>
      </c>
      <c r="FL1" t="str">
        <f ca="1">Financials!$N$4&amp;" - "&amp;SUBSTITUTE(SUBSTITUTE(SUBSTITUTE(SUBSTITUTE(SUBSTITUTE(SUBSTITUTE(SUBSTITUTE(Financials!B35,"Short-Term","ST"),"(%)",""),"($000)",""),"/ ","/"),"Cash Flow: ",""),"Reinsurance","Re"),"Capital Gains Taxes","Cap Gain Tax")</f>
        <v xml:space="preserve">2015Y - Cash &amp; ST Investments/C&amp;S </v>
      </c>
      <c r="FM1" t="str">
        <f ca="1">Financials!$N$4&amp;" - "&amp;SUBSTITUTE(SUBSTITUTE(SUBSTITUTE(SUBSTITUTE(SUBSTITUTE(SUBSTITUTE(SUBSTITUTE(Financials!B36,"Short-Term","ST"),"(%)",""),"($000)",""),"/ ","/"),"Cash Flow: ",""),"Reinsurance","Re"),"Capital Gains Taxes","Cap Gain Tax")</f>
        <v xml:space="preserve">2015Y - Liabilities/Invested Assets </v>
      </c>
      <c r="FN1" t="str">
        <f ca="1">Financials!$N$4&amp;" - "&amp;SUBSTITUTE(SUBSTITUTE(SUBSTITUTE(SUBSTITUTE(SUBSTITUTE(SUBSTITUTE(SUBSTITUTE(Financials!B37,"Short-Term","ST"),"(%)",""),"($000)",""),"/ ","/"),"Cash Flow: ",""),"Reinsurance","Re"),"Capital Gains Taxes","Cap Gain Tax")</f>
        <v xml:space="preserve">2015Y - Affiliated Investments/C&amp;S </v>
      </c>
      <c r="FO1" t="str">
        <f ca="1">Financials!$N$4&amp;" - "&amp;SUBSTITUTE(SUBSTITUTE(SUBSTITUTE(SUBSTITUTE(SUBSTITUTE(SUBSTITUTE(SUBSTITUTE(Financials!B38,"Short-Term","ST"),"(%)",""),"($000)",""),"/ ","/"),"Cash Flow: ",""),"Reinsurance","Re"),"Capital Gains Taxes","Cap Gain Tax")</f>
        <v xml:space="preserve">2015Y - Net Adm Cash &amp; Invested Assets </v>
      </c>
      <c r="FP1" t="str">
        <f ca="1">Financials!$N$4&amp;" - "&amp;SUBSTITUTE(SUBSTITUTE(SUBSTITUTE(SUBSTITUTE(SUBSTITUTE(SUBSTITUTE(SUBSTITUTE(Financials!B42,"Short-Term","ST"),"(%)",""),"($000)",""),"/ ","/"),"Cash Flow: ",""),"Reinsurance","Re"),"Capital Gains Taxes","Cap Gain Tax")</f>
        <v xml:space="preserve">2015Y - Premiums Collected Net of Re </v>
      </c>
      <c r="FQ1" t="str">
        <f ca="1">Financials!$N$4&amp;" - "&amp;SUBSTITUTE(SUBSTITUTE(SUBSTITUTE(SUBSTITUTE(SUBSTITUTE(SUBSTITUTE(SUBSTITUTE(Financials!B43,"Short-Term","ST"),"(%)",""),"($000)",""),"/ ","/"),"Cash Flow: ",""),"Reinsurance","Re"),"Capital Gains Taxes","Cap Gain Tax")</f>
        <v xml:space="preserve">2015Y - Benefit &amp; Loss Related Pymts </v>
      </c>
      <c r="FR1" t="str">
        <f ca="1">Financials!$N$4&amp;" - "&amp;SUBSTITUTE(SUBSTITUTE(SUBSTITUTE(SUBSTITUTE(SUBSTITUTE(SUBSTITUTE(SUBSTITUTE(Financials!B44,"Short-Term","ST"),"(%)",""),"($000)",""),"/ ","/"),"Cash Flow: ",""),"Reinsurance","Re"),"Capital Gains Taxes","Cap Gain Tax")</f>
        <v xml:space="preserve">2015Y - Exp &amp; WI For Deductions </v>
      </c>
      <c r="FS1" t="str">
        <f ca="1">Financials!$N$4&amp;" - "&amp;SUBSTITUTE(SUBSTITUTE(SUBSTITUTE(SUBSTITUTE(SUBSTITUTE(SUBSTITUTE(SUBSTITUTE(Financials!B45,"Short-Term","ST"),"(%)",""),"($000)",""),"/ ","/"),"Cash Flow: ",""),"Reinsurance","Re"),"Capital Gains Taxes","Cap Gain Tax")</f>
        <v xml:space="preserve">2015Y - Cash From Operations </v>
      </c>
      <c r="FT1" t="str">
        <f ca="1">Financials!$N$4&amp;" - "&amp;SUBSTITUTE(SUBSTITUTE(SUBSTITUTE(SUBSTITUTE(SUBSTITUTE(SUBSTITUTE(SUBSTITUTE(Financials!B46,"Short-Term","ST"),"(%)",""),"($000)",""),"/ ","/"),"Cash Flow: ",""),"Reinsurance","Re"),"Capital Gains Taxes","Cap Gain Tax")</f>
        <v xml:space="preserve">2015Y - Income Taxes Excl Cap Gain Tax </v>
      </c>
      <c r="FU1" t="str">
        <f ca="1">Financials!$N$4&amp;" - "&amp;SUBSTITUTE(SUBSTITUTE(SUBSTITUTE(SUBSTITUTE(SUBSTITUTE(SUBSTITUTE(SUBSTITUTE(Financials!B47,"Short-Term","ST"),"(%)",""),"($000)",""),"/ ","/"),"Cash Flow: ",""),"Reinsurance","Re"),"Capital Gains Taxes","Cap Gain Tax")</f>
        <v xml:space="preserve">2015Y - Dividends Paid to Policyholders </v>
      </c>
      <c r="FV1" t="str">
        <f ca="1">Financials!$O$4&amp;" - "&amp;SUBSTITUTE(SUBSTITUTE(SUBSTITUTE(SUBSTITUTE(SUBSTITUTE(SUBSTITUTE(SUBSTITUTE(Financials!B33,"Short-Term","ST"),"(%)",""),"($000)",""),"/ ","/"),"Cash Flow: ",""),"Reinsurance","Re"),"Capital Gains Taxes","Cap Gain Tax")</f>
        <v xml:space="preserve">2015Y
% Chg - Cash &amp; ST Investments/Liabilities </v>
      </c>
      <c r="FW1" t="str">
        <f ca="1">Financials!$O$4&amp;" - "&amp;SUBSTITUTE(SUBSTITUTE(SUBSTITUTE(SUBSTITUTE(SUBSTITUTE(SUBSTITUTE(SUBSTITUTE(Financials!B34,"Short-Term","ST"),"(%)",""),"($000)",""),"/ ","/"),"Cash Flow: ",""),"Reinsurance","Re"),"Capital Gains Taxes","Cap Gain Tax")</f>
        <v xml:space="preserve">2015Y
% Chg - Liquid Investments/Liabilities </v>
      </c>
      <c r="FX1" t="str">
        <f ca="1">Financials!$O$4&amp;" - "&amp;SUBSTITUTE(SUBSTITUTE(SUBSTITUTE(SUBSTITUTE(SUBSTITUTE(SUBSTITUTE(SUBSTITUTE(Financials!B35,"Short-Term","ST"),"(%)",""),"($000)",""),"/ ","/"),"Cash Flow: ",""),"Reinsurance","Re"),"Capital Gains Taxes","Cap Gain Tax")</f>
        <v xml:space="preserve">2015Y
% Chg - Cash &amp; ST Investments/C&amp;S </v>
      </c>
      <c r="FY1" t="str">
        <f ca="1">Financials!$O$4&amp;" - "&amp;SUBSTITUTE(SUBSTITUTE(SUBSTITUTE(SUBSTITUTE(SUBSTITUTE(SUBSTITUTE(SUBSTITUTE(Financials!B36,"Short-Term","ST"),"(%)",""),"($000)",""),"/ ","/"),"Cash Flow: ",""),"Reinsurance","Re"),"Capital Gains Taxes","Cap Gain Tax")</f>
        <v xml:space="preserve">2015Y
% Chg - Liabilities/Invested Assets </v>
      </c>
      <c r="FZ1" t="str">
        <f ca="1">Financials!$O$4&amp;" - "&amp;SUBSTITUTE(SUBSTITUTE(SUBSTITUTE(SUBSTITUTE(SUBSTITUTE(SUBSTITUTE(SUBSTITUTE(Financials!B37,"Short-Term","ST"),"(%)",""),"($000)",""),"/ ","/"),"Cash Flow: ",""),"Reinsurance","Re"),"Capital Gains Taxes","Cap Gain Tax")</f>
        <v xml:space="preserve">2015Y
% Chg - Affiliated Investments/C&amp;S </v>
      </c>
      <c r="GA1" t="str">
        <f ca="1">Financials!$O$4&amp;" - "&amp;SUBSTITUTE(SUBSTITUTE(SUBSTITUTE(SUBSTITUTE(SUBSTITUTE(SUBSTITUTE(SUBSTITUTE(Financials!B38,"Short-Term","ST"),"(%)",""),"($000)",""),"/ ","/"),"Cash Flow: ",""),"Reinsurance","Re"),"Capital Gains Taxes","Cap Gain Tax")</f>
        <v xml:space="preserve">2015Y
% Chg - Net Adm Cash &amp; Invested Assets </v>
      </c>
      <c r="GB1" t="str">
        <f ca="1">Financials!$O$4&amp;" - "&amp;SUBSTITUTE(SUBSTITUTE(SUBSTITUTE(SUBSTITUTE(SUBSTITUTE(SUBSTITUTE(SUBSTITUTE(Financials!B42,"Short-Term","ST"),"(%)",""),"($000)",""),"/ ","/"),"Cash Flow: ",""),"Reinsurance","Re"),"Capital Gains Taxes","Cap Gain Tax")</f>
        <v xml:space="preserve">2015Y
% Chg - Premiums Collected Net of Re </v>
      </c>
      <c r="GC1" t="str">
        <f ca="1">Financials!$O$4&amp;" - "&amp;SUBSTITUTE(SUBSTITUTE(SUBSTITUTE(SUBSTITUTE(SUBSTITUTE(SUBSTITUTE(SUBSTITUTE(Financials!B43,"Short-Term","ST"),"(%)",""),"($000)",""),"/ ","/"),"Cash Flow: ",""),"Reinsurance","Re"),"Capital Gains Taxes","Cap Gain Tax")</f>
        <v xml:space="preserve">2015Y
% Chg - Benefit &amp; Loss Related Pymts </v>
      </c>
      <c r="GD1" t="str">
        <f ca="1">Financials!$O$4&amp;" - "&amp;SUBSTITUTE(SUBSTITUTE(SUBSTITUTE(SUBSTITUTE(SUBSTITUTE(SUBSTITUTE(SUBSTITUTE(Financials!B44,"Short-Term","ST"),"(%)",""),"($000)",""),"/ ","/"),"Cash Flow: ",""),"Reinsurance","Re"),"Capital Gains Taxes","Cap Gain Tax")</f>
        <v xml:space="preserve">2015Y
% Chg - Exp &amp; WI For Deductions </v>
      </c>
      <c r="GE1" t="str">
        <f ca="1">Financials!$O$4&amp;" - "&amp;SUBSTITUTE(SUBSTITUTE(SUBSTITUTE(SUBSTITUTE(SUBSTITUTE(SUBSTITUTE(SUBSTITUTE(Financials!B45,"Short-Term","ST"),"(%)",""),"($000)",""),"/ ","/"),"Cash Flow: ",""),"Reinsurance","Re"),"Capital Gains Taxes","Cap Gain Tax")</f>
        <v xml:space="preserve">2015Y
% Chg - Cash From Operations </v>
      </c>
      <c r="GF1" t="str">
        <f ca="1">Financials!$O$4&amp;" - "&amp;SUBSTITUTE(SUBSTITUTE(SUBSTITUTE(SUBSTITUTE(SUBSTITUTE(SUBSTITUTE(SUBSTITUTE(Financials!B46,"Short-Term","ST"),"(%)",""),"($000)",""),"/ ","/"),"Cash Flow: ",""),"Reinsurance","Re"),"Capital Gains Taxes","Cap Gain Tax")</f>
        <v xml:space="preserve">2015Y
% Chg - Income Taxes Excl Cap Gain Tax </v>
      </c>
      <c r="GG1" t="str">
        <f ca="1">Financials!$O$4&amp;" - "&amp;SUBSTITUTE(SUBSTITUTE(SUBSTITUTE(SUBSTITUTE(SUBSTITUTE(SUBSTITUTE(SUBSTITUTE(Financials!B47,"Short-Term","ST"),"(%)",""),"($000)",""),"/ ","/"),"Cash Flow: ",""),"Reinsurance","Re"),"Capital Gains Taxes","Cap Gain Tax")</f>
        <v xml:space="preserve">2015Y
% Chg - Dividends Paid to Policyholders </v>
      </c>
      <c r="GH1" t="str">
        <f ca="1">Financials!$P$4&amp;" - "&amp;SUBSTITUTE(SUBSTITUTE(SUBSTITUTE(SUBSTITUTE(SUBSTITUTE(SUBSTITUTE(SUBSTITUTE(Financials!B33,"Short-Term","ST"),"(%)",""),"($000)",""),"/ ","/"),"Cash Flow: ",""),"Reinsurance","Re"),"Capital Gains Taxes","Cap Gain Tax")</f>
        <v xml:space="preserve">5 Yr % Chg - Cash &amp; ST Investments/Liabilities </v>
      </c>
      <c r="GI1" t="str">
        <f ca="1">Financials!$P$4&amp;" - "&amp;SUBSTITUTE(SUBSTITUTE(SUBSTITUTE(SUBSTITUTE(SUBSTITUTE(SUBSTITUTE(SUBSTITUTE(Financials!B34,"Short-Term","ST"),"(%)",""),"($000)",""),"/ ","/"),"Cash Flow: ",""),"Reinsurance","Re"),"Capital Gains Taxes","Cap Gain Tax")</f>
        <v xml:space="preserve">5 Yr % Chg - Liquid Investments/Liabilities </v>
      </c>
      <c r="GJ1" t="str">
        <f ca="1">Financials!$P$4&amp;" - "&amp;SUBSTITUTE(SUBSTITUTE(SUBSTITUTE(SUBSTITUTE(SUBSTITUTE(SUBSTITUTE(SUBSTITUTE(Financials!B35,"Short-Term","ST"),"(%)",""),"($000)",""),"/ ","/"),"Cash Flow: ",""),"Reinsurance","Re"),"Capital Gains Taxes","Cap Gain Tax")</f>
        <v xml:space="preserve">5 Yr % Chg - Cash &amp; ST Investments/C&amp;S </v>
      </c>
      <c r="GK1" t="str">
        <f ca="1">Financials!$P$4&amp;" - "&amp;SUBSTITUTE(SUBSTITUTE(SUBSTITUTE(SUBSTITUTE(SUBSTITUTE(SUBSTITUTE(SUBSTITUTE(Financials!B36,"Short-Term","ST"),"(%)",""),"($000)",""),"/ ","/"),"Cash Flow: ",""),"Reinsurance","Re"),"Capital Gains Taxes","Cap Gain Tax")</f>
        <v xml:space="preserve">5 Yr % Chg - Liabilities/Invested Assets </v>
      </c>
      <c r="GL1" t="str">
        <f ca="1">Financials!$P$4&amp;" - "&amp;SUBSTITUTE(SUBSTITUTE(SUBSTITUTE(SUBSTITUTE(SUBSTITUTE(SUBSTITUTE(SUBSTITUTE(Financials!B37,"Short-Term","ST"),"(%)",""),"($000)",""),"/ ","/"),"Cash Flow: ",""),"Reinsurance","Re"),"Capital Gains Taxes","Cap Gain Tax")</f>
        <v xml:space="preserve">5 Yr % Chg - Affiliated Investments/C&amp;S </v>
      </c>
      <c r="GM1" t="str">
        <f ca="1">Financials!$P$4&amp;" - "&amp;SUBSTITUTE(SUBSTITUTE(SUBSTITUTE(SUBSTITUTE(SUBSTITUTE(SUBSTITUTE(SUBSTITUTE(Financials!B38,"Short-Term","ST"),"(%)",""),"($000)",""),"/ ","/"),"Cash Flow: ",""),"Reinsurance","Re"),"Capital Gains Taxes","Cap Gain Tax")</f>
        <v xml:space="preserve">5 Yr % Chg - Net Adm Cash &amp; Invested Assets </v>
      </c>
      <c r="GN1" t="str">
        <f ca="1">Financials!$P$4&amp;" - "&amp;SUBSTITUTE(SUBSTITUTE(SUBSTITUTE(SUBSTITUTE(SUBSTITUTE(SUBSTITUTE(SUBSTITUTE(Financials!B42,"Short-Term","ST"),"(%)",""),"($000)",""),"/ ","/"),"Cash Flow: ",""),"Reinsurance","Re"),"Capital Gains Taxes","Cap Gain Tax")</f>
        <v xml:space="preserve">5 Yr % Chg - Premiums Collected Net of Re </v>
      </c>
      <c r="GO1" t="str">
        <f ca="1">Financials!$P$4&amp;" - "&amp;SUBSTITUTE(SUBSTITUTE(SUBSTITUTE(SUBSTITUTE(SUBSTITUTE(SUBSTITUTE(SUBSTITUTE(Financials!B43,"Short-Term","ST"),"(%)",""),"($000)",""),"/ ","/"),"Cash Flow: ",""),"Reinsurance","Re"),"Capital Gains Taxes","Cap Gain Tax")</f>
        <v xml:space="preserve">5 Yr % Chg - Benefit &amp; Loss Related Pymts </v>
      </c>
      <c r="GP1" t="str">
        <f ca="1">Financials!$P$4&amp;" - "&amp;SUBSTITUTE(SUBSTITUTE(SUBSTITUTE(SUBSTITUTE(SUBSTITUTE(SUBSTITUTE(SUBSTITUTE(Financials!B44,"Short-Term","ST"),"(%)",""),"($000)",""),"/ ","/"),"Cash Flow: ",""),"Reinsurance","Re"),"Capital Gains Taxes","Cap Gain Tax")</f>
        <v xml:space="preserve">5 Yr % Chg - Exp &amp; WI For Deductions </v>
      </c>
      <c r="GQ1" t="str">
        <f ca="1">Financials!$P$4&amp;" - "&amp;SUBSTITUTE(SUBSTITUTE(SUBSTITUTE(SUBSTITUTE(SUBSTITUTE(SUBSTITUTE(SUBSTITUTE(Financials!B45,"Short-Term","ST"),"(%)",""),"($000)",""),"/ ","/"),"Cash Flow: ",""),"Reinsurance","Re"),"Capital Gains Taxes","Cap Gain Tax")</f>
        <v xml:space="preserve">5 Yr % Chg - Cash From Operations </v>
      </c>
      <c r="GR1" t="str">
        <f ca="1">Financials!$P$4&amp;" - "&amp;SUBSTITUTE(SUBSTITUTE(SUBSTITUTE(SUBSTITUTE(SUBSTITUTE(SUBSTITUTE(SUBSTITUTE(Financials!B46,"Short-Term","ST"),"(%)",""),"($000)",""),"/ ","/"),"Cash Flow: ",""),"Reinsurance","Re"),"Capital Gains Taxes","Cap Gain Tax")</f>
        <v xml:space="preserve">5 Yr % Chg - Income Taxes Excl Cap Gain Tax </v>
      </c>
      <c r="GS1" t="str">
        <f ca="1">Financials!$P$4&amp;" - "&amp;SUBSTITUTE(SUBSTITUTE(SUBSTITUTE(SUBSTITUTE(SUBSTITUTE(SUBSTITUTE(SUBSTITUTE(Financials!B47,"Short-Term","ST"),"(%)",""),"($000)",""),"/ ","/"),"Cash Flow: ",""),"Reinsurance","Re"),"Capital Gains Taxes","Cap Gain Tax")</f>
        <v xml:space="preserve">5 Yr % Chg - Dividends Paid to Policyholders </v>
      </c>
      <c r="GT1" t="str">
        <f ca="1">Financials!$N$4&amp;" - "&amp;SUBSTITUTE(SUBSTITUTE(Financials!B7,"(%)",""),"($000)","")</f>
        <v xml:space="preserve">2015Y - GPW to PHS </v>
      </c>
      <c r="GU1" t="str">
        <f ca="1">Financials!$N$4&amp;" - "&amp;SUBSTITUTE(SUBSTITUTE(Financials!B8,"(%)",""),"($000)","")</f>
        <v xml:space="preserve">2015Y - NPW to PHS </v>
      </c>
      <c r="GV1" t="str">
        <f ca="1">Financials!$N$4&amp;" - "&amp;SUBSTITUTE(SUBSTITUTE(Financials!B9,"(%)",""),"($000)","")</f>
        <v xml:space="preserve">2015Y - Chg in NPW </v>
      </c>
      <c r="GW1" t="str">
        <f ca="1">Financials!$N$4&amp;" - "&amp;SUBSTITUTE(SUBSTITUTE(Financials!B10,"(%)",""),"($000)","")</f>
        <v xml:space="preserve">2015Y - Surplus Aid to PHS </v>
      </c>
      <c r="GX1" t="str">
        <f ca="1">Financials!$N$4&amp;" - "&amp;SUBSTITUTE(SUBSTITUTE(Financials!B11,"(%)",""),"($000)","")</f>
        <v xml:space="preserve">2015Y - 2-Yr Overall Operating Ratio </v>
      </c>
      <c r="GY1" t="str">
        <f ca="1">Financials!$N$4&amp;" - "&amp;SUBSTITUTE(SUBSTITUTE(Financials!B12,"(%)",""),"($000)","")</f>
        <v xml:space="preserve">2015Y - Invest Yield </v>
      </c>
      <c r="GZ1" t="str">
        <f ca="1">Financials!$N$4&amp;" - "&amp;SUBSTITUTE(SUBSTITUTE(Financials!B13,"(%)",""),"($000)","")</f>
        <v xml:space="preserve">2015Y - Gross Chg in PHS </v>
      </c>
      <c r="HA1" t="str">
        <f ca="1">Financials!$N$4&amp;" - "&amp;SUBSTITUTE(SUBSTITUTE(Financials!B14,"(%)",""),"($000)","")</f>
        <v xml:space="preserve">2015Y - Net Chg in Adj PHS </v>
      </c>
      <c r="HB1" t="str">
        <f ca="1">Financials!$N$4&amp;" - "&amp;SUBSTITUTE(SUBSTITUTE(Financials!B15,"(%)",""),"($000)","")</f>
        <v xml:space="preserve">2015Y - Liab to Liq Assets </v>
      </c>
      <c r="HC1" t="str">
        <f ca="1">Financials!$N$4&amp;" - "&amp;SUBSTITUTE(SUBSTITUTE(Financials!B16,"(%)",""),"($000)","")</f>
        <v xml:space="preserve">2015Y - Gross Agents' Bal to PHS </v>
      </c>
      <c r="HD1" t="str">
        <f ca="1">Financials!$N$4&amp;" - "&amp;SUBSTITUTE(SUBSTITUTE(Financials!B17,"(%)",""),"($000)","")</f>
        <v xml:space="preserve">2015Y - 1-Yr Res Dev to PHS </v>
      </c>
      <c r="HE1" t="str">
        <f ca="1">Financials!$N$4&amp;" - "&amp;SUBSTITUTE(SUBSTITUTE(Financials!B18,"(%)",""),"($000)","")</f>
        <v xml:space="preserve">2015Y - 2-Yr Res Dev to PHS </v>
      </c>
      <c r="HF1" t="str">
        <f ca="1">Financials!$N$4&amp;" - "&amp;SUBSTITUTE(SUBSTITUTE(Financials!B19,"(%)",""),"($000)","")</f>
        <v xml:space="preserve">2015Y - Est Curr Res Defic to PHS </v>
      </c>
      <c r="HG1" t="str">
        <f ca="1">Financials!$N$4&amp;" - "&amp;SUBSTITUTE(SUBSTITUTE(Financials!B20,"(%)",""),"($000)","")</f>
        <v xml:space="preserve">2015Y - Net Chg in C&amp;S </v>
      </c>
      <c r="HH1" t="str">
        <f ca="1">Financials!$N$4&amp;" - "&amp;SUBSTITUTE(SUBSTITUTE(Financials!B21,"(%)",""),"($000)","")</f>
        <v xml:space="preserve">2015Y - Gross Chg C&amp;S </v>
      </c>
      <c r="HI1" t="str">
        <f ca="1">Financials!$N$4&amp;" - "&amp;SUBSTITUTE(SUBSTITUTE(Financials!B22,"(%)",""),"($000)","")</f>
        <v xml:space="preserve">2015Y - Net Inc to Tot Inc (Incl Rlzd Cap Gains) </v>
      </c>
      <c r="HJ1" t="str">
        <f ca="1">Financials!$N$4&amp;" - "&amp;SUBSTITUTE(SUBSTITUTE(Financials!B23,"(%)",""),"($000)","")</f>
        <v xml:space="preserve">2015Y - Adeq of Inv Inc </v>
      </c>
      <c r="HK1" t="str">
        <f ca="1">Financials!$N$4&amp;" - "&amp;SUBSTITUTE(SUBSTITUTE(Financials!B24,"(%)",""),"($000)","")</f>
        <v xml:space="preserve">2015Y - Non-Adm to Adm Assets </v>
      </c>
      <c r="HL1" t="str">
        <f ca="1">Financials!$N$4&amp;" - "&amp;SUBSTITUTE(SUBSTITUTE(Financials!B25,"(%)",""),"($000)","")</f>
        <v xml:space="preserve">2015Y - Tot RE &amp; Tot Mrtg Loans to Cash &amp; Inv Assets </v>
      </c>
      <c r="HM1" t="str">
        <f ca="1">Financials!$N$4&amp;" - "&amp;SUBSTITUTE(SUBSTITUTE(Financials!B26,"(%)",""),"($000)","")</f>
        <v xml:space="preserve">2015Y - Tot Aff Inv to C&amp;S </v>
      </c>
      <c r="HN1" t="str">
        <f ca="1">Financials!$N$4&amp;" - "&amp;SUBSTITUTE(SUBSTITUTE(Financials!B27,"(%)",""),"($000)","")</f>
        <v xml:space="preserve">2015Y - Surplus Relief </v>
      </c>
      <c r="HO1" t="str">
        <f ca="1">Financials!$N$4&amp;" - "&amp;SUBSTITUTE(SUBSTITUTE(Financials!B28,"(%)",""),"($000)","")</f>
        <v xml:space="preserve">2015Y - Chg in Premium </v>
      </c>
      <c r="HP1" t="str">
        <f ca="1">Financials!$N$4&amp;" - "&amp;SUBSTITUTE(SUBSTITUTE(Financials!B29,"(%)",""),"($000)","")</f>
        <v xml:space="preserve">2015Y - Chg in Prod Mix </v>
      </c>
      <c r="HQ1" t="str">
        <f ca="1">Financials!$N$4&amp;" - "&amp;SUBSTITUTE(SUBSTITUTE(Financials!B30,"(%)",""),"($000)","")</f>
        <v xml:space="preserve">2015Y - Chg in Asset Mix </v>
      </c>
      <c r="HR1" t="str">
        <f ca="1">Financials!$N$4&amp;" - "&amp;SUBSTITUTE(SUBSTITUTE(Financials!B31,"(%)",""),"($000)","")</f>
        <v xml:space="preserve">2015Y - Chg in Reserving </v>
      </c>
      <c r="HS1" t="str">
        <f ca="1">Financials!$O$4&amp;" - "&amp;SUBSTITUTE(SUBSTITUTE(Financials!B7,"(%)",""),"($000)","")</f>
        <v xml:space="preserve">2015Y
% Chg - GPW to PHS </v>
      </c>
      <c r="HT1" t="str">
        <f ca="1">Financials!$O$4&amp;" - "&amp;SUBSTITUTE(SUBSTITUTE(Financials!B8,"(%)",""),"($000)","")</f>
        <v xml:space="preserve">2015Y
% Chg - NPW to PHS </v>
      </c>
      <c r="HU1" t="str">
        <f ca="1">Financials!$O$4&amp;" - "&amp;SUBSTITUTE(SUBSTITUTE(Financials!B9,"(%)",""),"($000)","")</f>
        <v xml:space="preserve">2015Y
% Chg - Chg in NPW </v>
      </c>
      <c r="HV1" t="str">
        <f ca="1">Financials!$O$4&amp;" - "&amp;SUBSTITUTE(SUBSTITUTE(Financials!B10,"(%)",""),"($000)","")</f>
        <v xml:space="preserve">2015Y
% Chg - Surplus Aid to PHS </v>
      </c>
      <c r="HW1" t="str">
        <f ca="1">Financials!$O$4&amp;" - "&amp;SUBSTITUTE(SUBSTITUTE(Financials!B11,"(%)",""),"($000)","")</f>
        <v xml:space="preserve">2015Y
% Chg - 2-Yr Overall Operating Ratio </v>
      </c>
      <c r="HX1" t="str">
        <f ca="1">Financials!$O$4&amp;" - "&amp;SUBSTITUTE(SUBSTITUTE(Financials!B12,"(%)",""),"($000)","")</f>
        <v xml:space="preserve">2015Y
% Chg - Invest Yield </v>
      </c>
      <c r="HY1" t="str">
        <f ca="1">Financials!$O$4&amp;" - "&amp;SUBSTITUTE(SUBSTITUTE(Financials!B13,"(%)",""),"($000)","")</f>
        <v xml:space="preserve">2015Y
% Chg - Gross Chg in PHS </v>
      </c>
      <c r="HZ1" t="str">
        <f ca="1">Financials!$O$4&amp;" - "&amp;SUBSTITUTE(SUBSTITUTE(Financials!B14,"(%)",""),"($000)","")</f>
        <v xml:space="preserve">2015Y
% Chg - Net Chg in Adj PHS </v>
      </c>
      <c r="IA1" t="str">
        <f ca="1">Financials!$O$4&amp;" - "&amp;SUBSTITUTE(SUBSTITUTE(Financials!B15,"(%)",""),"($000)","")</f>
        <v xml:space="preserve">2015Y
% Chg - Liab to Liq Assets </v>
      </c>
      <c r="IB1" t="str">
        <f ca="1">Financials!$O$4&amp;" - "&amp;SUBSTITUTE(SUBSTITUTE(Financials!B16,"(%)",""),"($000)","")</f>
        <v xml:space="preserve">2015Y
% Chg - Gross Agents' Bal to PHS </v>
      </c>
      <c r="IC1" t="str">
        <f ca="1">Financials!$O$4&amp;" - "&amp;SUBSTITUTE(SUBSTITUTE(Financials!B17,"(%)",""),"($000)","")</f>
        <v xml:space="preserve">2015Y
% Chg - 1-Yr Res Dev to PHS </v>
      </c>
      <c r="ID1" t="str">
        <f ca="1">Financials!$O$4&amp;" - "&amp;SUBSTITUTE(SUBSTITUTE(Financials!B18,"(%)",""),"($000)","")</f>
        <v xml:space="preserve">2015Y
% Chg - 2-Yr Res Dev to PHS </v>
      </c>
      <c r="IE1" t="str">
        <f ca="1">Financials!$O$4&amp;" - "&amp;SUBSTITUTE(SUBSTITUTE(Financials!B19,"(%)",""),"($000)","")</f>
        <v xml:space="preserve">2015Y
% Chg - Est Curr Res Defic to PHS </v>
      </c>
      <c r="IF1" t="str">
        <f ca="1">Financials!$O$4&amp;" - "&amp;SUBSTITUTE(SUBSTITUTE(Financials!B20,"(%)",""),"($000)","")</f>
        <v xml:space="preserve">2015Y
% Chg - Net Chg in C&amp;S </v>
      </c>
      <c r="IG1" t="str">
        <f ca="1">Financials!$O$4&amp;" - "&amp;SUBSTITUTE(SUBSTITUTE(Financials!B21,"(%)",""),"($000)","")</f>
        <v xml:space="preserve">2015Y
% Chg - Gross Chg C&amp;S </v>
      </c>
      <c r="IH1" t="str">
        <f ca="1">Financials!$O$4&amp;" - "&amp;SUBSTITUTE(SUBSTITUTE(Financials!B22,"(%)",""),"($000)","")</f>
        <v xml:space="preserve">2015Y
% Chg - Net Inc to Tot Inc (Incl Rlzd Cap Gains) </v>
      </c>
      <c r="II1" t="str">
        <f ca="1">Financials!$O$4&amp;" - "&amp;SUBSTITUTE(SUBSTITUTE(Financials!B23,"(%)",""),"($000)","")</f>
        <v xml:space="preserve">2015Y
% Chg - Adeq of Inv Inc </v>
      </c>
      <c r="IJ1" t="str">
        <f ca="1">Financials!$O$4&amp;" - "&amp;SUBSTITUTE(SUBSTITUTE(Financials!B24,"(%)",""),"($000)","")</f>
        <v xml:space="preserve">2015Y
% Chg - Non-Adm to Adm Assets </v>
      </c>
      <c r="IK1" t="str">
        <f ca="1">Financials!$O$4&amp;" - "&amp;SUBSTITUTE(SUBSTITUTE(Financials!B25,"(%)",""),"($000)","")</f>
        <v xml:space="preserve">2015Y
% Chg - Tot RE &amp; Tot Mrtg Loans to Cash &amp; Inv Assets </v>
      </c>
      <c r="IL1" t="str">
        <f ca="1">Financials!$O$4&amp;" - "&amp;SUBSTITUTE(SUBSTITUTE(Financials!B26,"(%)",""),"($000)","")</f>
        <v xml:space="preserve">2015Y
% Chg - Tot Aff Inv to C&amp;S </v>
      </c>
      <c r="IM1" t="str">
        <f ca="1">Financials!$O$4&amp;" - "&amp;SUBSTITUTE(SUBSTITUTE(Financials!B27,"(%)",""),"($000)","")</f>
        <v xml:space="preserve">2015Y
% Chg - Surplus Relief </v>
      </c>
      <c r="IN1" t="str">
        <f ca="1">Financials!$O$4&amp;" - "&amp;SUBSTITUTE(SUBSTITUTE(Financials!B28,"(%)",""),"($000)","")</f>
        <v xml:space="preserve">2015Y
% Chg - Chg in Premium </v>
      </c>
      <c r="IO1" t="str">
        <f ca="1">Financials!$O$4&amp;" - "&amp;SUBSTITUTE(SUBSTITUTE(Financials!B29,"(%)",""),"($000)","")</f>
        <v xml:space="preserve">2015Y
% Chg - Chg in Prod Mix </v>
      </c>
      <c r="IP1" t="str">
        <f ca="1">Financials!$O$4&amp;" - "&amp;SUBSTITUTE(SUBSTITUTE(Financials!B30,"(%)",""),"($000)","")</f>
        <v xml:space="preserve">2015Y
% Chg - Chg in Asset Mix </v>
      </c>
      <c r="IQ1" t="str">
        <f ca="1">Financials!$O$4&amp;" - "&amp;SUBSTITUTE(SUBSTITUTE(Financials!B31,"(%)",""),"($000)","")</f>
        <v xml:space="preserve">2015Y
% Chg - Chg in Reserving </v>
      </c>
      <c r="IR1" t="str">
        <f ca="1">Financials!$P$4&amp;" - "&amp;SUBSTITUTE(SUBSTITUTE(Financials!B7,"(%)",""),"($000)","")</f>
        <v xml:space="preserve">5 Yr % Chg - GPW to PHS </v>
      </c>
      <c r="IS1" t="str">
        <f ca="1">Financials!$P$4&amp;" - "&amp;SUBSTITUTE(SUBSTITUTE(Financials!B8,"(%)",""),"($000)","")</f>
        <v xml:space="preserve">5 Yr % Chg - NPW to PHS </v>
      </c>
      <c r="IT1" t="str">
        <f ca="1">Financials!$P$4&amp;" - "&amp;SUBSTITUTE(SUBSTITUTE(Financials!B9,"(%)",""),"($000)","")</f>
        <v xml:space="preserve">5 Yr % Chg - Chg in NPW </v>
      </c>
      <c r="IU1" t="str">
        <f ca="1">Financials!$P$4&amp;" - "&amp;SUBSTITUTE(SUBSTITUTE(Financials!B10,"(%)",""),"($000)","")</f>
        <v xml:space="preserve">5 Yr % Chg - Surplus Aid to PHS </v>
      </c>
      <c r="IV1" t="str">
        <f ca="1">Financials!$P$4&amp;" - "&amp;SUBSTITUTE(SUBSTITUTE(Financials!B11,"(%)",""),"($000)","")</f>
        <v xml:space="preserve">5 Yr % Chg - 2-Yr Overall Operating Ratio </v>
      </c>
      <c r="IW1" t="str">
        <f ca="1">Financials!$P$4&amp;" - "&amp;SUBSTITUTE(SUBSTITUTE(Financials!B12,"(%)",""),"($000)","")</f>
        <v xml:space="preserve">5 Yr % Chg - Invest Yield </v>
      </c>
      <c r="IX1" t="str">
        <f ca="1">Financials!$P$4&amp;" - "&amp;SUBSTITUTE(SUBSTITUTE(Financials!B13,"(%)",""),"($000)","")</f>
        <v xml:space="preserve">5 Yr % Chg - Gross Chg in PHS </v>
      </c>
      <c r="IY1" t="str">
        <f ca="1">Financials!$P$4&amp;" - "&amp;SUBSTITUTE(SUBSTITUTE(Financials!B14,"(%)",""),"($000)","")</f>
        <v xml:space="preserve">5 Yr % Chg - Net Chg in Adj PHS </v>
      </c>
      <c r="IZ1" t="str">
        <f ca="1">Financials!$P$4&amp;" - "&amp;SUBSTITUTE(SUBSTITUTE(Financials!B15,"(%)",""),"($000)","")</f>
        <v xml:space="preserve">5 Yr % Chg - Liab to Liq Assets </v>
      </c>
      <c r="JA1" t="str">
        <f ca="1">Financials!$P$4&amp;" - "&amp;SUBSTITUTE(SUBSTITUTE(Financials!B16,"(%)",""),"($000)","")</f>
        <v xml:space="preserve">5 Yr % Chg - Gross Agents' Bal to PHS </v>
      </c>
      <c r="JB1" t="str">
        <f ca="1">Financials!$P$4&amp;" - "&amp;SUBSTITUTE(SUBSTITUTE(Financials!B17,"(%)",""),"($000)","")</f>
        <v xml:space="preserve">5 Yr % Chg - 1-Yr Res Dev to PHS </v>
      </c>
      <c r="JC1" t="str">
        <f ca="1">Financials!$P$4&amp;" - "&amp;SUBSTITUTE(SUBSTITUTE(Financials!B18,"(%)",""),"($000)","")</f>
        <v xml:space="preserve">5 Yr % Chg - 2-Yr Res Dev to PHS </v>
      </c>
      <c r="JD1" t="str">
        <f ca="1">Financials!$P$4&amp;" - "&amp;SUBSTITUTE(SUBSTITUTE(Financials!B19,"(%)",""),"($000)","")</f>
        <v xml:space="preserve">5 Yr % Chg - Est Curr Res Defic to PHS </v>
      </c>
      <c r="JE1" t="str">
        <f ca="1">Financials!$P$4&amp;" - "&amp;SUBSTITUTE(SUBSTITUTE(Financials!B20,"(%)",""),"($000)","")</f>
        <v xml:space="preserve">5 Yr % Chg - Net Chg in C&amp;S </v>
      </c>
      <c r="JF1" t="str">
        <f ca="1">Financials!$P$4&amp;" - "&amp;SUBSTITUTE(SUBSTITUTE(Financials!B21,"(%)",""),"($000)","")</f>
        <v xml:space="preserve">5 Yr % Chg - Gross Chg C&amp;S </v>
      </c>
      <c r="JG1" t="str">
        <f ca="1">Financials!$P$4&amp;" - "&amp;SUBSTITUTE(SUBSTITUTE(Financials!B22,"(%)",""),"($000)","")</f>
        <v xml:space="preserve">5 Yr % Chg - Net Inc to Tot Inc (Incl Rlzd Cap Gains) </v>
      </c>
      <c r="JH1" t="str">
        <f ca="1">Financials!$P$4&amp;" - "&amp;SUBSTITUTE(SUBSTITUTE(Financials!B23,"(%)",""),"($000)","")</f>
        <v xml:space="preserve">5 Yr % Chg - Adeq of Inv Inc </v>
      </c>
      <c r="JI1" t="str">
        <f ca="1">Financials!$P$4&amp;" - "&amp;SUBSTITUTE(SUBSTITUTE(Financials!B24,"(%)",""),"($000)","")</f>
        <v xml:space="preserve">5 Yr % Chg - Non-Adm to Adm Assets </v>
      </c>
      <c r="JJ1" t="str">
        <f ca="1">Financials!$P$4&amp;" - "&amp;SUBSTITUTE(SUBSTITUTE(Financials!B25,"(%)",""),"($000)","")</f>
        <v xml:space="preserve">5 Yr % Chg - Tot RE &amp; Tot Mrtg Loans to Cash &amp; Inv Assets </v>
      </c>
      <c r="JK1" t="str">
        <f ca="1">Financials!$P$4&amp;" - "&amp;SUBSTITUTE(SUBSTITUTE(Financials!B26,"(%)",""),"($000)","")</f>
        <v xml:space="preserve">5 Yr % Chg - Tot Aff Inv to C&amp;S </v>
      </c>
      <c r="JL1" t="str">
        <f ca="1">Financials!$P$4&amp;" - "&amp;SUBSTITUTE(SUBSTITUTE(Financials!B27,"(%)",""),"($000)","")</f>
        <v xml:space="preserve">5 Yr % Chg - Surplus Relief </v>
      </c>
      <c r="JM1" t="str">
        <f ca="1">Financials!$P$4&amp;" - "&amp;SUBSTITUTE(SUBSTITUTE(Financials!B28,"(%)",""),"($000)","")</f>
        <v xml:space="preserve">5 Yr % Chg - Chg in Premium </v>
      </c>
      <c r="JN1" t="str">
        <f ca="1">Financials!$P$4&amp;" - "&amp;SUBSTITUTE(SUBSTITUTE(Financials!B29,"(%)",""),"($000)","")</f>
        <v xml:space="preserve">5 Yr % Chg - Chg in Prod Mix </v>
      </c>
      <c r="JO1" t="str">
        <f ca="1">Financials!$P$4&amp;" - "&amp;SUBSTITUTE(SUBSTITUTE(Financials!B30,"(%)",""),"($000)","")</f>
        <v xml:space="preserve">5 Yr % Chg - Chg in Asset Mix </v>
      </c>
      <c r="JP1" t="str">
        <f ca="1">Financials!$P$4&amp;" - "&amp;SUBSTITUTE(SUBSTITUTE(Financials!B31,"(%)",""),"($000)","")</f>
        <v xml:space="preserve">5 Yr % Chg - Chg in Reserving </v>
      </c>
    </row>
    <row r="2" spans="1:276" x14ac:dyDescent="0.25">
      <c r="A2" s="26">
        <f ca="1">Financials!N49</f>
        <v>0</v>
      </c>
      <c r="B2" s="26">
        <f ca="1">Financials!N50</f>
        <v>19408047.517999999</v>
      </c>
      <c r="C2" s="26">
        <f ca="1">SchD_1A_1!M14</f>
        <v>4039807.2336500003</v>
      </c>
      <c r="D2" s="26">
        <f ca="1">SchD_1A_1!M24</f>
        <v>470680.67</v>
      </c>
      <c r="E2" s="26">
        <f ca="1">SchD_1A_1!M54</f>
        <v>4187007.48997</v>
      </c>
      <c r="F2" s="26">
        <f ca="1">SchD_1A_1!M64</f>
        <v>10301914.362229999</v>
      </c>
      <c r="G2" s="26">
        <f ca="1">SchD_1A_1!M62</f>
        <v>9801888.3882299997</v>
      </c>
      <c r="H2" s="26">
        <f ca="1">SchD_1A_1!M63</f>
        <v>500025.97399999999</v>
      </c>
      <c r="I2" s="26">
        <f ca="1">SchD_1A_1!M104</f>
        <v>773721.20699999994</v>
      </c>
      <c r="J2" s="26">
        <f ca="1">SchD_1A_1!M102</f>
        <v>773407.12199999997</v>
      </c>
      <c r="K2" s="26">
        <f ca="1">SchD_1A_1!M103</f>
        <v>314.08499999999998</v>
      </c>
      <c r="L2" s="26">
        <f ca="1">SchD_1A_1!M74</f>
        <v>0</v>
      </c>
      <c r="M2" s="26">
        <f ca="1">SchD_1A_1!M84</f>
        <v>99680.631999999998</v>
      </c>
      <c r="N2" s="26">
        <f ca="1">SchD_1A_1!M94</f>
        <v>0</v>
      </c>
      <c r="O2" s="26">
        <f ca="1">SchD_1A_1!M106</f>
        <v>19371879.115850002</v>
      </c>
      <c r="P2" s="26">
        <f ca="1">SchD_1A_1!M107</f>
        <v>500932.47899999999</v>
      </c>
      <c r="Q2" s="26">
        <f ca="1">Financials!N51</f>
        <v>2046233.037</v>
      </c>
      <c r="R2" s="26">
        <f ca="1">Financials!N52</f>
        <v>0</v>
      </c>
      <c r="S2" s="26">
        <f ca="1">Financials!N53</f>
        <v>2046233.037</v>
      </c>
      <c r="T2" s="26">
        <f ca="1">Financials!N54</f>
        <v>743791.69099999999</v>
      </c>
      <c r="U2" s="26">
        <f ca="1">Financials!N55</f>
        <v>0</v>
      </c>
      <c r="V2" s="26">
        <f ca="1">Financials!N56</f>
        <v>0</v>
      </c>
      <c r="W2" s="26">
        <f ca="1">Financials!N57</f>
        <v>0</v>
      </c>
      <c r="X2" s="26">
        <f ca="1">Financials!N58</f>
        <v>743791.69099999999</v>
      </c>
      <c r="Y2" s="26">
        <f ca="1">Financials!N59</f>
        <v>0</v>
      </c>
      <c r="Z2" s="26">
        <f ca="1">Financials!N60</f>
        <v>690491.45200000005</v>
      </c>
      <c r="AA2" s="26">
        <f ca="1">Financials!N61</f>
        <v>2792641.8790000002</v>
      </c>
      <c r="AB2" s="26">
        <f ca="1">Financials!N62</f>
        <v>25681205.577</v>
      </c>
      <c r="AC2" s="37">
        <f ca="1">Financials!O49</f>
        <v>0</v>
      </c>
      <c r="AD2" s="37">
        <f ca="1">Financials!O50</f>
        <v>-6.3524109797112871E-2</v>
      </c>
      <c r="AE2" s="37">
        <f ca="1">SchD_1A_1!N14</f>
        <v>-0.16244696862612507</v>
      </c>
      <c r="AF2" s="37">
        <f ca="1">SchD_1A_1!N24</f>
        <v>-0.10548792827384135</v>
      </c>
      <c r="AG2" s="37">
        <f ca="1">SchD_1A_1!N54</f>
        <v>0.11425598923389235</v>
      </c>
      <c r="AH2" s="37">
        <f ca="1">SchD_1A_1!N64</f>
        <v>-0.14693739199959654</v>
      </c>
      <c r="AI2" s="37">
        <f ca="1">SchD_1A_1!N62</f>
        <v>-0.18518096755070224</v>
      </c>
      <c r="AJ2" s="37">
        <f ca="1">SchD_1A_1!N63</f>
        <v>9.6708232485953918</v>
      </c>
      <c r="AK2" s="37">
        <f ca="1">SchD_1A_1!N104</f>
        <v>0.54830430855944567</v>
      </c>
      <c r="AL2" s="37">
        <f ca="1">SchD_1A_1!N102</f>
        <v>0.54767578868128508</v>
      </c>
      <c r="AM2" s="37" t="str">
        <f ca="1">SchD_1A_1!N103</f>
        <v/>
      </c>
      <c r="AN2" s="37" t="str">
        <f ca="1">SchD_1A_1!N74</f>
        <v/>
      </c>
      <c r="AO2" s="37">
        <f ca="1">SchD_1A_1!N84</f>
        <v>2.6532731514639347</v>
      </c>
      <c r="AP2" s="37" t="str">
        <f ca="1">SchD_1A_1!N94</f>
        <v/>
      </c>
      <c r="AQ2" s="37">
        <f ca="1">SchD_1A_1!N106</f>
        <v>-0.10500268448484129</v>
      </c>
      <c r="AR2" s="37">
        <f ca="1">SchD_1A_1!N107</f>
        <v>6.5927971929237401</v>
      </c>
      <c r="AS2" s="37">
        <f ca="1">Financials!O51</f>
        <v>9.492814105894487E-2</v>
      </c>
      <c r="AT2" s="37">
        <f ca="1">Financials!O52</f>
        <v>0</v>
      </c>
      <c r="AU2" s="37">
        <f ca="1">Financials!O53</f>
        <v>9.492814105894487E-2</v>
      </c>
      <c r="AV2" s="37">
        <f ca="1">Financials!O54</f>
        <v>0</v>
      </c>
      <c r="AW2" s="37">
        <f ca="1">Financials!O55</f>
        <v>0</v>
      </c>
      <c r="AX2" s="37">
        <f ca="1">Financials!O56</f>
        <v>0</v>
      </c>
      <c r="AY2" s="37">
        <f ca="1">Financials!O57</f>
        <v>0</v>
      </c>
      <c r="AZ2" s="37">
        <f ca="1">Financials!O58</f>
        <v>0</v>
      </c>
      <c r="BA2" s="37">
        <f ca="1">Financials!O59</f>
        <v>0</v>
      </c>
      <c r="BB2" s="37">
        <f ca="1">Financials!O60</f>
        <v>-0.3261732208671777</v>
      </c>
      <c r="BC2" s="37">
        <f ca="1">Financials!O61</f>
        <v>-0.10282597077288769</v>
      </c>
      <c r="BD2" s="37">
        <f ca="1">Financials!O62</f>
        <v>-3.9266283159995585E-2</v>
      </c>
      <c r="BE2" s="37">
        <f ca="1">Financials!P49</f>
        <v>0</v>
      </c>
      <c r="BF2" s="37">
        <f ca="1">Financials!P50</f>
        <v>-0.11243981704732531</v>
      </c>
      <c r="BG2" s="37">
        <f ca="1">SchD_1A_1!O14</f>
        <v>-0.10716033242280998</v>
      </c>
      <c r="BH2" s="37">
        <f ca="1">SchD_1A_1!O24</f>
        <v>-0.26859225833170297</v>
      </c>
      <c r="BI2" s="37">
        <f ca="1">SchD_1A_1!O54</f>
        <v>-4.9276571979956829E-2</v>
      </c>
      <c r="BJ2" s="37">
        <f ca="1">SchD_1A_1!O64</f>
        <v>-0.16764113638652056</v>
      </c>
      <c r="BK2" s="37">
        <f ca="1">SchD_1A_1!O62</f>
        <v>-0.2066273013295481</v>
      </c>
      <c r="BL2" s="37">
        <f ca="1">SchD_1A_1!O63</f>
        <v>21.66486296969072</v>
      </c>
      <c r="BM2" s="37">
        <f ca="1">SchD_1A_1!O104</f>
        <v>2.47397392255297</v>
      </c>
      <c r="BN2" s="37">
        <f ca="1">SchD_1A_1!O102</f>
        <v>2.4725636948254714</v>
      </c>
      <c r="BO2" s="37" t="str">
        <f ca="1">SchD_1A_1!O103</f>
        <v/>
      </c>
      <c r="BP2" s="37" t="str">
        <f ca="1">SchD_1A_1!O74</f>
        <v/>
      </c>
      <c r="BQ2" s="37">
        <f ca="1">SchD_1A_1!O84</f>
        <v>0.74088994470229474</v>
      </c>
      <c r="BR2" s="37" t="str">
        <f ca="1">SchD_1A_1!O94</f>
        <v/>
      </c>
      <c r="BS2" s="37">
        <f ca="1">SchD_1A_1!O106</f>
        <v>-0.1276643011311932</v>
      </c>
      <c r="BT2" s="37">
        <f ca="1">SchD_1A_1!O107</f>
        <v>21.705952458386641</v>
      </c>
      <c r="BU2" s="37">
        <f ca="1">Financials!P51</f>
        <v>1.9558818271681937</v>
      </c>
      <c r="BV2" s="37">
        <f ca="1">Financials!P52</f>
        <v>-1</v>
      </c>
      <c r="BW2" s="37">
        <f ca="1">Financials!P53</f>
        <v>1.9607587227019074</v>
      </c>
      <c r="BX2" s="37">
        <f ca="1">Financials!P54</f>
        <v>408.37156030207314</v>
      </c>
      <c r="BY2" s="37">
        <f ca="1">Financials!P55</f>
        <v>-1</v>
      </c>
      <c r="BZ2" s="37">
        <f ca="1">Financials!P56</f>
        <v>0</v>
      </c>
      <c r="CA2" s="37">
        <f ca="1">Financials!P57</f>
        <v>0</v>
      </c>
      <c r="CB2" s="37">
        <f ca="1">Financials!P58</f>
        <v>0</v>
      </c>
      <c r="CC2" s="37">
        <f ca="1">Financials!P59</f>
        <v>0</v>
      </c>
      <c r="CD2" s="37">
        <f ca="1">Financials!P60</f>
        <v>1.9999093542598017</v>
      </c>
      <c r="CE2" s="37">
        <f ca="1">Financials!P61</f>
        <v>3.8006704544814252E-2</v>
      </c>
      <c r="CF2" s="37">
        <f ca="1">Financials!P62</f>
        <v>7.8422393460035877E-3</v>
      </c>
      <c r="CG2" s="26">
        <f ca="1">SchBA!M29</f>
        <v>2782777.65</v>
      </c>
      <c r="CH2" s="26">
        <f ca="1">SchBA!M5</f>
        <v>0</v>
      </c>
      <c r="CI2" s="26">
        <f ca="1">SchBA!M6</f>
        <v>0</v>
      </c>
      <c r="CJ2" s="26">
        <f ca="1">SchBA!M7</f>
        <v>0</v>
      </c>
      <c r="CK2" s="26">
        <f ca="1">SchBA!M8</f>
        <v>0</v>
      </c>
      <c r="CL2" s="26">
        <f ca="1">SchBA!M9</f>
        <v>0</v>
      </c>
      <c r="CM2" s="26">
        <f ca="1">SchBA!M10</f>
        <v>0</v>
      </c>
      <c r="CN2" s="26">
        <f ca="1">SchBA!M11</f>
        <v>0</v>
      </c>
      <c r="CO2" s="26">
        <f ca="1">SchBA!M12</f>
        <v>0</v>
      </c>
      <c r="CP2" s="26">
        <f ca="1">SchBA!M13</f>
        <v>0</v>
      </c>
      <c r="CQ2" s="26">
        <f ca="1">SchBA!M14</f>
        <v>0</v>
      </c>
      <c r="CR2" s="26">
        <f ca="1">SchBA!M15</f>
        <v>1391388.825</v>
      </c>
      <c r="CS2" s="26">
        <f ca="1">SchBA!M16</f>
        <v>0</v>
      </c>
      <c r="CT2" s="26">
        <f ca="1">SchBA!M17</f>
        <v>0</v>
      </c>
      <c r="CU2" s="26">
        <f ca="1">SchBA!M18</f>
        <v>0</v>
      </c>
      <c r="CV2" s="26">
        <f ca="1">SchBA!M19</f>
        <v>0</v>
      </c>
      <c r="CW2" s="26">
        <f ca="1">SchBA!M20</f>
        <v>0</v>
      </c>
      <c r="CX2" s="26">
        <f ca="1">SchBA!M21</f>
        <v>0</v>
      </c>
      <c r="CY2" s="26">
        <f ca="1">SchBA!M22</f>
        <v>0</v>
      </c>
      <c r="CZ2" s="26">
        <f ca="1">SchBA!M23</f>
        <v>0</v>
      </c>
      <c r="DA2" s="26" t="str">
        <f ca="1">SchBA!M24</f>
        <v/>
      </c>
      <c r="DB2" s="26">
        <f ca="1">SchBA!M25</f>
        <v>0</v>
      </c>
      <c r="DC2" s="26">
        <f ca="1">SchBA!M26</f>
        <v>0</v>
      </c>
      <c r="DD2" s="26">
        <f ca="1">SchBA!M27</f>
        <v>0</v>
      </c>
      <c r="DE2" s="26">
        <f ca="1">SchBA!M28</f>
        <v>1391388.825</v>
      </c>
      <c r="DF2" s="26">
        <f ca="1">SchBA!AA29</f>
        <v>2316608.4880000004</v>
      </c>
      <c r="DG2" s="26">
        <f ca="1">SchBA!AO29</f>
        <v>5099386.1380000003</v>
      </c>
      <c r="DH2" s="37">
        <f ca="1">SchBA!N29</f>
        <v>-8.9688232667135659E-2</v>
      </c>
      <c r="DI2" s="37">
        <f ca="1">SchBA!N5</f>
        <v>0</v>
      </c>
      <c r="DJ2" s="37">
        <f ca="1">SchBA!N6</f>
        <v>0</v>
      </c>
      <c r="DK2" s="37">
        <f ca="1">SchBA!N7</f>
        <v>0</v>
      </c>
      <c r="DL2" s="37">
        <f ca="1">SchBA!N8</f>
        <v>0</v>
      </c>
      <c r="DM2" s="37">
        <f ca="1">SchBA!N9</f>
        <v>0</v>
      </c>
      <c r="DN2" s="37">
        <f ca="1">SchBA!N10</f>
        <v>0</v>
      </c>
      <c r="DO2" s="37">
        <f ca="1">SchBA!N11</f>
        <v>0</v>
      </c>
      <c r="DP2" s="37">
        <f ca="1">SchBA!N12</f>
        <v>0</v>
      </c>
      <c r="DQ2" s="37">
        <f ca="1">SchBA!N13</f>
        <v>-1</v>
      </c>
      <c r="DR2" s="37">
        <f ca="1">SchBA!N14</f>
        <v>-1</v>
      </c>
      <c r="DS2" s="37">
        <f ca="1">SchBA!N15</f>
        <v>0.15209065942274202</v>
      </c>
      <c r="DT2" s="37">
        <f ca="1">SchBA!N16</f>
        <v>0</v>
      </c>
      <c r="DU2" s="37">
        <f ca="1">SchBA!N17</f>
        <v>0</v>
      </c>
      <c r="DV2" s="37">
        <f ca="1">SchBA!N18</f>
        <v>0</v>
      </c>
      <c r="DW2" s="37">
        <f ca="1">SchBA!N19</f>
        <v>0</v>
      </c>
      <c r="DX2" s="37">
        <f ca="1">SchBA!N20</f>
        <v>0</v>
      </c>
      <c r="DY2" s="37">
        <f ca="1">SchBA!N21</f>
        <v>0</v>
      </c>
      <c r="DZ2" s="37">
        <f ca="1">SchBA!N22</f>
        <v>0</v>
      </c>
      <c r="EA2" s="37">
        <f ca="1">SchBA!N23</f>
        <v>0</v>
      </c>
      <c r="EB2" s="37">
        <f ca="1">SchBA!N24</f>
        <v>0</v>
      </c>
      <c r="EC2" s="37">
        <f ca="1">SchBA!N25</f>
        <v>0</v>
      </c>
      <c r="ED2" s="37">
        <f ca="1">SchBA!N26</f>
        <v>0</v>
      </c>
      <c r="EE2" s="37">
        <f ca="1">SchBA!N27</f>
        <v>0</v>
      </c>
      <c r="EF2" s="37">
        <f ca="1">SchBA!N28</f>
        <v>-8.9688232667135659E-2</v>
      </c>
      <c r="EG2" s="37">
        <f ca="1">SchBA!AB29</f>
        <v>0</v>
      </c>
      <c r="EH2" s="37">
        <f ca="1">SchBA!AP29</f>
        <v>-8.3089436300419983E-2</v>
      </c>
      <c r="EI2" s="37">
        <f ca="1">SchBA!O29</f>
        <v>8.7030178847799178E-2</v>
      </c>
      <c r="EJ2" s="37">
        <f ca="1">SchBA!O5</f>
        <v>0</v>
      </c>
      <c r="EK2" s="37">
        <f ca="1">SchBA!O6</f>
        <v>0</v>
      </c>
      <c r="EL2" s="37">
        <f ca="1">SchBA!O7</f>
        <v>0</v>
      </c>
      <c r="EM2" s="37">
        <f ca="1">SchBA!O8</f>
        <v>0</v>
      </c>
      <c r="EN2" s="37">
        <f ca="1">SchBA!O9</f>
        <v>0</v>
      </c>
      <c r="EO2" s="37">
        <f ca="1">SchBA!O10</f>
        <v>0</v>
      </c>
      <c r="EP2" s="37">
        <f ca="1">SchBA!O11</f>
        <v>0</v>
      </c>
      <c r="EQ2" s="37">
        <f ca="1">SchBA!O12</f>
        <v>0</v>
      </c>
      <c r="ER2" s="37">
        <f ca="1">SchBA!O13</f>
        <v>-1</v>
      </c>
      <c r="ES2" s="37">
        <f ca="1">SchBA!O14</f>
        <v>0</v>
      </c>
      <c r="ET2" s="37">
        <f ca="1">SchBA!O15</f>
        <v>0.79051609437633141</v>
      </c>
      <c r="EU2" s="37">
        <f ca="1">SchBA!O16</f>
        <v>0</v>
      </c>
      <c r="EV2" s="37">
        <f ca="1">SchBA!O17</f>
        <v>0</v>
      </c>
      <c r="EW2" s="37">
        <f ca="1">SchBA!O18</f>
        <v>0</v>
      </c>
      <c r="EX2" s="37">
        <f ca="1">SchBA!O19</f>
        <v>0</v>
      </c>
      <c r="EY2" s="37">
        <f ca="1">SchBA!O20</f>
        <v>0</v>
      </c>
      <c r="EZ2" s="37">
        <f ca="1">SchBA!O21</f>
        <v>0</v>
      </c>
      <c r="FA2" s="37">
        <f ca="1">SchBA!O22</f>
        <v>0</v>
      </c>
      <c r="FB2" s="37">
        <f ca="1">SchBA!O23</f>
        <v>0</v>
      </c>
      <c r="FC2" s="37">
        <f ca="1">SchBA!O24</f>
        <v>0</v>
      </c>
      <c r="FD2" s="37">
        <f ca="1">SchBA!O25</f>
        <v>0</v>
      </c>
      <c r="FE2" s="37">
        <f ca="1">SchBA!O26</f>
        <v>0</v>
      </c>
      <c r="FF2" s="37">
        <f ca="1">SchBA!O27</f>
        <v>0</v>
      </c>
      <c r="FG2" s="37">
        <f ca="1">SchBA!O28</f>
        <v>8.7030178847799178E-2</v>
      </c>
      <c r="FH2" s="37">
        <f ca="1">SchBA!AC29</f>
        <v>0</v>
      </c>
      <c r="FI2" s="37">
        <f ca="1">SchBA!AQ29</f>
        <v>4.2851920327192428E-2</v>
      </c>
      <c r="FJ2" s="37">
        <f ca="1">Financials!N33</f>
        <v>2.6139991999999997E-2</v>
      </c>
      <c r="FK2" s="37">
        <f ca="1">Financials!N34</f>
        <v>0.82501673600000003</v>
      </c>
      <c r="FL2" s="37">
        <f ca="1">Financials!N35</f>
        <v>7.6793589999999995E-2</v>
      </c>
      <c r="FM2" s="37">
        <f ca="1">Financials!N36</f>
        <v>1.0285785119999999</v>
      </c>
      <c r="FN2" s="37">
        <f ca="1">Financials!N37</f>
        <v>8.227978200000001E-2</v>
      </c>
      <c r="FO2" s="26">
        <f ca="1">Financials!N38</f>
        <v>25681205.577</v>
      </c>
      <c r="FP2" s="26">
        <f ca="1">Financials!N42</f>
        <v>5110715.8670000006</v>
      </c>
      <c r="FQ2" s="26">
        <f ca="1">Financials!N43</f>
        <v>3438866.8810000001</v>
      </c>
      <c r="FR2" s="26">
        <f ca="1">Financials!N44</f>
        <v>1700037.416</v>
      </c>
      <c r="FS2" s="26">
        <f ca="1">Financials!N45</f>
        <v>611429.14600000007</v>
      </c>
      <c r="FT2" s="26">
        <f ca="1">Financials!N46</f>
        <v>101644.997</v>
      </c>
      <c r="FU2" s="26">
        <f ca="1">Financials!N47</f>
        <v>6238.3710000000001</v>
      </c>
      <c r="FV2" s="37">
        <f ca="1">Financials!O33</f>
        <v>-0.32772536785894124</v>
      </c>
      <c r="FW2" s="37">
        <f ca="1">Financials!O34</f>
        <v>-0.11103538555307613</v>
      </c>
      <c r="FX2" s="37">
        <f ca="1">Financials!O35</f>
        <v>-0.2806469532054664</v>
      </c>
      <c r="FY2" s="37">
        <f ca="1">Financials!O36</f>
        <v>4.3274297008359275E-2</v>
      </c>
      <c r="FZ2" s="37">
        <f ca="1">Financials!O37</f>
        <v>-0.37422881082981885</v>
      </c>
      <c r="GA2" s="37">
        <f ca="1">Financials!O38</f>
        <v>-3.9266283159995585E-2</v>
      </c>
      <c r="GB2" s="37">
        <f ca="1">Financials!O42</f>
        <v>-0.10319018130434954</v>
      </c>
      <c r="GC2" s="37">
        <f ca="1">Financials!O43</f>
        <v>0.37626427934265516</v>
      </c>
      <c r="GD2" s="37">
        <f ca="1">Financials!O44</f>
        <v>-0.1167553492406348</v>
      </c>
      <c r="GE2" s="37">
        <f ca="1">Financials!O45</f>
        <v>-0.69073613473602913</v>
      </c>
      <c r="GF2" s="37">
        <f ca="1">Financials!O46</f>
        <v>0.69783362803429827</v>
      </c>
      <c r="GG2" s="37">
        <f ca="1">Financials!O47</f>
        <v>-7.1356182944158686E-2</v>
      </c>
      <c r="GH2" s="37">
        <f ca="1">Financials!P33</f>
        <v>2.2183087597614257</v>
      </c>
      <c r="GI2" s="37">
        <f ca="1">Financials!P34</f>
        <v>1.4990425365098758E-2</v>
      </c>
      <c r="GJ2" s="37">
        <f ca="1">Financials!P35</f>
        <v>1.8693365805376607</v>
      </c>
      <c r="GK2" s="37">
        <f ca="1">Financials!P36</f>
        <v>-7.5114739129713892E-2</v>
      </c>
      <c r="GL2" s="37">
        <f ca="1">Financials!P37</f>
        <v>-0.24148583105053267</v>
      </c>
      <c r="GM2" s="37">
        <f ca="1">Financials!P38</f>
        <v>7.8422393460035877E-3</v>
      </c>
      <c r="GN2" s="37">
        <f ca="1">Financials!P42</f>
        <v>3.5055883390973097E-3</v>
      </c>
      <c r="GO2" s="37">
        <f ca="1">Financials!P43</f>
        <v>-0.1632960646919388</v>
      </c>
      <c r="GP2" s="37">
        <f ca="1">Financials!P44</f>
        <v>-0.19546269079174672</v>
      </c>
      <c r="GQ2" s="37">
        <f ca="1">Financials!P45</f>
        <v>-3.7208826215035566</v>
      </c>
      <c r="GR2" s="37">
        <f ca="1">Financials!P46</f>
        <v>0.1719590302619558</v>
      </c>
      <c r="GS2" s="37">
        <f ca="1">Financials!P47</f>
        <v>-0.24836069119233051</v>
      </c>
      <c r="GT2" s="37">
        <f ca="1">Financials!N7</f>
        <v>1.601263943</v>
      </c>
      <c r="GU2" s="37">
        <f ca="1">Financials!N8</f>
        <v>0.56296397900000006</v>
      </c>
      <c r="GV2" s="37">
        <f ca="1">Financials!N9</f>
        <v>-7.8508778000000001E-2</v>
      </c>
      <c r="GW2" s="37">
        <f ca="1">Financials!N10</f>
        <v>6.963917E-2</v>
      </c>
      <c r="GX2" s="37">
        <f ca="1">Financials!N11</f>
        <v>0.86</v>
      </c>
      <c r="GY2" s="37">
        <f ca="1">Financials!N12</f>
        <v>2.6000000000000002E-2</v>
      </c>
      <c r="GZ2" s="37">
        <f ca="1">Financials!N13</f>
        <v>-6.3287788999999997E-2</v>
      </c>
      <c r="HA2" s="37">
        <f ca="1">Financials!N14</f>
        <v>-0.04</v>
      </c>
      <c r="HB2" s="37">
        <f ca="1">Financials!N15</f>
        <v>1.099387117</v>
      </c>
      <c r="HC2" s="37">
        <f ca="1">Financials!N16</f>
        <v>0.40016287499999997</v>
      </c>
      <c r="HD2" s="37" t="str">
        <f ca="1">Financials!N17</f>
        <v>NM</v>
      </c>
      <c r="HE2" s="37" t="str">
        <f ca="1">Financials!N18</f>
        <v>NM</v>
      </c>
      <c r="HF2" s="37">
        <f ca="1">Financials!N19</f>
        <v>-5.8493112E-2</v>
      </c>
      <c r="HG2" s="37">
        <f ca="1">Financials!N20</f>
        <v>-3.5264112E-2</v>
      </c>
      <c r="HH2" s="37">
        <f ca="1">Financials!N21</f>
        <v>-6.3287788999999997E-2</v>
      </c>
      <c r="HI2" s="37">
        <f ca="1">Financials!N22</f>
        <v>7.856809256</v>
      </c>
      <c r="HJ2" s="37" t="str">
        <f ca="1">Financials!N23</f>
        <v>NM</v>
      </c>
      <c r="HK2" s="37">
        <f ca="1">Financials!N24</f>
        <v>2.0146489E-2</v>
      </c>
      <c r="HL2" s="37">
        <f ca="1">Financials!N25</f>
        <v>2.9002786999999999E-2</v>
      </c>
      <c r="HM2" s="37">
        <f ca="1">Financials!N26</f>
        <v>0.113940287</v>
      </c>
      <c r="HN2" s="37" t="str">
        <f ca="1">Financials!N27</f>
        <v>NM</v>
      </c>
      <c r="HO2" s="37" t="str">
        <f ca="1">Financials!N28</f>
        <v>NM</v>
      </c>
      <c r="HP2" s="37" t="str">
        <f ca="1">Financials!N29</f>
        <v>NM</v>
      </c>
      <c r="HQ2" s="37">
        <f ca="1">Financials!N30</f>
        <v>5.0000000000000001E-3</v>
      </c>
      <c r="HR2" s="37" t="str">
        <f ca="1">Financials!N31</f>
        <v>NM</v>
      </c>
      <c r="HS2" s="37">
        <f ca="1">Financials!O7</f>
        <v>9.3479314604351771E-2</v>
      </c>
      <c r="HT2" s="37">
        <f ca="1">Financials!O8</f>
        <v>-1.6249376112790426E-2</v>
      </c>
      <c r="HU2" s="37">
        <f ca="1">Financials!O9</f>
        <v>0.80664156260289954</v>
      </c>
      <c r="HV2" s="37">
        <f ca="1">Financials!O10</f>
        <v>0.26016508793701099</v>
      </c>
      <c r="HW2" s="37">
        <f ca="1">Financials!O11</f>
        <v>4.1162227602905554E-2</v>
      </c>
      <c r="HX2" s="37">
        <f ca="1">Financials!O12</f>
        <v>0</v>
      </c>
      <c r="HY2" s="37">
        <f ca="1">Financials!O13</f>
        <v>-3.803554219394619</v>
      </c>
      <c r="HZ2" s="37">
        <f ca="1">Financials!O14</f>
        <v>-3</v>
      </c>
      <c r="IA2" s="37">
        <f ca="1">Financials!O15</f>
        <v>4.9357399557967474E-2</v>
      </c>
      <c r="IB2" s="37">
        <f ca="1">Financials!O16</f>
        <v>-1.6862521874074332E-2</v>
      </c>
      <c r="IC2" s="37" t="str">
        <f ca="1">Financials!O17</f>
        <v/>
      </c>
      <c r="ID2" s="37" t="str">
        <f ca="1">Financials!O18</f>
        <v/>
      </c>
      <c r="IE2" s="37">
        <f ca="1">Financials!O19</f>
        <v>0.40511648021698132</v>
      </c>
      <c r="IF2" s="37">
        <f ca="1">Financials!O20</f>
        <v>-2.5621473202485303</v>
      </c>
      <c r="IG2" s="37">
        <f ca="1">Financials!O21</f>
        <v>-3.803554219394619</v>
      </c>
      <c r="IH2" s="37">
        <f ca="1">Financials!O22</f>
        <v>6.0767134265863554E-2</v>
      </c>
      <c r="II2" s="37" t="str">
        <f ca="1">Financials!O23</f>
        <v/>
      </c>
      <c r="IJ2" s="37">
        <f ca="1">Financials!O24</f>
        <v>0.20787116465547562</v>
      </c>
      <c r="IK2" s="37">
        <f ca="1">Financials!O25</f>
        <v>3.3400314992905411E-2</v>
      </c>
      <c r="IL2" s="37">
        <f ca="1">Financials!O26</f>
        <v>-0.26612734397540472</v>
      </c>
      <c r="IM2" s="37" t="str">
        <f ca="1">Financials!O27</f>
        <v/>
      </c>
      <c r="IN2" s="37" t="str">
        <f ca="1">Financials!O28</f>
        <v/>
      </c>
      <c r="IO2" s="37" t="str">
        <f ca="1">Financials!O29</f>
        <v/>
      </c>
      <c r="IP2" s="37">
        <f ca="1">Financials!O30</f>
        <v>-0.16666666666666663</v>
      </c>
      <c r="IQ2" s="37" t="str">
        <f ca="1">Financials!O31</f>
        <v/>
      </c>
      <c r="IR2" s="37">
        <f ca="1">Financials!P7</f>
        <v>-1.7802977381071505E-2</v>
      </c>
      <c r="IS2" s="37">
        <f ca="1">Financials!P8</f>
        <v>-8.7415528662075803E-2</v>
      </c>
      <c r="IT2" s="37">
        <f ca="1">Financials!P9</f>
        <v>0.9966128008549533</v>
      </c>
      <c r="IU2" s="37">
        <f ca="1">Financials!P10</f>
        <v>0.1683502950547473</v>
      </c>
      <c r="IV2" s="37">
        <f ca="1">Financials!P11</f>
        <v>6.6997518610421913E-2</v>
      </c>
      <c r="IW2" s="37">
        <f ca="1">Financials!P12</f>
        <v>-0.29729729729729737</v>
      </c>
      <c r="IX2" s="37">
        <f ca="1">Financials!P13</f>
        <v>0.32786752719013368</v>
      </c>
      <c r="IY2" s="37">
        <f ca="1">Financials!P14</f>
        <v>-2.3333333333333335</v>
      </c>
      <c r="IZ2" s="37">
        <f ca="1">Financials!P15</f>
        <v>-6.097324864135234E-2</v>
      </c>
      <c r="JA2" s="37">
        <f ca="1">Financials!P16</f>
        <v>-0.30389242447238363</v>
      </c>
      <c r="JB2" s="37" t="str">
        <f ca="1">Financials!P17</f>
        <v/>
      </c>
      <c r="JC2" s="37" t="str">
        <f ca="1">Financials!P18</f>
        <v/>
      </c>
      <c r="JD2" s="37">
        <f ca="1">Financials!P19</f>
        <v>-0.69026429079557072</v>
      </c>
      <c r="JE2" s="37">
        <f ca="1">Financials!P20</f>
        <v>-2.250845206375502</v>
      </c>
      <c r="JF2" s="37">
        <f ca="1">Financials!P21</f>
        <v>0.32786752719013368</v>
      </c>
      <c r="JG2" s="37">
        <f ca="1">Financials!P22</f>
        <v>-0.13171486843501201</v>
      </c>
      <c r="JH2" s="37" t="str">
        <f ca="1">Financials!P23</f>
        <v/>
      </c>
      <c r="JI2" s="37">
        <f ca="1">Financials!P24</f>
        <v>-0.34277901103853925</v>
      </c>
      <c r="JJ2" s="37">
        <f ca="1">Financials!P25</f>
        <v>0.54665264005300362</v>
      </c>
      <c r="JK2" s="37">
        <f ca="1">Financials!P26</f>
        <v>-0.12040725828776688</v>
      </c>
      <c r="JL2" s="37" t="str">
        <f ca="1">Financials!P27</f>
        <v/>
      </c>
      <c r="JM2" s="37" t="str">
        <f ca="1">Financials!P28</f>
        <v/>
      </c>
      <c r="JN2" s="37" t="str">
        <f ca="1">Financials!P29</f>
        <v/>
      </c>
      <c r="JO2" s="37">
        <f ca="1">Financials!P30</f>
        <v>0.25</v>
      </c>
      <c r="JP2" s="37" t="str">
        <f ca="1">Financials!P31</f>
        <v/>
      </c>
    </row>
    <row r="8" spans="1:276" x14ac:dyDescent="0.25">
      <c r="B8" s="26"/>
    </row>
    <row r="9" spans="1:276" x14ac:dyDescent="0.25">
      <c r="B9" s="26"/>
      <c r="C9" s="27"/>
    </row>
    <row r="10" spans="1:276" x14ac:dyDescent="0.25">
      <c r="B10" s="26"/>
    </row>
    <row r="11" spans="1:276" x14ac:dyDescent="0.25">
      <c r="B11" s="26"/>
    </row>
    <row r="12" spans="1:276" x14ac:dyDescent="0.25">
      <c r="B12" s="26"/>
    </row>
    <row r="13" spans="1:276" x14ac:dyDescent="0.25">
      <c r="B13" s="26"/>
    </row>
    <row r="14" spans="1:276" x14ac:dyDescent="0.25">
      <c r="B14" s="26"/>
    </row>
    <row r="15" spans="1:276" x14ac:dyDescent="0.25">
      <c r="B15" s="26"/>
    </row>
    <row r="16" spans="1:276" x14ac:dyDescent="0.25">
      <c r="B16" s="26"/>
    </row>
    <row r="17" spans="2:2" x14ac:dyDescent="0.25">
      <c r="B17" s="26"/>
    </row>
    <row r="18" spans="2:2" x14ac:dyDescent="0.25">
      <c r="B18" s="26"/>
    </row>
    <row r="19" spans="2:2" x14ac:dyDescent="0.25">
      <c r="B19" s="26"/>
    </row>
    <row r="20" spans="2:2" x14ac:dyDescent="0.25">
      <c r="B20" s="26"/>
    </row>
    <row r="21" spans="2:2" x14ac:dyDescent="0.25">
      <c r="B21" s="26"/>
    </row>
    <row r="22" spans="2:2" x14ac:dyDescent="0.25">
      <c r="B22" s="26"/>
    </row>
    <row r="23" spans="2:2" x14ac:dyDescent="0.25">
      <c r="B23" s="26"/>
    </row>
    <row r="24" spans="2:2" x14ac:dyDescent="0.25">
      <c r="B24" s="26"/>
    </row>
    <row r="25" spans="2:2" x14ac:dyDescent="0.25">
      <c r="B25" s="26"/>
    </row>
    <row r="26" spans="2:2" x14ac:dyDescent="0.25">
      <c r="B26" s="26"/>
    </row>
    <row r="27" spans="2:2" x14ac:dyDescent="0.25">
      <c r="B27" s="26"/>
    </row>
    <row r="28" spans="2:2" x14ac:dyDescent="0.25">
      <c r="B28" s="26"/>
    </row>
    <row r="29" spans="2:2" x14ac:dyDescent="0.25">
      <c r="B29" s="26"/>
    </row>
    <row r="30" spans="2:2" x14ac:dyDescent="0.25">
      <c r="B30" s="26"/>
    </row>
    <row r="31" spans="2:2" x14ac:dyDescent="0.25">
      <c r="B31" s="26"/>
    </row>
    <row r="32" spans="2:2" x14ac:dyDescent="0.25">
      <c r="B32" s="26"/>
    </row>
    <row r="33" spans="2:3" x14ac:dyDescent="0.25">
      <c r="B33" s="26"/>
    </row>
    <row r="34" spans="2:3" x14ac:dyDescent="0.25">
      <c r="B34" s="26"/>
    </row>
    <row r="35" spans="2:3" x14ac:dyDescent="0.25">
      <c r="B35" s="26"/>
    </row>
    <row r="36" spans="2:3" x14ac:dyDescent="0.25">
      <c r="B36" s="37"/>
    </row>
    <row r="37" spans="2:3" x14ac:dyDescent="0.25">
      <c r="B37" s="37"/>
    </row>
    <row r="38" spans="2:3" x14ac:dyDescent="0.25">
      <c r="B38" s="37"/>
    </row>
    <row r="39" spans="2:3" x14ac:dyDescent="0.25">
      <c r="B39" s="37"/>
    </row>
    <row r="40" spans="2:3" x14ac:dyDescent="0.25">
      <c r="B40" s="37"/>
    </row>
    <row r="41" spans="2:3" x14ac:dyDescent="0.25">
      <c r="B41" s="37"/>
    </row>
    <row r="42" spans="2:3" x14ac:dyDescent="0.25">
      <c r="B42" s="37"/>
    </row>
    <row r="43" spans="2:3" x14ac:dyDescent="0.25">
      <c r="B43" s="37"/>
    </row>
    <row r="44" spans="2:3" x14ac:dyDescent="0.25">
      <c r="B44" s="37"/>
    </row>
    <row r="45" spans="2:3" x14ac:dyDescent="0.25">
      <c r="B45" s="37"/>
    </row>
    <row r="46" spans="2:3" x14ac:dyDescent="0.25">
      <c r="B46" s="37"/>
      <c r="C46" s="26"/>
    </row>
    <row r="47" spans="2:3" x14ac:dyDescent="0.25">
      <c r="B47" s="37"/>
    </row>
    <row r="48" spans="2:3"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26"/>
    </row>
    <row r="93" spans="2:2" x14ac:dyDescent="0.25">
      <c r="B93" s="26"/>
    </row>
    <row r="94" spans="2:2" x14ac:dyDescent="0.25">
      <c r="B94" s="26"/>
    </row>
    <row r="95" spans="2:2" x14ac:dyDescent="0.25">
      <c r="B95" s="26"/>
    </row>
    <row r="96" spans="2:2" x14ac:dyDescent="0.25">
      <c r="B96" s="26"/>
    </row>
    <row r="97" spans="2:2" x14ac:dyDescent="0.25">
      <c r="B97" s="26"/>
    </row>
    <row r="98" spans="2:2" x14ac:dyDescent="0.25">
      <c r="B98" s="26"/>
    </row>
    <row r="99" spans="2:2" x14ac:dyDescent="0.25">
      <c r="B99" s="26"/>
    </row>
    <row r="100" spans="2:2" x14ac:dyDescent="0.25">
      <c r="B100" s="26"/>
    </row>
    <row r="101" spans="2:2" x14ac:dyDescent="0.25">
      <c r="B101" s="26"/>
    </row>
    <row r="102" spans="2:2" x14ac:dyDescent="0.25">
      <c r="B102" s="26"/>
    </row>
    <row r="103" spans="2:2" x14ac:dyDescent="0.25">
      <c r="B103" s="26"/>
    </row>
    <row r="104" spans="2:2" x14ac:dyDescent="0.25">
      <c r="B104" s="26"/>
    </row>
    <row r="105" spans="2:2" x14ac:dyDescent="0.25">
      <c r="B105" s="26"/>
    </row>
    <row r="106" spans="2:2" x14ac:dyDescent="0.25">
      <c r="B106" s="26"/>
    </row>
    <row r="107" spans="2:2" x14ac:dyDescent="0.25">
      <c r="B107" s="26"/>
    </row>
    <row r="108" spans="2:2" x14ac:dyDescent="0.25">
      <c r="B108" s="26"/>
    </row>
    <row r="109" spans="2:2" x14ac:dyDescent="0.25">
      <c r="B109" s="26"/>
    </row>
    <row r="110" spans="2:2" x14ac:dyDescent="0.25">
      <c r="B110" s="26"/>
    </row>
    <row r="111" spans="2:2" x14ac:dyDescent="0.25">
      <c r="B111" s="26"/>
    </row>
    <row r="112" spans="2:2" x14ac:dyDescent="0.25">
      <c r="B112" s="26"/>
    </row>
    <row r="113" spans="2:2" x14ac:dyDescent="0.25">
      <c r="B113" s="26"/>
    </row>
    <row r="114" spans="2:2" x14ac:dyDescent="0.25">
      <c r="B114" s="26"/>
    </row>
    <row r="115" spans="2:2" x14ac:dyDescent="0.25">
      <c r="B115" s="26"/>
    </row>
    <row r="116" spans="2:2" x14ac:dyDescent="0.25">
      <c r="B116" s="26"/>
    </row>
    <row r="117" spans="2:2" x14ac:dyDescent="0.25">
      <c r="B117" s="26"/>
    </row>
    <row r="118" spans="2:2" x14ac:dyDescent="0.25">
      <c r="B118" s="26"/>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26"/>
    </row>
    <row r="179" spans="2:2" x14ac:dyDescent="0.25">
      <c r="B179" s="26"/>
    </row>
    <row r="180" spans="2:2" x14ac:dyDescent="0.25">
      <c r="B180" s="26"/>
    </row>
    <row r="181" spans="2:2" x14ac:dyDescent="0.25">
      <c r="B181" s="26"/>
    </row>
    <row r="182" spans="2:2" x14ac:dyDescent="0.25">
      <c r="B182" s="26"/>
    </row>
    <row r="183" spans="2:2" x14ac:dyDescent="0.25">
      <c r="B183" s="26"/>
    </row>
    <row r="184" spans="2:2" x14ac:dyDescent="0.25">
      <c r="B184" s="26"/>
    </row>
    <row r="185" spans="2:2" x14ac:dyDescent="0.25">
      <c r="B185" s="37"/>
    </row>
    <row r="186" spans="2:2" x14ac:dyDescent="0.25">
      <c r="B186" s="37"/>
    </row>
    <row r="187" spans="2:2" x14ac:dyDescent="0.25">
      <c r="B187" s="37"/>
    </row>
    <row r="188" spans="2:2" x14ac:dyDescent="0.25">
      <c r="B188" s="37"/>
    </row>
    <row r="189" spans="2:2" x14ac:dyDescent="0.25">
      <c r="B189" s="37"/>
    </row>
    <row r="190" spans="2:2" x14ac:dyDescent="0.25">
      <c r="B190" s="37"/>
    </row>
    <row r="191" spans="2:2" x14ac:dyDescent="0.25">
      <c r="B191" s="37"/>
    </row>
    <row r="192" spans="2:2" x14ac:dyDescent="0.25">
      <c r="B192" s="37"/>
    </row>
    <row r="193" spans="2:2" x14ac:dyDescent="0.25">
      <c r="B193" s="37"/>
    </row>
    <row r="194" spans="2:2" x14ac:dyDescent="0.25">
      <c r="B194" s="37"/>
    </row>
    <row r="195" spans="2:2" x14ac:dyDescent="0.25">
      <c r="B195" s="37"/>
    </row>
    <row r="196" spans="2:2" x14ac:dyDescent="0.25">
      <c r="B196" s="37"/>
    </row>
    <row r="197" spans="2:2" x14ac:dyDescent="0.25">
      <c r="B197" s="37"/>
    </row>
    <row r="198" spans="2:2" x14ac:dyDescent="0.25">
      <c r="B198" s="37"/>
    </row>
    <row r="199" spans="2:2" x14ac:dyDescent="0.25">
      <c r="B199" s="37"/>
    </row>
    <row r="200" spans="2:2" x14ac:dyDescent="0.25">
      <c r="B200" s="37"/>
    </row>
    <row r="201" spans="2:2" x14ac:dyDescent="0.25">
      <c r="B201" s="37"/>
    </row>
    <row r="202" spans="2:2" x14ac:dyDescent="0.25">
      <c r="B202" s="37"/>
    </row>
    <row r="203" spans="2:2" x14ac:dyDescent="0.25">
      <c r="B203" s="37"/>
    </row>
    <row r="204" spans="2:2" x14ac:dyDescent="0.25">
      <c r="B204" s="37"/>
    </row>
    <row r="205" spans="2:2" x14ac:dyDescent="0.25">
      <c r="B205" s="37"/>
    </row>
    <row r="206" spans="2:2" x14ac:dyDescent="0.25">
      <c r="B206" s="37"/>
    </row>
    <row r="207" spans="2:2" x14ac:dyDescent="0.25">
      <c r="B207" s="37"/>
    </row>
    <row r="208" spans="2:2" x14ac:dyDescent="0.25">
      <c r="B208" s="37"/>
    </row>
    <row r="209" spans="2:2" x14ac:dyDescent="0.25">
      <c r="B209" s="37"/>
    </row>
    <row r="210" spans="2:2" x14ac:dyDescent="0.25">
      <c r="B210" s="37"/>
    </row>
    <row r="211" spans="2:2" x14ac:dyDescent="0.25">
      <c r="B211" s="37"/>
    </row>
    <row r="212" spans="2:2" x14ac:dyDescent="0.25">
      <c r="B212" s="37"/>
    </row>
    <row r="213" spans="2:2" x14ac:dyDescent="0.25">
      <c r="B213" s="37"/>
    </row>
    <row r="214" spans="2:2" x14ac:dyDescent="0.25">
      <c r="B214" s="37"/>
    </row>
    <row r="215" spans="2:2" x14ac:dyDescent="0.25">
      <c r="B215" s="37"/>
    </row>
    <row r="216" spans="2:2" x14ac:dyDescent="0.25">
      <c r="B216" s="37"/>
    </row>
    <row r="217" spans="2:2" x14ac:dyDescent="0.25">
      <c r="B217" s="37"/>
    </row>
    <row r="218" spans="2:2" x14ac:dyDescent="0.25">
      <c r="B218" s="37"/>
    </row>
    <row r="219" spans="2:2" x14ac:dyDescent="0.25">
      <c r="B219" s="37"/>
    </row>
    <row r="220" spans="2:2" x14ac:dyDescent="0.25">
      <c r="B220" s="37"/>
    </row>
    <row r="221" spans="2:2" x14ac:dyDescent="0.25">
      <c r="B221" s="37"/>
    </row>
    <row r="222" spans="2:2" x14ac:dyDescent="0.25">
      <c r="B222" s="37"/>
    </row>
    <row r="223" spans="2:2" x14ac:dyDescent="0.25">
      <c r="B223" s="37"/>
    </row>
    <row r="224" spans="2:2" x14ac:dyDescent="0.25">
      <c r="B224" s="37"/>
    </row>
    <row r="225" spans="2:2" x14ac:dyDescent="0.25">
      <c r="B225" s="37"/>
    </row>
    <row r="226" spans="2:2" x14ac:dyDescent="0.25">
      <c r="B226" s="37"/>
    </row>
    <row r="227" spans="2:2" x14ac:dyDescent="0.25">
      <c r="B227" s="37"/>
    </row>
    <row r="228" spans="2:2" x14ac:dyDescent="0.25">
      <c r="B228" s="37"/>
    </row>
    <row r="229" spans="2:2" x14ac:dyDescent="0.25">
      <c r="B229" s="37"/>
    </row>
    <row r="230" spans="2:2" x14ac:dyDescent="0.25">
      <c r="B230" s="37"/>
    </row>
    <row r="231" spans="2:2" x14ac:dyDescent="0.25">
      <c r="B231" s="37"/>
    </row>
    <row r="232" spans="2:2" x14ac:dyDescent="0.25">
      <c r="B232" s="37"/>
    </row>
    <row r="233" spans="2:2" x14ac:dyDescent="0.25">
      <c r="B233" s="37"/>
    </row>
    <row r="234" spans="2:2" x14ac:dyDescent="0.25">
      <c r="B234" s="37"/>
    </row>
    <row r="235" spans="2:2" x14ac:dyDescent="0.25">
      <c r="B235" s="37"/>
    </row>
    <row r="236" spans="2:2" x14ac:dyDescent="0.25">
      <c r="B236" s="37"/>
    </row>
    <row r="237" spans="2:2" x14ac:dyDescent="0.25">
      <c r="B237" s="37"/>
    </row>
    <row r="238" spans="2:2" x14ac:dyDescent="0.25">
      <c r="B238" s="37"/>
    </row>
    <row r="239" spans="2:2" x14ac:dyDescent="0.25">
      <c r="B239" s="37"/>
    </row>
    <row r="240" spans="2:2" x14ac:dyDescent="0.25">
      <c r="B240" s="37"/>
    </row>
    <row r="241" spans="2:2" x14ac:dyDescent="0.25">
      <c r="B241" s="37"/>
    </row>
    <row r="242" spans="2:2" x14ac:dyDescent="0.25">
      <c r="B242" s="37"/>
    </row>
    <row r="243" spans="2:2" x14ac:dyDescent="0.25">
      <c r="B243" s="37"/>
    </row>
    <row r="244" spans="2:2" x14ac:dyDescent="0.25">
      <c r="B244" s="37"/>
    </row>
    <row r="245" spans="2:2" x14ac:dyDescent="0.25">
      <c r="B245" s="37"/>
    </row>
    <row r="246" spans="2:2" x14ac:dyDescent="0.25">
      <c r="B246" s="37"/>
    </row>
    <row r="247" spans="2:2" x14ac:dyDescent="0.25">
      <c r="B247" s="37"/>
    </row>
    <row r="248" spans="2:2" x14ac:dyDescent="0.25">
      <c r="B248" s="37"/>
    </row>
    <row r="249" spans="2:2" x14ac:dyDescent="0.25">
      <c r="B249" s="37"/>
    </row>
    <row r="250" spans="2:2" x14ac:dyDescent="0.25">
      <c r="B250" s="37"/>
    </row>
    <row r="251" spans="2:2" x14ac:dyDescent="0.25">
      <c r="B251" s="37"/>
    </row>
    <row r="252" spans="2:2" x14ac:dyDescent="0.25">
      <c r="B252" s="37"/>
    </row>
    <row r="253" spans="2:2" x14ac:dyDescent="0.25">
      <c r="B253" s="37"/>
    </row>
    <row r="254" spans="2:2" x14ac:dyDescent="0.25">
      <c r="B254" s="37"/>
    </row>
    <row r="255" spans="2:2" x14ac:dyDescent="0.25">
      <c r="B255" s="37"/>
    </row>
    <row r="256" spans="2:2" x14ac:dyDescent="0.25">
      <c r="B256" s="37"/>
    </row>
    <row r="257" spans="2:2" x14ac:dyDescent="0.25">
      <c r="B257" s="37"/>
    </row>
    <row r="258" spans="2:2" x14ac:dyDescent="0.25">
      <c r="B258" s="37"/>
    </row>
    <row r="259" spans="2:2" x14ac:dyDescent="0.25">
      <c r="B259" s="37"/>
    </row>
    <row r="260" spans="2:2" x14ac:dyDescent="0.25">
      <c r="B260" s="37"/>
    </row>
    <row r="261" spans="2:2" x14ac:dyDescent="0.25">
      <c r="B261" s="37"/>
    </row>
    <row r="262" spans="2:2" x14ac:dyDescent="0.25">
      <c r="B262" s="37"/>
    </row>
    <row r="263" spans="2:2" x14ac:dyDescent="0.25">
      <c r="B263" s="37"/>
    </row>
    <row r="264" spans="2:2" x14ac:dyDescent="0.25">
      <c r="B264" s="37"/>
    </row>
    <row r="265" spans="2:2" x14ac:dyDescent="0.25">
      <c r="B265" s="37"/>
    </row>
    <row r="266" spans="2:2" x14ac:dyDescent="0.25">
      <c r="B266" s="37"/>
    </row>
    <row r="267" spans="2:2" x14ac:dyDescent="0.25">
      <c r="B267" s="37"/>
    </row>
    <row r="268" spans="2:2" x14ac:dyDescent="0.25">
      <c r="B268" s="37"/>
    </row>
    <row r="269" spans="2:2" x14ac:dyDescent="0.25">
      <c r="B269" s="37"/>
    </row>
    <row r="270" spans="2:2" x14ac:dyDescent="0.25">
      <c r="B270" s="37"/>
    </row>
    <row r="271" spans="2:2" x14ac:dyDescent="0.25">
      <c r="B271" s="37"/>
    </row>
    <row r="272" spans="2:2" x14ac:dyDescent="0.25">
      <c r="B272" s="37"/>
    </row>
    <row r="273" spans="2:2" x14ac:dyDescent="0.25">
      <c r="B273" s="37"/>
    </row>
    <row r="274" spans="2:2" x14ac:dyDescent="0.25">
      <c r="B274" s="37"/>
    </row>
    <row r="275" spans="2:2" x14ac:dyDescent="0.25">
      <c r="B275" s="37"/>
    </row>
    <row r="276" spans="2:2" x14ac:dyDescent="0.25">
      <c r="B276" s="37"/>
    </row>
    <row r="277" spans="2:2" x14ac:dyDescent="0.25">
      <c r="B277" s="37"/>
    </row>
    <row r="278" spans="2:2" x14ac:dyDescent="0.25">
      <c r="B278" s="37"/>
    </row>
    <row r="279" spans="2:2" x14ac:dyDescent="0.25">
      <c r="B279" s="37"/>
    </row>
    <row r="280" spans="2:2" x14ac:dyDescent="0.25">
      <c r="B280" s="37"/>
    </row>
    <row r="281" spans="2:2" x14ac:dyDescent="0.25">
      <c r="B281" s="37"/>
    </row>
    <row r="282" spans="2:2" x14ac:dyDescent="0.25">
      <c r="B282" s="37"/>
    </row>
    <row r="283" spans="2:2" x14ac:dyDescent="0.25">
      <c r="B283" s="3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35"/>
  <sheetViews>
    <sheetView workbookViewId="0"/>
  </sheetViews>
  <sheetFormatPr defaultColWidth="9.125" defaultRowHeight="12.75" x14ac:dyDescent="0.2"/>
  <cols>
    <col min="1" max="1" width="25.25" style="7" customWidth="1"/>
    <col min="2" max="2" width="23.125" style="7" bestFit="1" customWidth="1"/>
    <col min="3" max="3" width="36.875" style="7" customWidth="1"/>
    <col min="4" max="4" width="8.75" style="7" customWidth="1"/>
    <col min="5" max="5" width="9.125" style="7" bestFit="1" customWidth="1"/>
    <col min="6" max="6" width="8.75" style="7" customWidth="1"/>
    <col min="7" max="7" width="9.125" style="7" bestFit="1" customWidth="1"/>
    <col min="8" max="8" width="12.25" style="7" bestFit="1" customWidth="1"/>
    <col min="9" max="9" width="9.125" style="7" bestFit="1" customWidth="1"/>
    <col min="10" max="10" width="7.625" style="7" bestFit="1" customWidth="1"/>
    <col min="11" max="11" width="9.125" style="7" bestFit="1" customWidth="1"/>
    <col min="12" max="12" width="12.25" style="7" bestFit="1" customWidth="1"/>
    <col min="13" max="13" width="9.125" style="7" bestFit="1" customWidth="1"/>
    <col min="14" max="14" width="8.875" style="7" bestFit="1" customWidth="1"/>
    <col min="15" max="15" width="12.25" style="7" bestFit="1" customWidth="1"/>
    <col min="16" max="16" width="10.125" style="7" bestFit="1" customWidth="1"/>
    <col min="17" max="17" width="36.875" style="7" bestFit="1" customWidth="1"/>
    <col min="18" max="18" width="9.125" style="7" bestFit="1" customWidth="1"/>
    <col min="19" max="19" width="9.75" style="7" bestFit="1" customWidth="1"/>
    <col min="20" max="20" width="8.875" style="7" bestFit="1" customWidth="1"/>
    <col min="21" max="21" width="17.875" style="7" customWidth="1"/>
    <col min="22" max="22" width="7.875" style="7" bestFit="1" customWidth="1"/>
    <col min="23" max="23" width="8" style="7" customWidth="1"/>
    <col min="24" max="24" width="7.875" style="7" bestFit="1" customWidth="1"/>
    <col min="25" max="25" width="9.125" style="7" bestFit="1" customWidth="1"/>
    <col min="26" max="26" width="7.25" style="7" bestFit="1" customWidth="1"/>
    <col min="27" max="27" width="9.125" style="7" bestFit="1" customWidth="1"/>
    <col min="28" max="28" width="9.25" style="7" bestFit="1" customWidth="1"/>
    <col min="29" max="29" width="10.625" style="7" bestFit="1" customWidth="1"/>
    <col min="30" max="30" width="10.125" style="7" bestFit="1" customWidth="1"/>
    <col min="31" max="31" width="36.75" style="7" bestFit="1" customWidth="1"/>
    <col min="32" max="33" width="9.125" style="7" bestFit="1" customWidth="1"/>
    <col min="34" max="34" width="8.875" style="7" bestFit="1" customWidth="1"/>
    <col min="35" max="35" width="9.125" style="7" bestFit="1" customWidth="1"/>
    <col min="36" max="36" width="7.875" style="7" bestFit="1" customWidth="1"/>
    <col min="37" max="37" width="9.125" style="7" bestFit="1" customWidth="1"/>
    <col min="38" max="38" width="8.875" style="7" bestFit="1" customWidth="1"/>
    <col min="39" max="39" width="9.125" style="7" bestFit="1" customWidth="1"/>
    <col min="40" max="40" width="7.875" style="7" bestFit="1" customWidth="1"/>
    <col min="41" max="41" width="9.125" style="7" bestFit="1" customWidth="1"/>
    <col min="42" max="42" width="9.25" style="7" bestFit="1" customWidth="1"/>
    <col min="43" max="43" width="10.625" style="7" bestFit="1" customWidth="1"/>
    <col min="44" max="44" width="10.125" style="7" bestFit="1" customWidth="1"/>
    <col min="45" max="50" width="27" style="7" bestFit="1" customWidth="1"/>
    <col min="51" max="51" width="30.375" style="7" bestFit="1" customWidth="1"/>
    <col min="52" max="52" width="28.125" style="7" bestFit="1" customWidth="1"/>
    <col min="53" max="53" width="31.375" style="7" bestFit="1" customWidth="1"/>
    <col min="54" max="54" width="29.125" style="7" bestFit="1" customWidth="1"/>
    <col min="55" max="55" width="27" style="7" bestFit="1" customWidth="1"/>
    <col min="56" max="56" width="28.125" style="7" bestFit="1" customWidth="1"/>
    <col min="57" max="57" width="30.25" style="7" bestFit="1" customWidth="1"/>
    <col min="58" max="58" width="32.375" style="7" bestFit="1" customWidth="1"/>
    <col min="59" max="62" width="27" style="7" bestFit="1" customWidth="1"/>
    <col min="63" max="63" width="39.75" style="7" bestFit="1" customWidth="1"/>
    <col min="64" max="65" width="27" style="7" bestFit="1" customWidth="1"/>
    <col min="66" max="66" width="30.875" style="7" bestFit="1" customWidth="1"/>
    <col min="67" max="67" width="28.625" style="7" bestFit="1" customWidth="1"/>
    <col min="68" max="74" width="27" style="7" bestFit="1" customWidth="1"/>
    <col min="75" max="75" width="27.875" style="7" bestFit="1" customWidth="1"/>
    <col min="76" max="84" width="27" style="7" bestFit="1" customWidth="1"/>
    <col min="85" max="85" width="30.375" style="7" bestFit="1" customWidth="1"/>
    <col min="86" max="86" width="25.625" style="7" bestFit="1" customWidth="1"/>
    <col min="87" max="87" width="23.25" style="7" bestFit="1" customWidth="1"/>
    <col min="88" max="88" width="21" style="7" bestFit="1" customWidth="1"/>
    <col min="89" max="89" width="18.875" style="7" bestFit="1" customWidth="1"/>
    <col min="90" max="90" width="19.875" style="7" bestFit="1" customWidth="1"/>
    <col min="91" max="91" width="17.75" style="7" bestFit="1" customWidth="1"/>
    <col min="92" max="92" width="20" style="7" bestFit="1" customWidth="1"/>
    <col min="93" max="93" width="17.875" style="7" bestFit="1" customWidth="1"/>
    <col min="94" max="94" width="23.75" style="7" bestFit="1" customWidth="1"/>
    <col min="95" max="95" width="21.625" style="7" bestFit="1" customWidth="1"/>
    <col min="96" max="96" width="24" style="7" bestFit="1" customWidth="1"/>
    <col min="97" max="97" width="21.875" style="7" bestFit="1" customWidth="1"/>
    <col min="98" max="98" width="24.625" style="7" bestFit="1" customWidth="1"/>
    <col min="99" max="99" width="22.375" style="7" bestFit="1" customWidth="1"/>
    <col min="100" max="100" width="28.25" style="7" bestFit="1" customWidth="1"/>
    <col min="101" max="101" width="26.125" style="7" bestFit="1" customWidth="1"/>
    <col min="102" max="102" width="24.75" style="7" bestFit="1" customWidth="1"/>
    <col min="103" max="103" width="22.625" style="7" bestFit="1" customWidth="1"/>
    <col min="104" max="104" width="21.875" style="7" bestFit="1" customWidth="1"/>
    <col min="105" max="105" width="24" style="7" bestFit="1" customWidth="1"/>
    <col min="106" max="106" width="20" style="7" bestFit="1" customWidth="1"/>
    <col min="107" max="107" width="17.875" style="7" bestFit="1" customWidth="1"/>
    <col min="108" max="108" width="24.75" style="7" bestFit="1" customWidth="1"/>
    <col min="109" max="109" width="22.625" style="7" bestFit="1" customWidth="1"/>
    <col min="110" max="110" width="21.125" style="7" bestFit="1" customWidth="1"/>
    <col min="111" max="111" width="19" style="7" bestFit="1" customWidth="1"/>
    <col min="112" max="112" width="24.75" style="7" bestFit="1" customWidth="1"/>
    <col min="113" max="113" width="22.625" style="7" bestFit="1" customWidth="1"/>
    <col min="114" max="114" width="19" style="7" bestFit="1" customWidth="1"/>
    <col min="115" max="115" width="16.875" style="7" bestFit="1" customWidth="1"/>
    <col min="116" max="116" width="30.375" style="7" bestFit="1" customWidth="1"/>
    <col min="117" max="117" width="28.125" style="7" bestFit="1" customWidth="1"/>
    <col min="118" max="118" width="31.375" style="7" bestFit="1" customWidth="1"/>
    <col min="119" max="119" width="29.125" style="7" bestFit="1" customWidth="1"/>
    <col min="120" max="120" width="26" style="7" bestFit="1" customWidth="1"/>
    <col min="121" max="121" width="28.125" style="7" bestFit="1" customWidth="1"/>
    <col min="122" max="122" width="30.25" style="7" bestFit="1" customWidth="1"/>
    <col min="123" max="123" width="32.375" style="7" bestFit="1" customWidth="1"/>
    <col min="124" max="125" width="16.875" style="7" bestFit="1" customWidth="1"/>
    <col min="126" max="126" width="17.625" style="7" bestFit="1" customWidth="1"/>
    <col min="127" max="127" width="16.875" style="7" bestFit="1" customWidth="1"/>
    <col min="128" max="128" width="39.75" style="7" bestFit="1" customWidth="1"/>
    <col min="129" max="129" width="18.375" style="7" bestFit="1" customWidth="1"/>
    <col min="130" max="130" width="16.875" style="7" bestFit="1" customWidth="1"/>
    <col min="131" max="131" width="30.875" style="7" bestFit="1" customWidth="1"/>
    <col min="132" max="132" width="28.625" style="7" bestFit="1" customWidth="1"/>
    <col min="133" max="133" width="25" style="7" bestFit="1" customWidth="1"/>
    <col min="134" max="134" width="20.625" style="7" bestFit="1" customWidth="1"/>
    <col min="135" max="135" width="19.375" style="7" bestFit="1" customWidth="1"/>
    <col min="136" max="136" width="19.625" style="7" bestFit="1" customWidth="1"/>
    <col min="137" max="137" width="23.25" style="7" bestFit="1" customWidth="1"/>
    <col min="138" max="138" width="23.625" style="7" bestFit="1" customWidth="1"/>
    <col min="139" max="139" width="24.125" style="7" bestFit="1" customWidth="1"/>
    <col min="140" max="140" width="27.875" style="7" bestFit="1" customWidth="1"/>
    <col min="141" max="141" width="24.25" style="7" bestFit="1" customWidth="1"/>
    <col min="142" max="142" width="23.625" style="7" bestFit="1" customWidth="1"/>
    <col min="143" max="143" width="19.625" style="7" bestFit="1" customWidth="1"/>
    <col min="144" max="144" width="24.25" style="7" bestFit="1" customWidth="1"/>
    <col min="145" max="145" width="20.75" style="7" bestFit="1" customWidth="1"/>
    <col min="146" max="146" width="18.625" style="7" bestFit="1" customWidth="1"/>
    <col min="147" max="147" width="18" style="7" bestFit="1" customWidth="1"/>
    <col min="148" max="149" width="16.875" style="7" bestFit="1" customWidth="1"/>
    <col min="150" max="150" width="30.375" style="7" bestFit="1" customWidth="1"/>
    <col min="151" max="164" width="26.125" style="7" bestFit="1" customWidth="1"/>
    <col min="165" max="165" width="28.25" style="7" bestFit="1" customWidth="1"/>
    <col min="166" max="180" width="26.125" style="7" bestFit="1" customWidth="1"/>
    <col min="181" max="181" width="30.375" style="7" bestFit="1" customWidth="1"/>
    <col min="182" max="182" width="28.125" style="7" bestFit="1" customWidth="1"/>
    <col min="183" max="183" width="31.375" style="7" bestFit="1" customWidth="1"/>
    <col min="184" max="184" width="29.125" style="7" bestFit="1" customWidth="1"/>
    <col min="185" max="185" width="26.125" style="7" bestFit="1" customWidth="1"/>
    <col min="186" max="186" width="28.125" style="7" bestFit="1" customWidth="1"/>
    <col min="187" max="187" width="30.25" style="7" bestFit="1" customWidth="1"/>
    <col min="188" max="188" width="32.375" style="7" bestFit="1" customWidth="1"/>
    <col min="189" max="192" width="26.125" style="7" bestFit="1" customWidth="1"/>
    <col min="193" max="193" width="39.75" style="7" bestFit="1" customWidth="1"/>
    <col min="194" max="195" width="26.125" style="7" bestFit="1" customWidth="1"/>
    <col min="196" max="196" width="30.875" style="7" bestFit="1" customWidth="1"/>
    <col min="197" max="197" width="28.625" style="7" bestFit="1" customWidth="1"/>
    <col min="198" max="204" width="26.125" style="7" bestFit="1" customWidth="1"/>
    <col min="205" max="205" width="27.875" style="7" bestFit="1" customWidth="1"/>
    <col min="206" max="214" width="26.125" style="7" bestFit="1" customWidth="1"/>
    <col min="215" max="215" width="30.375" style="7" bestFit="1" customWidth="1"/>
    <col min="216" max="280" width="43" style="7" bestFit="1" customWidth="1"/>
    <col min="281" max="281" width="25.625" style="7" bestFit="1" customWidth="1"/>
    <col min="282" max="282" width="23.25" style="7" bestFit="1" customWidth="1"/>
    <col min="283" max="283" width="21" style="7" bestFit="1" customWidth="1"/>
    <col min="284" max="286" width="19.875" style="7" bestFit="1" customWidth="1"/>
    <col min="287" max="287" width="20" style="7" bestFit="1" customWidth="1"/>
    <col min="288" max="288" width="19.875" style="7" bestFit="1" customWidth="1"/>
    <col min="289" max="289" width="23.75" style="7" bestFit="1" customWidth="1"/>
    <col min="290" max="290" width="21.625" style="7" bestFit="1" customWidth="1"/>
    <col min="291" max="291" width="24" style="7" bestFit="1" customWidth="1"/>
    <col min="292" max="292" width="21.875" style="7" bestFit="1" customWidth="1"/>
    <col min="293" max="293" width="24.625" style="7" bestFit="1" customWidth="1"/>
    <col min="294" max="294" width="22.375" style="7" bestFit="1" customWidth="1"/>
    <col min="295" max="295" width="28.25" style="7" bestFit="1" customWidth="1"/>
    <col min="296" max="296" width="26.125" style="7" bestFit="1" customWidth="1"/>
    <col min="297" max="297" width="24.75" style="7" bestFit="1" customWidth="1"/>
    <col min="298" max="298" width="22.625" style="7" bestFit="1" customWidth="1"/>
    <col min="299" max="299" width="21.875" style="7" bestFit="1" customWidth="1"/>
    <col min="300" max="300" width="24" style="7" bestFit="1" customWidth="1"/>
    <col min="301" max="301" width="20" style="7" bestFit="1" customWidth="1"/>
    <col min="302" max="302" width="19.875" style="7" bestFit="1" customWidth="1"/>
    <col min="303" max="303" width="24.75" style="7" bestFit="1" customWidth="1"/>
    <col min="304" max="304" width="22.625" style="7" bestFit="1" customWidth="1"/>
    <col min="305" max="305" width="21.125" style="7" bestFit="1" customWidth="1"/>
    <col min="306" max="306" width="19.875" style="7" bestFit="1" customWidth="1"/>
    <col min="307" max="307" width="24.75" style="7" bestFit="1" customWidth="1"/>
    <col min="308" max="308" width="22.625" style="7" bestFit="1" customWidth="1"/>
    <col min="309" max="310" width="19.875" style="7" bestFit="1" customWidth="1"/>
    <col min="311" max="311" width="30.375" style="7" bestFit="1" customWidth="1"/>
    <col min="312" max="312" width="28.125" style="7" bestFit="1" customWidth="1"/>
    <col min="313" max="313" width="31.375" style="7" bestFit="1" customWidth="1"/>
    <col min="314" max="314" width="29.125" style="7" bestFit="1" customWidth="1"/>
    <col min="315" max="315" width="26" style="7" bestFit="1" customWidth="1"/>
    <col min="316" max="316" width="28.125" style="7" bestFit="1" customWidth="1"/>
    <col min="317" max="317" width="30.25" style="7" bestFit="1" customWidth="1"/>
    <col min="318" max="318" width="32.375" style="7" bestFit="1" customWidth="1"/>
    <col min="319" max="322" width="19.875" style="7" bestFit="1" customWidth="1"/>
    <col min="323" max="323" width="39.75" style="7" bestFit="1" customWidth="1"/>
    <col min="324" max="325" width="19.875" style="7" bestFit="1" customWidth="1"/>
    <col min="326" max="326" width="30.875" style="7" bestFit="1" customWidth="1"/>
    <col min="327" max="327" width="28.625" style="7" bestFit="1" customWidth="1"/>
    <col min="328" max="328" width="25" style="7" bestFit="1" customWidth="1"/>
    <col min="329" max="329" width="20.625" style="7" bestFit="1" customWidth="1"/>
    <col min="330" max="331" width="19.875" style="7" bestFit="1" customWidth="1"/>
    <col min="332" max="332" width="23.25" style="7" bestFit="1" customWidth="1"/>
    <col min="333" max="333" width="23.625" style="7" bestFit="1" customWidth="1"/>
    <col min="334" max="334" width="24.125" style="7" bestFit="1" customWidth="1"/>
    <col min="335" max="335" width="27.875" style="7" bestFit="1" customWidth="1"/>
    <col min="336" max="336" width="24.25" style="7" bestFit="1" customWidth="1"/>
    <col min="337" max="337" width="23.625" style="7" bestFit="1" customWidth="1"/>
    <col min="338" max="338" width="19.875" style="7" bestFit="1" customWidth="1"/>
    <col min="339" max="339" width="24.25" style="7" bestFit="1" customWidth="1"/>
    <col min="340" max="340" width="20.75" style="7" bestFit="1" customWidth="1"/>
    <col min="341" max="344" width="19.875" style="7" bestFit="1" customWidth="1"/>
    <col min="345" max="345" width="30.375" style="7" bestFit="1" customWidth="1"/>
    <col min="346" max="410" width="39.875" style="7" bestFit="1" customWidth="1"/>
    <col min="411" max="447" width="31.875" style="7" bestFit="1" customWidth="1"/>
    <col min="448" max="448" width="32.375" style="7" bestFit="1" customWidth="1"/>
    <col min="449" max="452" width="31.875" style="7" bestFit="1" customWidth="1"/>
    <col min="453" max="453" width="39.75" style="7" bestFit="1" customWidth="1"/>
    <col min="454" max="475" width="31.875" style="7" bestFit="1" customWidth="1"/>
    <col min="476" max="540" width="45.75" style="7" bestFit="1" customWidth="1"/>
    <col min="541" max="541" width="25.625" style="7" bestFit="1" customWidth="1"/>
    <col min="542" max="542" width="23.25" style="7" bestFit="1" customWidth="1"/>
    <col min="543" max="543" width="21" style="7" bestFit="1" customWidth="1"/>
    <col min="544" max="544" width="18.875" style="7" bestFit="1" customWidth="1"/>
    <col min="545" max="545" width="19.875" style="7" bestFit="1" customWidth="1"/>
    <col min="546" max="546" width="17.75" style="7" bestFit="1" customWidth="1"/>
    <col min="547" max="547" width="20" style="7" bestFit="1" customWidth="1"/>
    <col min="548" max="548" width="17.875" style="7" bestFit="1" customWidth="1"/>
    <col min="549" max="549" width="23.75" style="7" bestFit="1" customWidth="1"/>
    <col min="550" max="550" width="21.625" style="7" bestFit="1" customWidth="1"/>
    <col min="551" max="551" width="24" style="7" bestFit="1" customWidth="1"/>
    <col min="552" max="552" width="21.875" style="7" bestFit="1" customWidth="1"/>
    <col min="553" max="553" width="24.625" style="7" bestFit="1" customWidth="1"/>
    <col min="554" max="554" width="22.375" style="7" bestFit="1" customWidth="1"/>
    <col min="555" max="555" width="28.25" style="7" bestFit="1" customWidth="1"/>
    <col min="556" max="556" width="26.125" style="7" bestFit="1" customWidth="1"/>
    <col min="557" max="557" width="24.75" style="7" bestFit="1" customWidth="1"/>
    <col min="558" max="558" width="22.625" style="7" bestFit="1" customWidth="1"/>
    <col min="559" max="559" width="21.875" style="7" bestFit="1" customWidth="1"/>
    <col min="560" max="560" width="24" style="7" bestFit="1" customWidth="1"/>
    <col min="561" max="561" width="20" style="7" bestFit="1" customWidth="1"/>
    <col min="562" max="562" width="17.875" style="7" bestFit="1" customWidth="1"/>
    <col min="563" max="563" width="24.75" style="7" bestFit="1" customWidth="1"/>
    <col min="564" max="564" width="22.625" style="7" bestFit="1" customWidth="1"/>
    <col min="565" max="565" width="21.125" style="7" bestFit="1" customWidth="1"/>
    <col min="566" max="566" width="19" style="7" bestFit="1" customWidth="1"/>
    <col min="567" max="567" width="24.75" style="7" bestFit="1" customWidth="1"/>
    <col min="568" max="568" width="22.625" style="7" bestFit="1" customWidth="1"/>
    <col min="569" max="569" width="19" style="7" bestFit="1" customWidth="1"/>
    <col min="570" max="570" width="17.625" style="7" bestFit="1" customWidth="1"/>
    <col min="571" max="571" width="30.375" style="7" bestFit="1" customWidth="1"/>
    <col min="572" max="572" width="28.125" style="7" bestFit="1" customWidth="1"/>
    <col min="573" max="573" width="31.375" style="7" bestFit="1" customWidth="1"/>
    <col min="574" max="574" width="29.125" style="7" bestFit="1" customWidth="1"/>
    <col min="575" max="575" width="26" style="7" bestFit="1" customWidth="1"/>
    <col min="576" max="576" width="28.125" style="7" bestFit="1" customWidth="1"/>
    <col min="577" max="577" width="30.25" style="7" bestFit="1" customWidth="1"/>
    <col min="578" max="578" width="32.375" style="7" bestFit="1" customWidth="1"/>
    <col min="579" max="582" width="17.625" style="7" bestFit="1" customWidth="1"/>
    <col min="583" max="583" width="39.75" style="7" bestFit="1" customWidth="1"/>
    <col min="584" max="584" width="18.375" style="7" bestFit="1" customWidth="1"/>
    <col min="585" max="585" width="17.625" style="7" bestFit="1" customWidth="1"/>
    <col min="586" max="586" width="30.875" style="7" bestFit="1" customWidth="1"/>
    <col min="587" max="587" width="28.625" style="7" bestFit="1" customWidth="1"/>
    <col min="588" max="588" width="25" style="7" bestFit="1" customWidth="1"/>
    <col min="589" max="589" width="20.625" style="7" bestFit="1" customWidth="1"/>
    <col min="590" max="590" width="19.375" style="7" bestFit="1" customWidth="1"/>
    <col min="591" max="591" width="19.625" style="7" bestFit="1" customWidth="1"/>
    <col min="592" max="592" width="23.25" style="7" bestFit="1" customWidth="1"/>
    <col min="593" max="593" width="23.625" style="7" bestFit="1" customWidth="1"/>
    <col min="594" max="594" width="24.125" style="7" bestFit="1" customWidth="1"/>
    <col min="595" max="595" width="27.875" style="7" bestFit="1" customWidth="1"/>
    <col min="596" max="596" width="24.25" style="7" bestFit="1" customWidth="1"/>
    <col min="597" max="597" width="23.625" style="7" bestFit="1" customWidth="1"/>
    <col min="598" max="598" width="19.625" style="7" bestFit="1" customWidth="1"/>
    <col min="599" max="599" width="24.25" style="7" bestFit="1" customWidth="1"/>
    <col min="600" max="600" width="20.75" style="7" bestFit="1" customWidth="1"/>
    <col min="601" max="601" width="18.625" style="7" bestFit="1" customWidth="1"/>
    <col min="602" max="602" width="18" style="7" bestFit="1" customWidth="1"/>
    <col min="603" max="604" width="17.625" style="7" bestFit="1" customWidth="1"/>
    <col min="605" max="605" width="30.375" style="7" bestFit="1" customWidth="1"/>
    <col min="606" max="647" width="33.25" style="7" bestFit="1" customWidth="1"/>
    <col min="648" max="648" width="39.75" style="7" bestFit="1" customWidth="1"/>
    <col min="649" max="670" width="33.25" style="7" bestFit="1" customWidth="1"/>
    <col min="671" max="735" width="41.75" style="7" bestFit="1" customWidth="1"/>
    <col min="736" max="736" width="25.625" style="7" bestFit="1" customWidth="1"/>
    <col min="737" max="747" width="24.375" style="7" bestFit="1" customWidth="1"/>
    <col min="748" max="748" width="24.625" style="7" bestFit="1" customWidth="1"/>
    <col min="749" max="749" width="24.375" style="7" bestFit="1" customWidth="1"/>
    <col min="750" max="750" width="28.25" style="7" bestFit="1" customWidth="1"/>
    <col min="751" max="751" width="26.125" style="7" bestFit="1" customWidth="1"/>
    <col min="752" max="752" width="24.75" style="7" bestFit="1" customWidth="1"/>
    <col min="753" max="757" width="24.375" style="7" bestFit="1" customWidth="1"/>
    <col min="758" max="758" width="24.75" style="7" bestFit="1" customWidth="1"/>
    <col min="759" max="761" width="24.375" style="7" bestFit="1" customWidth="1"/>
    <col min="762" max="762" width="24.75" style="7" bestFit="1" customWidth="1"/>
    <col min="763" max="765" width="24.375" style="7" bestFit="1" customWidth="1"/>
    <col min="766" max="766" width="30.375" style="7" bestFit="1" customWidth="1"/>
    <col min="767" max="767" width="28.125" style="7" bestFit="1" customWidth="1"/>
    <col min="768" max="768" width="31.375" style="7" bestFit="1" customWidth="1"/>
    <col min="769" max="769" width="29.125" style="7" bestFit="1" customWidth="1"/>
    <col min="770" max="770" width="26" style="7" bestFit="1" customWidth="1"/>
    <col min="771" max="771" width="28.125" style="7" bestFit="1" customWidth="1"/>
    <col min="772" max="772" width="30.25" style="7" bestFit="1" customWidth="1"/>
    <col min="773" max="773" width="32.375" style="7" bestFit="1" customWidth="1"/>
    <col min="774" max="777" width="24.375" style="7" bestFit="1" customWidth="1"/>
    <col min="778" max="778" width="39.75" style="7" bestFit="1" customWidth="1"/>
    <col min="779" max="780" width="24.375" style="7" bestFit="1" customWidth="1"/>
    <col min="781" max="781" width="30.875" style="7" bestFit="1" customWidth="1"/>
    <col min="782" max="782" width="28.625" style="7" bestFit="1" customWidth="1"/>
    <col min="783" max="783" width="25" style="7" bestFit="1" customWidth="1"/>
    <col min="784" max="789" width="24.375" style="7" bestFit="1" customWidth="1"/>
    <col min="790" max="790" width="27.875" style="7" bestFit="1" customWidth="1"/>
    <col min="791" max="799" width="24.375" style="7" bestFit="1" customWidth="1"/>
    <col min="800" max="800" width="30.375" style="7" bestFit="1" customWidth="1"/>
    <col min="801" max="865" width="43" style="7" bestFit="1" customWidth="1"/>
    <col min="866" max="16384" width="9.125" style="7"/>
  </cols>
  <sheetData>
    <row r="1" spans="1:44" x14ac:dyDescent="0.2">
      <c r="A1" s="7" t="s">
        <v>6</v>
      </c>
      <c r="B1" s="7" t="str">
        <f>STAT_KEY</f>
        <v>GP4042156</v>
      </c>
    </row>
    <row r="3" spans="1:44" x14ac:dyDescent="0.2">
      <c r="C3" s="184" t="s">
        <v>81</v>
      </c>
      <c r="D3" s="184"/>
      <c r="E3" s="184"/>
      <c r="F3" s="184"/>
      <c r="G3" s="184"/>
      <c r="H3" s="184"/>
      <c r="I3" s="184"/>
      <c r="J3" s="184"/>
      <c r="K3" s="185"/>
      <c r="L3" s="185"/>
      <c r="M3" s="185"/>
      <c r="N3" s="185"/>
      <c r="O3" s="185"/>
      <c r="P3" s="185"/>
      <c r="Q3" s="184" t="s">
        <v>82</v>
      </c>
      <c r="R3" s="184"/>
      <c r="S3" s="185"/>
      <c r="T3" s="185"/>
      <c r="U3" s="185"/>
      <c r="V3" s="185"/>
      <c r="W3" s="185"/>
      <c r="X3" s="185"/>
      <c r="Y3" s="185"/>
      <c r="Z3" s="185"/>
      <c r="AA3" s="185"/>
      <c r="AB3" s="30"/>
      <c r="AC3" s="30"/>
      <c r="AD3" s="30"/>
      <c r="AE3" s="184" t="s">
        <v>4</v>
      </c>
      <c r="AF3" s="184"/>
      <c r="AG3" s="185"/>
      <c r="AH3" s="185"/>
      <c r="AI3" s="185"/>
      <c r="AJ3" s="185"/>
      <c r="AK3" s="185"/>
      <c r="AL3" s="185"/>
      <c r="AM3" s="185"/>
      <c r="AN3" s="185"/>
      <c r="AO3" s="185"/>
    </row>
    <row r="4" spans="1:44" ht="25.5" customHeight="1" x14ac:dyDescent="0.2">
      <c r="A4" s="7" t="s">
        <v>10</v>
      </c>
      <c r="B4" s="7" t="s">
        <v>32</v>
      </c>
      <c r="C4" s="7" t="s">
        <v>31</v>
      </c>
      <c r="D4" s="32" t="str">
        <f ca="1">CONCATENATE(LEFT(Variables!$B$10,4)-5,"Y")</f>
        <v>2010Y</v>
      </c>
      <c r="E4" s="32" t="str">
        <f ca="1">CONCATENATE(LEFT(Variables!$B$10,4)-4,"Y")</f>
        <v>2011Y</v>
      </c>
      <c r="F4" s="36" t="str">
        <f ca="1">E4&amp;CHAR(10)&amp;"% Chg"</f>
        <v>2011Y
% Chg</v>
      </c>
      <c r="G4" s="32" t="str">
        <f ca="1">CONCATENATE(LEFT(Variables!$B$10,4)-3,"Y")</f>
        <v>2012Y</v>
      </c>
      <c r="H4" s="36" t="str">
        <f ca="1">G4&amp;CHAR(10)&amp;"% Chg"</f>
        <v>2012Y
% Chg</v>
      </c>
      <c r="I4" s="32" t="str">
        <f ca="1">CONCATENATE(LEFT(Variables!$B$10,4)-2,"Y")</f>
        <v>2013Y</v>
      </c>
      <c r="J4" s="36" t="str">
        <f ca="1">I4&amp;CHAR(10)&amp;"% Chg"</f>
        <v>2013Y
% Chg</v>
      </c>
      <c r="K4" s="32" t="str">
        <f ca="1">CONCATENATE(LEFT(Variables!$B$10,4)-1,"Y")</f>
        <v>2014Y</v>
      </c>
      <c r="L4" s="36" t="str">
        <f ca="1">K4&amp;CHAR(10)&amp;"% Chg"</f>
        <v>2014Y
% Chg</v>
      </c>
      <c r="M4" s="32" t="str">
        <f ca="1">CONCATENATE(LEFT(Variables!$B$10,4),"Y")</f>
        <v>2015Y</v>
      </c>
      <c r="N4" s="36" t="str">
        <f ca="1">M4&amp;CHAR(10)&amp;"% Chg"</f>
        <v>2015Y
% Chg</v>
      </c>
      <c r="O4" s="33" t="s">
        <v>107</v>
      </c>
      <c r="P4" s="34" t="s">
        <v>108</v>
      </c>
      <c r="Q4" s="7" t="s">
        <v>31</v>
      </c>
      <c r="R4" s="32" t="str">
        <f ca="1">CONCATENATE(LEFT(Variables!$B$10,4)-5,"Y")</f>
        <v>2010Y</v>
      </c>
      <c r="S4" s="32" t="str">
        <f ca="1">CONCATENATE(LEFT(Variables!$B$10,4)-4,"Y")</f>
        <v>2011Y</v>
      </c>
      <c r="T4" s="36" t="str">
        <f ca="1">S4&amp;CHAR(10)&amp;"% Chg"</f>
        <v>2011Y
% Chg</v>
      </c>
      <c r="U4" s="32" t="str">
        <f ca="1">CONCATENATE(LEFT(Variables!$B$10,4)-3,"Y")</f>
        <v>2012Y</v>
      </c>
      <c r="V4" s="36" t="str">
        <f ca="1">U4&amp;CHAR(10)&amp;"% Chg"</f>
        <v>2012Y
% Chg</v>
      </c>
      <c r="W4" s="32" t="str">
        <f ca="1">CONCATENATE(LEFT(Variables!$B$10,4)-2,"Y")</f>
        <v>2013Y</v>
      </c>
      <c r="X4" s="36" t="str">
        <f ca="1">W4&amp;CHAR(10)&amp;"% Chg"</f>
        <v>2013Y
% Chg</v>
      </c>
      <c r="Y4" s="32" t="str">
        <f ca="1">CONCATENATE(LEFT(Variables!$B$10,4)-1,"Y")</f>
        <v>2014Y</v>
      </c>
      <c r="Z4" s="36" t="str">
        <f ca="1">Y4&amp;CHAR(10)&amp;"% Chg"</f>
        <v>2014Y
% Chg</v>
      </c>
      <c r="AA4" s="32" t="str">
        <f ca="1">CONCATENATE(LEFT(Variables!$B$10,4),"Y")</f>
        <v>2015Y</v>
      </c>
      <c r="AB4" s="36" t="str">
        <f ca="1">AA4&amp;CHAR(10)&amp;"% Chg"</f>
        <v>2015Y
% Chg</v>
      </c>
      <c r="AC4" s="33" t="s">
        <v>107</v>
      </c>
      <c r="AD4" s="34" t="s">
        <v>108</v>
      </c>
      <c r="AE4" s="7" t="s">
        <v>31</v>
      </c>
      <c r="AF4" s="32" t="str">
        <f ca="1">CONCATENATE(LEFT(Variables!$B$10,4)-5,"Y")</f>
        <v>2010Y</v>
      </c>
      <c r="AG4" s="32" t="str">
        <f ca="1">CONCATENATE(LEFT(Variables!$B$10,4)-4,"Y")</f>
        <v>2011Y</v>
      </c>
      <c r="AH4" s="36" t="str">
        <f ca="1">AG4&amp;CHAR(10)&amp;"% Chg"</f>
        <v>2011Y
% Chg</v>
      </c>
      <c r="AI4" s="32" t="str">
        <f ca="1">CONCATENATE(LEFT(Variables!$B$10,4)-3,"Y")</f>
        <v>2012Y</v>
      </c>
      <c r="AJ4" s="36" t="str">
        <f ca="1">AI4&amp;CHAR(10)&amp;"% Chg"</f>
        <v>2012Y
% Chg</v>
      </c>
      <c r="AK4" s="32" t="str">
        <f ca="1">CONCATENATE(LEFT(Variables!$B$10,4)-2,"Y")</f>
        <v>2013Y</v>
      </c>
      <c r="AL4" s="36" t="str">
        <f ca="1">AK4&amp;CHAR(10)&amp;"% Chg"</f>
        <v>2013Y
% Chg</v>
      </c>
      <c r="AM4" s="32" t="str">
        <f ca="1">CONCATENATE(LEFT(Variables!$B$10,4)-1,"Y")</f>
        <v>2014Y</v>
      </c>
      <c r="AN4" s="36" t="str">
        <f ca="1">AM4&amp;CHAR(10)&amp;"% Chg"</f>
        <v>2014Y
% Chg</v>
      </c>
      <c r="AO4" s="32" t="str">
        <f ca="1">CONCATENATE(LEFT(Variables!$B$10,4),"Y")</f>
        <v>2015Y</v>
      </c>
      <c r="AP4" s="36" t="str">
        <f ca="1">AO4&amp;CHAR(10)&amp;"% Chg"</f>
        <v>2015Y
% Chg</v>
      </c>
      <c r="AQ4" s="33" t="s">
        <v>107</v>
      </c>
      <c r="AR4" s="34" t="s">
        <v>108</v>
      </c>
    </row>
    <row r="5" spans="1:44" x14ac:dyDescent="0.2">
      <c r="A5" s="9" t="s">
        <v>83</v>
      </c>
      <c r="B5" s="10">
        <v>120795</v>
      </c>
      <c r="C5" s="10" t="str">
        <f>CONCATENATE("Unaff: ",A5)</f>
        <v>Unaff: Oil &amp; Gas Production</v>
      </c>
      <c r="D5" s="8">
        <f ca="1">IFERROR([1]!SNLData("287",$B$1,$B5,D$4,$C5, , "Options: NA="&amp;""),0)</f>
        <v>0</v>
      </c>
      <c r="E5" s="8">
        <f ca="1">IFERROR([1]!SNLData("287",$B$1,$B5,E$4,$C5, , "Options: NA="&amp;""),0)</f>
        <v>0</v>
      </c>
      <c r="F5" s="24">
        <f t="shared" ref="F5:F10" ca="1" si="0">IFERROR((E5/D5)-1,0)</f>
        <v>0</v>
      </c>
      <c r="G5" s="8">
        <f ca="1">IFERROR([1]!SNLData("287",$B$1,$B5,G$4,$C5, , "Options: NA="&amp;""),0)</f>
        <v>0</v>
      </c>
      <c r="H5" s="24">
        <f ca="1">IFERROR((G5/E5)-1,0)</f>
        <v>0</v>
      </c>
      <c r="I5" s="8">
        <f ca="1">IFERROR([1]!SNLData("287",$B$1,$B5,I$4,$C5, , "Options: NA="&amp;""),0)</f>
        <v>0</v>
      </c>
      <c r="J5" s="24">
        <f ca="1">IFERROR((I5/G5)-1,0)</f>
        <v>0</v>
      </c>
      <c r="K5" s="8">
        <f ca="1">IFERROR([1]!SNLData("287",$B$1,$B5,K$4,$C5, , "Options: NA="&amp;""),0)</f>
        <v>0</v>
      </c>
      <c r="L5" s="24">
        <f ca="1">IFERROR((K5/I5)-1,0)</f>
        <v>0</v>
      </c>
      <c r="M5" s="8">
        <f ca="1">IFERROR([1]!SNLData("287",$B$1,$B5,M$4,$C5, , "Options: NA="&amp;""),0)</f>
        <v>0</v>
      </c>
      <c r="N5" s="24">
        <f ca="1">IFERROR((M5/K5)-1,0)</f>
        <v>0</v>
      </c>
      <c r="O5" s="24">
        <f ca="1">IFERROR((M5/E5)-1,0)</f>
        <v>0</v>
      </c>
      <c r="P5" s="24">
        <f ca="1">IFERROR(((1+O5)^(1/5))-1,0)</f>
        <v>0</v>
      </c>
      <c r="Q5" s="10" t="str">
        <f>CONCATENATE("Aff: ",A5)</f>
        <v>Aff: Oil &amp; Gas Production</v>
      </c>
      <c r="R5" s="8">
        <f ca="1">IFERROR([1]!SNLData("287",$B$1,$B5,R$4,$Q5, , "Options: NA="&amp;""),0)</f>
        <v>0</v>
      </c>
      <c r="S5" s="8">
        <f ca="1">IFERROR([1]!SNLData("287",$B$1,$B5,S$4,$Q5, , "Options: NA="&amp;""),0)</f>
        <v>0</v>
      </c>
      <c r="T5" s="24">
        <f t="shared" ref="T5:T28" ca="1" si="1">IFERROR((S5/R5)-1,0)</f>
        <v>0</v>
      </c>
      <c r="U5" s="8">
        <f ca="1">IFERROR([1]!SNLData("287",$B$1,$B5,U$4,$Q5, , "Options: NA="&amp;""),0)</f>
        <v>0</v>
      </c>
      <c r="V5" s="24">
        <f t="shared" ref="V5:V28" ca="1" si="2">IFERROR((U5/S5)-1,0)</f>
        <v>0</v>
      </c>
      <c r="W5" s="8">
        <f ca="1">IFERROR([1]!SNLData("287",$B$1,$B5,W$4,$Q5, , "Options: NA="&amp;""),0)</f>
        <v>0</v>
      </c>
      <c r="X5" s="24">
        <f t="shared" ref="X5:X28" ca="1" si="3">IFERROR((W5/U5)-1,0)</f>
        <v>0</v>
      </c>
      <c r="Y5" s="8">
        <f ca="1">IFERROR([1]!SNLData("287",$B$1,$B5,Y$4,$Q5, , "Options: NA="&amp;""),0)</f>
        <v>0</v>
      </c>
      <c r="Z5" s="24">
        <f t="shared" ref="Z5:Z28" ca="1" si="4">IFERROR((Y5/W5)-1,0)</f>
        <v>0</v>
      </c>
      <c r="AA5" s="8">
        <f ca="1">IFERROR([1]!SNLData("287",$B$1,$B5,AA$4,$Q5, , "Options: NA="&amp;""),0)</f>
        <v>0</v>
      </c>
      <c r="AB5" s="24">
        <f t="shared" ref="AB5:AB28" ca="1" si="5">IFERROR((AA5/Y5)-1,0)</f>
        <v>0</v>
      </c>
      <c r="AC5" s="24">
        <f t="shared" ref="AC5:AC28" ca="1" si="6">IFERROR((AA5/S5)-1,0)</f>
        <v>0</v>
      </c>
      <c r="AD5" s="24">
        <f t="shared" ref="AD5:AD29" ca="1" si="7">IFERROR(((1+AC5)^(1/5))-1,0)</f>
        <v>0</v>
      </c>
      <c r="AE5" s="10" t="str">
        <f t="shared" ref="AE5:AE28" si="8">CONCATENATE("Total: ",A5)</f>
        <v>Total: Oil &amp; Gas Production</v>
      </c>
      <c r="AF5" s="8">
        <f ca="1">IFERROR(D5+R5,0)</f>
        <v>0</v>
      </c>
      <c r="AG5" s="8">
        <f ca="1">IFERROR(E5+S5,0)</f>
        <v>0</v>
      </c>
      <c r="AH5" s="24">
        <f ca="1">IFERROR((AG5/AF5)-1,0)</f>
        <v>0</v>
      </c>
      <c r="AI5" s="8">
        <f ca="1">IFERROR(G5+U5,0)</f>
        <v>0</v>
      </c>
      <c r="AJ5" s="24">
        <f ca="1">IFERROR((AI5/AG5)-1,0)</f>
        <v>0</v>
      </c>
      <c r="AK5" s="8">
        <f ca="1">IFERROR(I5+W5,0)</f>
        <v>0</v>
      </c>
      <c r="AL5" s="24">
        <f ca="1">IFERROR((AK5/AI5)-1,0)</f>
        <v>0</v>
      </c>
      <c r="AM5" s="8">
        <f ca="1">IFERROR(K5+Y5,0)</f>
        <v>0</v>
      </c>
      <c r="AN5" s="24">
        <f ca="1">IFERROR((AM5/AK5)-1,0)</f>
        <v>0</v>
      </c>
      <c r="AO5" s="8">
        <f ca="1">IFERROR(M5+AA5,0)</f>
        <v>0</v>
      </c>
      <c r="AP5" s="24">
        <f ca="1">IFERROR((AO5/AM5)-1,0)</f>
        <v>0</v>
      </c>
      <c r="AQ5" s="35">
        <f ca="1">IFERROR((AO5/AG5)-1,0)</f>
        <v>0</v>
      </c>
      <c r="AR5" s="24">
        <f ca="1">IFERROR(((1+AQ5)^(1/5))-1,0)</f>
        <v>0</v>
      </c>
    </row>
    <row r="6" spans="1:44" x14ac:dyDescent="0.2">
      <c r="A6" s="9" t="s">
        <v>84</v>
      </c>
      <c r="B6" s="10">
        <v>120795</v>
      </c>
      <c r="C6" s="10" t="str">
        <f t="shared" ref="C6:C28" si="9">CONCATENATE("Unaff: ",A6)</f>
        <v>Unaff: Transport Equip</v>
      </c>
      <c r="D6" s="8">
        <f ca="1">IFERROR([1]!SNLData("287",$B$1,$B6,D$4,$C6, , "Options: NA="&amp;""),0)</f>
        <v>0</v>
      </c>
      <c r="E6" s="8">
        <f ca="1">IFERROR([1]!SNLData("287",$B$1,$B6,E$4,$C6, , "Options: NA="&amp;""),0)</f>
        <v>0</v>
      </c>
      <c r="F6" s="24">
        <f t="shared" ca="1" si="0"/>
        <v>0</v>
      </c>
      <c r="G6" s="8">
        <f ca="1">IFERROR([1]!SNLData("287",$B$1,$B6,G$4,$C6, , "Options: NA="&amp;""),0)</f>
        <v>0</v>
      </c>
      <c r="H6" s="24">
        <f t="shared" ref="H6:H29" ca="1" si="10">IFERROR((G6/E6)-1,0)</f>
        <v>0</v>
      </c>
      <c r="I6" s="8">
        <f ca="1">IFERROR([1]!SNLData("287",$B$1,$B6,I$4,$C6, , "Options: NA="&amp;""),0)</f>
        <v>0</v>
      </c>
      <c r="J6" s="24">
        <f t="shared" ref="J6:J29" ca="1" si="11">IFERROR((I6/G6)-1,0)</f>
        <v>0</v>
      </c>
      <c r="K6" s="8">
        <f ca="1">IFERROR([1]!SNLData("287",$B$1,$B6,K$4,$C6, , "Options: NA="&amp;""),0)</f>
        <v>0</v>
      </c>
      <c r="L6" s="24">
        <f t="shared" ref="L6:L29" ca="1" si="12">IFERROR((K6/I6)-1,0)</f>
        <v>0</v>
      </c>
      <c r="M6" s="8">
        <f ca="1">IFERROR([1]!SNLData("287",$B$1,$B6,M$4,$C6, , "Options: NA="&amp;""),0)</f>
        <v>0</v>
      </c>
      <c r="N6" s="24">
        <f t="shared" ref="N6:N29" ca="1" si="13">IFERROR((M6/K6)-1,0)</f>
        <v>0</v>
      </c>
      <c r="O6" s="24">
        <f t="shared" ref="O6:O29" ca="1" si="14">IFERROR((M6/E6)-1,0)</f>
        <v>0</v>
      </c>
      <c r="P6" s="24">
        <f t="shared" ref="P6:P29" ca="1" si="15">IFERROR(((1+O6)^(1/5))-1,0)</f>
        <v>0</v>
      </c>
      <c r="Q6" s="10" t="str">
        <f t="shared" ref="Q6:Q28" si="16">CONCATENATE("Aff: ",A6)</f>
        <v>Aff: Transport Equip</v>
      </c>
      <c r="R6" s="8">
        <f ca="1">IFERROR([1]!SNLData("287",$B$1,$B6,R$4,$Q6, , "Options: NA="&amp;""),0)</f>
        <v>0</v>
      </c>
      <c r="S6" s="8">
        <f ca="1">IFERROR([1]!SNLData("287",$B$1,$B6,S$4,$Q6, , "Options: NA="&amp;""),0)</f>
        <v>0</v>
      </c>
      <c r="T6" s="24">
        <f t="shared" ca="1" si="1"/>
        <v>0</v>
      </c>
      <c r="U6" s="8">
        <f ca="1">IFERROR([1]!SNLData("287",$B$1,$B6,U$4,$Q6, , "Options: NA="&amp;""),0)</f>
        <v>0</v>
      </c>
      <c r="V6" s="24">
        <f t="shared" ca="1" si="2"/>
        <v>0</v>
      </c>
      <c r="W6" s="8">
        <f ca="1">IFERROR([1]!SNLData("287",$B$1,$B6,W$4,$Q6, , "Options: NA="&amp;""),0)</f>
        <v>0</v>
      </c>
      <c r="X6" s="24">
        <f t="shared" ca="1" si="3"/>
        <v>0</v>
      </c>
      <c r="Y6" s="8">
        <f ca="1">IFERROR([1]!SNLData("287",$B$1,$B6,Y$4,$Q6, , "Options: NA="&amp;""),0)</f>
        <v>0</v>
      </c>
      <c r="Z6" s="24">
        <f t="shared" ca="1" si="4"/>
        <v>0</v>
      </c>
      <c r="AA6" s="8">
        <f ca="1">IFERROR([1]!SNLData("287",$B$1,$B6,AA$4,$Q6, , "Options: NA="&amp;""),0)</f>
        <v>0</v>
      </c>
      <c r="AB6" s="24">
        <f t="shared" ca="1" si="5"/>
        <v>0</v>
      </c>
      <c r="AC6" s="24">
        <f t="shared" ca="1" si="6"/>
        <v>0</v>
      </c>
      <c r="AD6" s="24">
        <f t="shared" ca="1" si="7"/>
        <v>0</v>
      </c>
      <c r="AE6" s="10" t="str">
        <f t="shared" si="8"/>
        <v>Total: Transport Equip</v>
      </c>
      <c r="AF6" s="8">
        <f t="shared" ref="AF6:AF28" ca="1" si="17">IFERROR(D6+R6,0)</f>
        <v>0</v>
      </c>
      <c r="AG6" s="8">
        <f t="shared" ref="AG6:AO28" ca="1" si="18">IFERROR(E6+S6,0)</f>
        <v>0</v>
      </c>
      <c r="AH6" s="24">
        <f t="shared" ref="AH6:AH29" ca="1" si="19">IFERROR((AG6/AF6)-1,0)</f>
        <v>0</v>
      </c>
      <c r="AI6" s="8">
        <f t="shared" ca="1" si="18"/>
        <v>0</v>
      </c>
      <c r="AJ6" s="24">
        <f t="shared" ref="AJ6:AP29" ca="1" si="20">IFERROR((AI6/AG6)-1,0)</f>
        <v>0</v>
      </c>
      <c r="AK6" s="8">
        <f t="shared" ca="1" si="18"/>
        <v>0</v>
      </c>
      <c r="AL6" s="24">
        <f t="shared" ca="1" si="20"/>
        <v>0</v>
      </c>
      <c r="AM6" s="8">
        <f t="shared" ca="1" si="18"/>
        <v>0</v>
      </c>
      <c r="AN6" s="24">
        <f t="shared" ca="1" si="20"/>
        <v>0</v>
      </c>
      <c r="AO6" s="8">
        <f t="shared" ca="1" si="18"/>
        <v>0</v>
      </c>
      <c r="AP6" s="24">
        <f t="shared" ca="1" si="20"/>
        <v>0</v>
      </c>
      <c r="AQ6" s="35">
        <f t="shared" ref="AQ6:AQ29" ca="1" si="21">IFERROR((AO6/AG6)-1,0)</f>
        <v>0</v>
      </c>
      <c r="AR6" s="24">
        <f t="shared" ref="AR6:AR29" ca="1" si="22">IFERROR(((1+AQ6)^(1/5))-1,0)</f>
        <v>0</v>
      </c>
    </row>
    <row r="7" spans="1:44" x14ac:dyDescent="0.2">
      <c r="A7" s="9" t="s">
        <v>85</v>
      </c>
      <c r="B7" s="10">
        <v>120795</v>
      </c>
      <c r="C7" s="10" t="str">
        <f t="shared" si="9"/>
        <v>Unaff: Mineral Rights</v>
      </c>
      <c r="D7" s="8">
        <f ca="1">IFERROR([1]!SNLData("287",$B$1,$B7,D$4,$C7, , "Options: NA="&amp;""),0)</f>
        <v>0</v>
      </c>
      <c r="E7" s="8">
        <f ca="1">IFERROR([1]!SNLData("287",$B$1,$B7,E$4,$C7, , "Options: NA="&amp;""),0)</f>
        <v>0</v>
      </c>
      <c r="F7" s="24">
        <f t="shared" ca="1" si="0"/>
        <v>0</v>
      </c>
      <c r="G7" s="8">
        <f ca="1">IFERROR([1]!SNLData("287",$B$1,$B7,G$4,$C7, , "Options: NA="&amp;""),0)</f>
        <v>0</v>
      </c>
      <c r="H7" s="24">
        <f t="shared" ca="1" si="10"/>
        <v>0</v>
      </c>
      <c r="I7" s="8">
        <f ca="1">IFERROR([1]!SNLData("287",$B$1,$B7,I$4,$C7, , "Options: NA="&amp;""),0)</f>
        <v>0</v>
      </c>
      <c r="J7" s="24">
        <f t="shared" ca="1" si="11"/>
        <v>0</v>
      </c>
      <c r="K7" s="8">
        <f ca="1">IFERROR([1]!SNLData("287",$B$1,$B7,K$4,$C7, , "Options: NA="&amp;""),0)</f>
        <v>0</v>
      </c>
      <c r="L7" s="24">
        <f t="shared" ca="1" si="12"/>
        <v>0</v>
      </c>
      <c r="M7" s="8">
        <f ca="1">IFERROR([1]!SNLData("287",$B$1,$B7,M$4,$C7, , "Options: NA="&amp;""),0)</f>
        <v>0</v>
      </c>
      <c r="N7" s="24">
        <f t="shared" ca="1" si="13"/>
        <v>0</v>
      </c>
      <c r="O7" s="24">
        <f t="shared" ca="1" si="14"/>
        <v>0</v>
      </c>
      <c r="P7" s="24">
        <f t="shared" ca="1" si="15"/>
        <v>0</v>
      </c>
      <c r="Q7" s="10" t="str">
        <f t="shared" si="16"/>
        <v>Aff: Mineral Rights</v>
      </c>
      <c r="R7" s="8">
        <f ca="1">IFERROR([1]!SNLData("287",$B$1,$B7,R$4,$Q7, , "Options: NA="&amp;""),0)</f>
        <v>0</v>
      </c>
      <c r="S7" s="8">
        <f ca="1">IFERROR([1]!SNLData("287",$B$1,$B7,S$4,$Q7, , "Options: NA="&amp;""),0)</f>
        <v>0</v>
      </c>
      <c r="T7" s="24">
        <f t="shared" ca="1" si="1"/>
        <v>0</v>
      </c>
      <c r="U7" s="8">
        <f ca="1">IFERROR([1]!SNLData("287",$B$1,$B7,U$4,$Q7, , "Options: NA="&amp;""),0)</f>
        <v>0</v>
      </c>
      <c r="V7" s="24">
        <f t="shared" ca="1" si="2"/>
        <v>0</v>
      </c>
      <c r="W7" s="8">
        <f ca="1">IFERROR([1]!SNLData("287",$B$1,$B7,W$4,$Q7, , "Options: NA="&amp;""),0)</f>
        <v>0</v>
      </c>
      <c r="X7" s="24">
        <f t="shared" ca="1" si="3"/>
        <v>0</v>
      </c>
      <c r="Y7" s="8">
        <f ca="1">IFERROR([1]!SNLData("287",$B$1,$B7,Y$4,$Q7, , "Options: NA="&amp;""),0)</f>
        <v>0</v>
      </c>
      <c r="Z7" s="24">
        <f t="shared" ca="1" si="4"/>
        <v>0</v>
      </c>
      <c r="AA7" s="8">
        <f ca="1">IFERROR([1]!SNLData("287",$B$1,$B7,AA$4,$Q7, , "Options: NA="&amp;""),0)</f>
        <v>0</v>
      </c>
      <c r="AB7" s="24">
        <f t="shared" ca="1" si="5"/>
        <v>0</v>
      </c>
      <c r="AC7" s="24">
        <f t="shared" ca="1" si="6"/>
        <v>0</v>
      </c>
      <c r="AD7" s="24">
        <f t="shared" ca="1" si="7"/>
        <v>0</v>
      </c>
      <c r="AE7" s="10" t="str">
        <f t="shared" si="8"/>
        <v>Total: Mineral Rights</v>
      </c>
      <c r="AF7" s="8">
        <f t="shared" ca="1" si="17"/>
        <v>0</v>
      </c>
      <c r="AG7" s="8">
        <f t="shared" ca="1" si="18"/>
        <v>0</v>
      </c>
      <c r="AH7" s="24">
        <f t="shared" ca="1" si="19"/>
        <v>0</v>
      </c>
      <c r="AI7" s="8">
        <f t="shared" ca="1" si="18"/>
        <v>0</v>
      </c>
      <c r="AJ7" s="24">
        <f t="shared" ca="1" si="20"/>
        <v>0</v>
      </c>
      <c r="AK7" s="8">
        <f t="shared" ca="1" si="18"/>
        <v>0</v>
      </c>
      <c r="AL7" s="24">
        <f t="shared" ca="1" si="20"/>
        <v>0</v>
      </c>
      <c r="AM7" s="8">
        <f t="shared" ca="1" si="18"/>
        <v>0</v>
      </c>
      <c r="AN7" s="24">
        <f t="shared" ca="1" si="20"/>
        <v>0</v>
      </c>
      <c r="AO7" s="8">
        <f t="shared" ca="1" si="18"/>
        <v>0</v>
      </c>
      <c r="AP7" s="24">
        <f t="shared" ca="1" si="20"/>
        <v>0</v>
      </c>
      <c r="AQ7" s="35">
        <f t="shared" ca="1" si="21"/>
        <v>0</v>
      </c>
      <c r="AR7" s="24">
        <f t="shared" ca="1" si="22"/>
        <v>0</v>
      </c>
    </row>
    <row r="8" spans="1:44" x14ac:dyDescent="0.2">
      <c r="A8" s="9" t="s">
        <v>86</v>
      </c>
      <c r="B8" s="10">
        <v>120795</v>
      </c>
      <c r="C8" s="10" t="str">
        <f t="shared" si="9"/>
        <v>Unaff: Fix/Var: Bonds</v>
      </c>
      <c r="D8" s="8">
        <f ca="1">IFERROR([1]!SNLData("287",$B$1,$B8,D$4,$C8, , "Options: NA="&amp;""),0)</f>
        <v>0</v>
      </c>
      <c r="E8" s="8">
        <f ca="1">IFERROR([1]!SNLData("287",$B$1,$B8,E$4,$C8, , "Options: NA="&amp;""),0)</f>
        <v>0</v>
      </c>
      <c r="F8" s="24">
        <f t="shared" ca="1" si="0"/>
        <v>0</v>
      </c>
      <c r="G8" s="8">
        <f ca="1">IFERROR([1]!SNLData("287",$B$1,$B8,G$4,$C8, , "Options: NA="&amp;""),0)</f>
        <v>0</v>
      </c>
      <c r="H8" s="24">
        <f t="shared" ca="1" si="10"/>
        <v>0</v>
      </c>
      <c r="I8" s="8">
        <f ca="1">IFERROR([1]!SNLData("287",$B$1,$B8,I$4,$C8, , "Options: NA="&amp;""),0)</f>
        <v>0</v>
      </c>
      <c r="J8" s="24">
        <f t="shared" ca="1" si="11"/>
        <v>0</v>
      </c>
      <c r="K8" s="8">
        <f ca="1">IFERROR([1]!SNLData("287",$B$1,$B8,K$4,$C8, , "Options: NA="&amp;""),0)</f>
        <v>0</v>
      </c>
      <c r="L8" s="24">
        <f t="shared" ca="1" si="12"/>
        <v>0</v>
      </c>
      <c r="M8" s="8">
        <f ca="1">IFERROR([1]!SNLData("287",$B$1,$B8,M$4,$C8, , "Options: NA="&amp;""),0)</f>
        <v>0</v>
      </c>
      <c r="N8" s="24">
        <f t="shared" ca="1" si="13"/>
        <v>0</v>
      </c>
      <c r="O8" s="24">
        <f t="shared" ca="1" si="14"/>
        <v>0</v>
      </c>
      <c r="P8" s="24">
        <f t="shared" ca="1" si="15"/>
        <v>0</v>
      </c>
      <c r="Q8" s="10" t="str">
        <f t="shared" si="16"/>
        <v>Aff: Fix/Var: Bonds</v>
      </c>
      <c r="R8" s="8">
        <f ca="1">IFERROR([1]!SNLData("287",$B$1,$B8,R$4,$Q8, , "Options: NA="&amp;""),0)</f>
        <v>0</v>
      </c>
      <c r="S8" s="8">
        <f ca="1">IFERROR([1]!SNLData("287",$B$1,$B8,S$4,$Q8, , "Options: NA="&amp;""),0)</f>
        <v>0</v>
      </c>
      <c r="T8" s="24">
        <f t="shared" ca="1" si="1"/>
        <v>0</v>
      </c>
      <c r="U8" s="8">
        <f ca="1">IFERROR([1]!SNLData("287",$B$1,$B8,U$4,$Q8, , "Options: NA="&amp;""),0)</f>
        <v>0</v>
      </c>
      <c r="V8" s="24">
        <f t="shared" ca="1" si="2"/>
        <v>0</v>
      </c>
      <c r="W8" s="8">
        <f ca="1">IFERROR([1]!SNLData("287",$B$1,$B8,W$4,$Q8, , "Options: NA="&amp;""),0)</f>
        <v>0</v>
      </c>
      <c r="X8" s="24">
        <f t="shared" ca="1" si="3"/>
        <v>0</v>
      </c>
      <c r="Y8" s="8">
        <f ca="1">IFERROR([1]!SNLData("287",$B$1,$B8,Y$4,$Q8, , "Options: NA="&amp;""),0)</f>
        <v>0</v>
      </c>
      <c r="Z8" s="24">
        <f t="shared" ca="1" si="4"/>
        <v>0</v>
      </c>
      <c r="AA8" s="8">
        <f ca="1">IFERROR([1]!SNLData("287",$B$1,$B8,AA$4,$Q8, , "Options: NA="&amp;""),0)</f>
        <v>0</v>
      </c>
      <c r="AB8" s="24">
        <f t="shared" ca="1" si="5"/>
        <v>0</v>
      </c>
      <c r="AC8" s="24">
        <f t="shared" ca="1" si="6"/>
        <v>0</v>
      </c>
      <c r="AD8" s="24">
        <f t="shared" ca="1" si="7"/>
        <v>0</v>
      </c>
      <c r="AE8" s="10" t="str">
        <f t="shared" si="8"/>
        <v>Total: Fix/Var: Bonds</v>
      </c>
      <c r="AF8" s="8">
        <f t="shared" ca="1" si="17"/>
        <v>0</v>
      </c>
      <c r="AG8" s="8">
        <f t="shared" ca="1" si="18"/>
        <v>0</v>
      </c>
      <c r="AH8" s="24">
        <f t="shared" ca="1" si="19"/>
        <v>0</v>
      </c>
      <c r="AI8" s="8">
        <f t="shared" ca="1" si="18"/>
        <v>0</v>
      </c>
      <c r="AJ8" s="24">
        <f t="shared" ca="1" si="20"/>
        <v>0</v>
      </c>
      <c r="AK8" s="8">
        <f t="shared" ca="1" si="18"/>
        <v>0</v>
      </c>
      <c r="AL8" s="24">
        <f t="shared" ca="1" si="20"/>
        <v>0</v>
      </c>
      <c r="AM8" s="8">
        <f t="shared" ca="1" si="18"/>
        <v>0</v>
      </c>
      <c r="AN8" s="24">
        <f t="shared" ca="1" si="20"/>
        <v>0</v>
      </c>
      <c r="AO8" s="8">
        <f t="shared" ca="1" si="18"/>
        <v>0</v>
      </c>
      <c r="AP8" s="24">
        <f t="shared" ca="1" si="20"/>
        <v>0</v>
      </c>
      <c r="AQ8" s="35">
        <f t="shared" ca="1" si="21"/>
        <v>0</v>
      </c>
      <c r="AR8" s="24">
        <f t="shared" ca="1" si="22"/>
        <v>0</v>
      </c>
    </row>
    <row r="9" spans="1:44" x14ac:dyDescent="0.2">
      <c r="A9" s="9" t="s">
        <v>87</v>
      </c>
      <c r="B9" s="10">
        <v>120795</v>
      </c>
      <c r="C9" s="10" t="str">
        <f t="shared" si="9"/>
        <v>Unaff: Fix/Var: Mrtg Fund</v>
      </c>
      <c r="D9" s="8">
        <f ca="1">IFERROR([1]!SNLData("287",$B$1,$B9,D$4,$C9, , "Options: NA="&amp;""),0)</f>
        <v>0</v>
      </c>
      <c r="E9" s="8">
        <f ca="1">IFERROR([1]!SNLData("287",$B$1,$B9,E$4,$C9, , "Options: NA="&amp;""),0)</f>
        <v>0</v>
      </c>
      <c r="F9" s="24">
        <f t="shared" ca="1" si="0"/>
        <v>0</v>
      </c>
      <c r="G9" s="8">
        <f ca="1">IFERROR([1]!SNLData("287",$B$1,$B9,G$4,$C9, , "Options: NA="&amp;""),0)</f>
        <v>0</v>
      </c>
      <c r="H9" s="24">
        <f t="shared" ca="1" si="10"/>
        <v>0</v>
      </c>
      <c r="I9" s="8">
        <f ca="1">IFERROR([1]!SNLData("287",$B$1,$B9,I$4,$C9, , "Options: NA="&amp;""),0)</f>
        <v>0</v>
      </c>
      <c r="J9" s="24">
        <f t="shared" ca="1" si="11"/>
        <v>0</v>
      </c>
      <c r="K9" s="8">
        <f ca="1">IFERROR([1]!SNLData("287",$B$1,$B9,K$4,$C9, , "Options: NA="&amp;""),0)</f>
        <v>0</v>
      </c>
      <c r="L9" s="24">
        <f t="shared" ca="1" si="12"/>
        <v>0</v>
      </c>
      <c r="M9" s="8">
        <f ca="1">IFERROR([1]!SNLData("287",$B$1,$B9,M$4,$C9, , "Options: NA="&amp;""),0)</f>
        <v>0</v>
      </c>
      <c r="N9" s="24">
        <f t="shared" ca="1" si="13"/>
        <v>0</v>
      </c>
      <c r="O9" s="24">
        <f t="shared" ca="1" si="14"/>
        <v>0</v>
      </c>
      <c r="P9" s="24">
        <f t="shared" ca="1" si="15"/>
        <v>0</v>
      </c>
      <c r="Q9" s="10" t="str">
        <f t="shared" si="16"/>
        <v>Aff: Fix/Var: Mrtg Fund</v>
      </c>
      <c r="R9" s="8">
        <f ca="1">IFERROR([1]!SNLData("287",$B$1,$B9,R$4,$Q9, , "Options: NA="&amp;""),0)</f>
        <v>0</v>
      </c>
      <c r="S9" s="8">
        <f ca="1">IFERROR([1]!SNLData("287",$B$1,$B9,S$4,$Q9, , "Options: NA="&amp;""),0)</f>
        <v>0</v>
      </c>
      <c r="T9" s="24">
        <f t="shared" ca="1" si="1"/>
        <v>0</v>
      </c>
      <c r="U9" s="8">
        <f ca="1">IFERROR([1]!SNLData("287",$B$1,$B9,U$4,$Q9, , "Options: NA="&amp;""),0)</f>
        <v>0</v>
      </c>
      <c r="V9" s="24">
        <f t="shared" ca="1" si="2"/>
        <v>0</v>
      </c>
      <c r="W9" s="8">
        <f ca="1">IFERROR([1]!SNLData("287",$B$1,$B9,W$4,$Q9, , "Options: NA="&amp;""),0)</f>
        <v>0</v>
      </c>
      <c r="X9" s="24">
        <f t="shared" ca="1" si="3"/>
        <v>0</v>
      </c>
      <c r="Y9" s="8">
        <f ca="1">IFERROR([1]!SNLData("287",$B$1,$B9,Y$4,$Q9, , "Options: NA="&amp;""),0)</f>
        <v>0</v>
      </c>
      <c r="Z9" s="24">
        <f t="shared" ca="1" si="4"/>
        <v>0</v>
      </c>
      <c r="AA9" s="8">
        <f ca="1">IFERROR([1]!SNLData("287",$B$1,$B9,AA$4,$Q9, , "Options: NA="&amp;""),0)</f>
        <v>0</v>
      </c>
      <c r="AB9" s="24">
        <f t="shared" ca="1" si="5"/>
        <v>0</v>
      </c>
      <c r="AC9" s="24">
        <f t="shared" ca="1" si="6"/>
        <v>0</v>
      </c>
      <c r="AD9" s="24">
        <f t="shared" ca="1" si="7"/>
        <v>0</v>
      </c>
      <c r="AE9" s="10" t="str">
        <f t="shared" si="8"/>
        <v>Total: Fix/Var: Mrtg Fund</v>
      </c>
      <c r="AF9" s="8">
        <f t="shared" ca="1" si="17"/>
        <v>0</v>
      </c>
      <c r="AG9" s="8">
        <f t="shared" ca="1" si="18"/>
        <v>0</v>
      </c>
      <c r="AH9" s="24">
        <f t="shared" ca="1" si="19"/>
        <v>0</v>
      </c>
      <c r="AI9" s="8">
        <f t="shared" ca="1" si="18"/>
        <v>0</v>
      </c>
      <c r="AJ9" s="24">
        <f t="shared" ca="1" si="20"/>
        <v>0</v>
      </c>
      <c r="AK9" s="8">
        <f t="shared" ca="1" si="18"/>
        <v>0</v>
      </c>
      <c r="AL9" s="24">
        <f t="shared" ca="1" si="20"/>
        <v>0</v>
      </c>
      <c r="AM9" s="8">
        <f t="shared" ca="1" si="18"/>
        <v>0</v>
      </c>
      <c r="AN9" s="24">
        <f t="shared" ca="1" si="20"/>
        <v>0</v>
      </c>
      <c r="AO9" s="8">
        <f t="shared" ca="1" si="18"/>
        <v>0</v>
      </c>
      <c r="AP9" s="24">
        <f t="shared" ca="1" si="20"/>
        <v>0</v>
      </c>
      <c r="AQ9" s="35">
        <f t="shared" ca="1" si="21"/>
        <v>0</v>
      </c>
      <c r="AR9" s="24">
        <f t="shared" ca="1" si="22"/>
        <v>0</v>
      </c>
    </row>
    <row r="10" spans="1:44" x14ac:dyDescent="0.2">
      <c r="A10" s="9" t="s">
        <v>88</v>
      </c>
      <c r="B10" s="10">
        <v>120795</v>
      </c>
      <c r="C10" s="10" t="str">
        <f t="shared" si="9"/>
        <v>Unaff: Fix/Var: Oth Fix Inc</v>
      </c>
      <c r="D10" s="8">
        <f ca="1">IFERROR([1]!SNLData("287",$B$1,$B10,D$4,$C10, , "Options: NA="&amp;""),0)</f>
        <v>0</v>
      </c>
      <c r="E10" s="8">
        <f ca="1">IFERROR([1]!SNLData("287",$B$1,$B10,E$4,$C10, , "Options: NA="&amp;""),0)</f>
        <v>0</v>
      </c>
      <c r="F10" s="24">
        <f t="shared" ca="1" si="0"/>
        <v>0</v>
      </c>
      <c r="G10" s="8">
        <f ca="1">IFERROR([1]!SNLData("287",$B$1,$B10,G$4,$C10, , "Options: NA="&amp;""),0)</f>
        <v>0</v>
      </c>
      <c r="H10" s="24">
        <f t="shared" ca="1" si="10"/>
        <v>0</v>
      </c>
      <c r="I10" s="8">
        <f ca="1">IFERROR([1]!SNLData("287",$B$1,$B10,I$4,$C10, , "Options: NA="&amp;""),0)</f>
        <v>0</v>
      </c>
      <c r="J10" s="24">
        <f t="shared" ca="1" si="11"/>
        <v>0</v>
      </c>
      <c r="K10" s="8">
        <f ca="1">IFERROR([1]!SNLData("287",$B$1,$B10,K$4,$C10, , "Options: NA="&amp;""),0)</f>
        <v>0</v>
      </c>
      <c r="L10" s="24">
        <f t="shared" ca="1" si="12"/>
        <v>0</v>
      </c>
      <c r="M10" s="8">
        <f ca="1">IFERROR([1]!SNLData("287",$B$1,$B10,M$4,$C10, , "Options: NA="&amp;""),0)</f>
        <v>0</v>
      </c>
      <c r="N10" s="24">
        <f t="shared" ca="1" si="13"/>
        <v>0</v>
      </c>
      <c r="O10" s="24">
        <f t="shared" ca="1" si="14"/>
        <v>0</v>
      </c>
      <c r="P10" s="24">
        <f t="shared" ca="1" si="15"/>
        <v>0</v>
      </c>
      <c r="Q10" s="10" t="str">
        <f t="shared" si="16"/>
        <v>Aff: Fix/Var: Oth Fix Inc</v>
      </c>
      <c r="R10" s="8">
        <f ca="1">IFERROR([1]!SNLData("287",$B$1,$B10,R$4,$Q10, , "Options: NA="&amp;""),0)</f>
        <v>0</v>
      </c>
      <c r="S10" s="8">
        <f ca="1">IFERROR([1]!SNLData("287",$B$1,$B10,S$4,$Q10, , "Options: NA="&amp;""),0)</f>
        <v>0</v>
      </c>
      <c r="T10" s="24">
        <f t="shared" ca="1" si="1"/>
        <v>0</v>
      </c>
      <c r="U10" s="8">
        <f ca="1">IFERROR([1]!SNLData("287",$B$1,$B10,U$4,$Q10, , "Options: NA="&amp;""),0)</f>
        <v>0</v>
      </c>
      <c r="V10" s="24">
        <f t="shared" ca="1" si="2"/>
        <v>0</v>
      </c>
      <c r="W10" s="8">
        <f ca="1">IFERROR([1]!SNLData("287",$B$1,$B10,W$4,$Q10, , "Options: NA="&amp;""),0)</f>
        <v>0</v>
      </c>
      <c r="X10" s="24">
        <f t="shared" ca="1" si="3"/>
        <v>0</v>
      </c>
      <c r="Y10" s="8">
        <f ca="1">IFERROR([1]!SNLData("287",$B$1,$B10,Y$4,$Q10, , "Options: NA="&amp;""),0)</f>
        <v>0</v>
      </c>
      <c r="Z10" s="24">
        <f t="shared" ca="1" si="4"/>
        <v>0</v>
      </c>
      <c r="AA10" s="8">
        <f ca="1">IFERROR([1]!SNLData("287",$B$1,$B10,AA$4,$Q10, , "Options: NA="&amp;""),0)</f>
        <v>0</v>
      </c>
      <c r="AB10" s="24">
        <f t="shared" ca="1" si="5"/>
        <v>0</v>
      </c>
      <c r="AC10" s="24">
        <f t="shared" ca="1" si="6"/>
        <v>0</v>
      </c>
      <c r="AD10" s="24">
        <f t="shared" ca="1" si="7"/>
        <v>0</v>
      </c>
      <c r="AE10" s="10" t="str">
        <f t="shared" si="8"/>
        <v>Total: Fix/Var: Oth Fix Inc</v>
      </c>
      <c r="AF10" s="8">
        <f t="shared" ca="1" si="17"/>
        <v>0</v>
      </c>
      <c r="AG10" s="8">
        <f t="shared" ca="1" si="18"/>
        <v>0</v>
      </c>
      <c r="AH10" s="24">
        <f t="shared" ca="1" si="19"/>
        <v>0</v>
      </c>
      <c r="AI10" s="8">
        <f t="shared" ca="1" si="18"/>
        <v>0</v>
      </c>
      <c r="AJ10" s="24">
        <f t="shared" ca="1" si="20"/>
        <v>0</v>
      </c>
      <c r="AK10" s="8">
        <f t="shared" ca="1" si="18"/>
        <v>0</v>
      </c>
      <c r="AL10" s="24">
        <f t="shared" ca="1" si="20"/>
        <v>0</v>
      </c>
      <c r="AM10" s="8">
        <f t="shared" ca="1" si="18"/>
        <v>0</v>
      </c>
      <c r="AN10" s="24">
        <f t="shared" ca="1" si="20"/>
        <v>0</v>
      </c>
      <c r="AO10" s="8">
        <f t="shared" ca="1" si="18"/>
        <v>0</v>
      </c>
      <c r="AP10" s="24">
        <f t="shared" ca="1" si="20"/>
        <v>0</v>
      </c>
      <c r="AQ10" s="35">
        <f t="shared" ca="1" si="21"/>
        <v>0</v>
      </c>
      <c r="AR10" s="24">
        <f t="shared" ca="1" si="22"/>
        <v>0</v>
      </c>
    </row>
    <row r="11" spans="1:44" x14ac:dyDescent="0.2">
      <c r="A11" s="9" t="s">
        <v>89</v>
      </c>
      <c r="B11" s="10">
        <v>120795</v>
      </c>
      <c r="C11" s="10" t="str">
        <f t="shared" si="9"/>
        <v>Unaff: JV, LLCs: Fix Income</v>
      </c>
      <c r="D11" s="8">
        <f ca="1">IFERROR([1]!SNLData("287",$B$1,$B11,D$4,$C11, , "Options: NA="&amp;""),0)</f>
        <v>0</v>
      </c>
      <c r="E11" s="8">
        <f ca="1">IFERROR([1]!SNLData("287",$B$1,$B11,E$4,$C11, , "Options: NA="&amp;""),0)</f>
        <v>0</v>
      </c>
      <c r="F11" s="24">
        <f ca="1">IFERROR((E11/D11)-1,0)</f>
        <v>0</v>
      </c>
      <c r="G11" s="8">
        <f ca="1">IFERROR([1]!SNLData("287",$B$1,$B11,G$4,$C11, , "Options: NA="&amp;""),0)</f>
        <v>0</v>
      </c>
      <c r="H11" s="24">
        <f t="shared" ca="1" si="10"/>
        <v>0</v>
      </c>
      <c r="I11" s="8">
        <f ca="1">IFERROR([1]!SNLData("287",$B$1,$B11,I$4,$C11, , "Options: NA="&amp;""),0)</f>
        <v>0</v>
      </c>
      <c r="J11" s="24">
        <f t="shared" ca="1" si="11"/>
        <v>0</v>
      </c>
      <c r="K11" s="8">
        <f ca="1">IFERROR([1]!SNLData("287",$B$1,$B11,K$4,$C11, , "Options: NA="&amp;""),0)</f>
        <v>0</v>
      </c>
      <c r="L11" s="24">
        <f t="shared" ca="1" si="12"/>
        <v>0</v>
      </c>
      <c r="M11" s="8">
        <f ca="1">IFERROR([1]!SNLData("287",$B$1,$B11,M$4,$C11, , "Options: NA="&amp;""),0)</f>
        <v>0</v>
      </c>
      <c r="N11" s="24">
        <f t="shared" ca="1" si="13"/>
        <v>0</v>
      </c>
      <c r="O11" s="24">
        <f t="shared" ca="1" si="14"/>
        <v>0</v>
      </c>
      <c r="P11" s="24">
        <f t="shared" ca="1" si="15"/>
        <v>0</v>
      </c>
      <c r="Q11" s="10" t="str">
        <f t="shared" si="16"/>
        <v>Aff: JV, LLCs: Fix Income</v>
      </c>
      <c r="R11" s="8">
        <f ca="1">IFERROR([1]!SNLData("287",$B$1,$B11,R$4,$Q11, , "Options: NA="&amp;""),0)</f>
        <v>0</v>
      </c>
      <c r="S11" s="8">
        <f ca="1">IFERROR([1]!SNLData("287",$B$1,$B11,S$4,$Q11, , "Options: NA="&amp;""),0)</f>
        <v>0</v>
      </c>
      <c r="T11" s="24">
        <f t="shared" ca="1" si="1"/>
        <v>0</v>
      </c>
      <c r="U11" s="8">
        <f ca="1">IFERROR([1]!SNLData("287",$B$1,$B11,U$4,$Q11, , "Options: NA="&amp;""),0)</f>
        <v>0</v>
      </c>
      <c r="V11" s="24">
        <f t="shared" ca="1" si="2"/>
        <v>0</v>
      </c>
      <c r="W11" s="8">
        <f ca="1">IFERROR([1]!SNLData("287",$B$1,$B11,W$4,$Q11, , "Options: NA="&amp;""),0)</f>
        <v>0</v>
      </c>
      <c r="X11" s="24">
        <f t="shared" ca="1" si="3"/>
        <v>0</v>
      </c>
      <c r="Y11" s="8">
        <f ca="1">IFERROR([1]!SNLData("287",$B$1,$B11,Y$4,$Q11, , "Options: NA="&amp;""),0)</f>
        <v>0</v>
      </c>
      <c r="Z11" s="24">
        <f t="shared" ca="1" si="4"/>
        <v>0</v>
      </c>
      <c r="AA11" s="8">
        <f ca="1">IFERROR([1]!SNLData("287",$B$1,$B11,AA$4,$Q11, , "Options: NA="&amp;""),0)</f>
        <v>0</v>
      </c>
      <c r="AB11" s="24">
        <f t="shared" ca="1" si="5"/>
        <v>0</v>
      </c>
      <c r="AC11" s="24">
        <f t="shared" ca="1" si="6"/>
        <v>0</v>
      </c>
      <c r="AD11" s="24">
        <f t="shared" ca="1" si="7"/>
        <v>0</v>
      </c>
      <c r="AE11" s="10" t="str">
        <f t="shared" si="8"/>
        <v>Total: JV, LLCs: Fix Income</v>
      </c>
      <c r="AF11" s="8">
        <f t="shared" ca="1" si="17"/>
        <v>0</v>
      </c>
      <c r="AG11" s="8">
        <f t="shared" ca="1" si="18"/>
        <v>0</v>
      </c>
      <c r="AH11" s="24">
        <f t="shared" ca="1" si="19"/>
        <v>0</v>
      </c>
      <c r="AI11" s="8">
        <f t="shared" ca="1" si="18"/>
        <v>0</v>
      </c>
      <c r="AJ11" s="24">
        <f t="shared" ca="1" si="20"/>
        <v>0</v>
      </c>
      <c r="AK11" s="8">
        <f t="shared" ca="1" si="18"/>
        <v>0</v>
      </c>
      <c r="AL11" s="24">
        <f t="shared" ca="1" si="20"/>
        <v>0</v>
      </c>
      <c r="AM11" s="8">
        <f t="shared" ca="1" si="18"/>
        <v>0</v>
      </c>
      <c r="AN11" s="24">
        <f t="shared" ca="1" si="20"/>
        <v>0</v>
      </c>
      <c r="AO11" s="8">
        <f t="shared" ca="1" si="18"/>
        <v>0</v>
      </c>
      <c r="AP11" s="24">
        <f t="shared" ca="1" si="20"/>
        <v>0</v>
      </c>
      <c r="AQ11" s="35">
        <f t="shared" ca="1" si="21"/>
        <v>0</v>
      </c>
      <c r="AR11" s="24">
        <f t="shared" ca="1" si="22"/>
        <v>0</v>
      </c>
    </row>
    <row r="12" spans="1:44" x14ac:dyDescent="0.2">
      <c r="A12" s="9" t="s">
        <v>90</v>
      </c>
      <c r="B12" s="10">
        <v>120795</v>
      </c>
      <c r="C12" s="10" t="str">
        <f t="shared" si="9"/>
        <v>Unaff: JV, LLCs: Common Stock</v>
      </c>
      <c r="D12" s="8">
        <f ca="1">IFERROR([1]!SNLData("287",$B$1,$B12,D$4,$C12, , "Options: NA="&amp;""),0)</f>
        <v>0</v>
      </c>
      <c r="E12" s="8">
        <f ca="1">IFERROR([1]!SNLData("287",$B$1,$B12,E$4,$C12, , "Options: NA="&amp;""),0)</f>
        <v>0</v>
      </c>
      <c r="F12" s="24">
        <f t="shared" ref="F12:F29" ca="1" si="23">IFERROR((E12/D12)-1,0)</f>
        <v>0</v>
      </c>
      <c r="G12" s="8">
        <f ca="1">IFERROR([1]!SNLData("287",$B$1,$B12,G$4,$C12, , "Options: NA="&amp;""),0)</f>
        <v>0</v>
      </c>
      <c r="H12" s="24">
        <f t="shared" ca="1" si="10"/>
        <v>0</v>
      </c>
      <c r="I12" s="8">
        <f ca="1">IFERROR([1]!SNLData("287",$B$1,$B12,I$4,$C12, , "Options: NA="&amp;""),0)</f>
        <v>0</v>
      </c>
      <c r="J12" s="24">
        <f t="shared" ca="1" si="11"/>
        <v>0</v>
      </c>
      <c r="K12" s="8">
        <f ca="1">IFERROR([1]!SNLData("287",$B$1,$B12,K$4,$C12, , "Options: NA="&amp;""),0)</f>
        <v>0</v>
      </c>
      <c r="L12" s="24">
        <f t="shared" ca="1" si="12"/>
        <v>0</v>
      </c>
      <c r="M12" s="8">
        <f ca="1">IFERROR([1]!SNLData("287",$B$1,$B12,M$4,$C12, , "Options: NA="&amp;""),0)</f>
        <v>0</v>
      </c>
      <c r="N12" s="24">
        <f t="shared" ca="1" si="13"/>
        <v>0</v>
      </c>
      <c r="O12" s="24">
        <f t="shared" ca="1" si="14"/>
        <v>0</v>
      </c>
      <c r="P12" s="24">
        <f t="shared" ca="1" si="15"/>
        <v>0</v>
      </c>
      <c r="Q12" s="10" t="str">
        <f t="shared" si="16"/>
        <v>Aff: JV, LLCs: Common Stock</v>
      </c>
      <c r="R12" s="8">
        <f ca="1">IFERROR([1]!SNLData("287",$B$1,$B12,R$4,$Q12, , "Options: NA="&amp;""),0)</f>
        <v>0</v>
      </c>
      <c r="S12" s="8">
        <f ca="1">IFERROR([1]!SNLData("287",$B$1,$B12,S$4,$Q12, , "Options: NA="&amp;""),0)</f>
        <v>0</v>
      </c>
      <c r="T12" s="24">
        <f t="shared" ca="1" si="1"/>
        <v>0</v>
      </c>
      <c r="U12" s="8">
        <f ca="1">IFERROR([1]!SNLData("287",$B$1,$B12,U$4,$Q12, , "Options: NA="&amp;""),0)</f>
        <v>0</v>
      </c>
      <c r="V12" s="24">
        <f t="shared" ca="1" si="2"/>
        <v>0</v>
      </c>
      <c r="W12" s="8">
        <f ca="1">IFERROR([1]!SNLData("287",$B$1,$B12,W$4,$Q12, , "Options: NA="&amp;""),0)</f>
        <v>0</v>
      </c>
      <c r="X12" s="24">
        <f t="shared" ca="1" si="3"/>
        <v>0</v>
      </c>
      <c r="Y12" s="8">
        <f ca="1">IFERROR([1]!SNLData("287",$B$1,$B12,Y$4,$Q12, , "Options: NA="&amp;""),0)</f>
        <v>0</v>
      </c>
      <c r="Z12" s="24">
        <f t="shared" ca="1" si="4"/>
        <v>0</v>
      </c>
      <c r="AA12" s="8">
        <f ca="1">IFERROR([1]!SNLData("287",$B$1,$B12,AA$4,$Q12, , "Options: NA="&amp;""),0)</f>
        <v>0</v>
      </c>
      <c r="AB12" s="24">
        <f t="shared" ca="1" si="5"/>
        <v>0</v>
      </c>
      <c r="AC12" s="24">
        <f t="shared" ca="1" si="6"/>
        <v>0</v>
      </c>
      <c r="AD12" s="24">
        <f t="shared" ca="1" si="7"/>
        <v>0</v>
      </c>
      <c r="AE12" s="10" t="str">
        <f t="shared" si="8"/>
        <v>Total: JV, LLCs: Common Stock</v>
      </c>
      <c r="AF12" s="8">
        <f t="shared" ca="1" si="17"/>
        <v>0</v>
      </c>
      <c r="AG12" s="8">
        <f t="shared" ca="1" si="18"/>
        <v>0</v>
      </c>
      <c r="AH12" s="24">
        <f t="shared" ca="1" si="19"/>
        <v>0</v>
      </c>
      <c r="AI12" s="8">
        <f t="shared" ca="1" si="18"/>
        <v>0</v>
      </c>
      <c r="AJ12" s="24">
        <f t="shared" ca="1" si="20"/>
        <v>0</v>
      </c>
      <c r="AK12" s="8">
        <f t="shared" ca="1" si="18"/>
        <v>0</v>
      </c>
      <c r="AL12" s="24">
        <f t="shared" ca="1" si="20"/>
        <v>0</v>
      </c>
      <c r="AM12" s="8">
        <f t="shared" ca="1" si="18"/>
        <v>0</v>
      </c>
      <c r="AN12" s="24">
        <f t="shared" ca="1" si="20"/>
        <v>0</v>
      </c>
      <c r="AO12" s="8">
        <f t="shared" ca="1" si="18"/>
        <v>0</v>
      </c>
      <c r="AP12" s="24">
        <f t="shared" ca="1" si="20"/>
        <v>0</v>
      </c>
      <c r="AQ12" s="35">
        <f t="shared" ca="1" si="21"/>
        <v>0</v>
      </c>
      <c r="AR12" s="24">
        <f t="shared" ca="1" si="22"/>
        <v>0</v>
      </c>
    </row>
    <row r="13" spans="1:44" x14ac:dyDescent="0.2">
      <c r="A13" s="9" t="s">
        <v>91</v>
      </c>
      <c r="B13" s="10">
        <v>120795</v>
      </c>
      <c r="C13" s="10" t="str">
        <f t="shared" si="9"/>
        <v>Unaff: JV, LLCs: Real Estate</v>
      </c>
      <c r="D13" s="8">
        <f ca="1">IFERROR([1]!SNLData("287",$B$1,$B13,D$4,$C13, , "Options: NA="&amp;""),0)</f>
        <v>459749.65</v>
      </c>
      <c r="E13" s="8">
        <f ca="1">IFERROR([1]!SNLData("287",$B$1,$B13,E$4,$C13, , "Options: NA="&amp;""),0)</f>
        <v>502902.83900000004</v>
      </c>
      <c r="F13" s="24">
        <f t="shared" ca="1" si="23"/>
        <v>9.3862364006150001E-2</v>
      </c>
      <c r="G13" s="8">
        <f ca="1">IFERROR([1]!SNLData("287",$B$1,$B13,G$4,$C13, , "Options: NA="&amp;""),0)</f>
        <v>497380.19200000004</v>
      </c>
      <c r="H13" s="24">
        <f t="shared" ca="1" si="10"/>
        <v>-1.0981538722234174E-2</v>
      </c>
      <c r="I13" s="8">
        <f ca="1">IFERROR([1]!SNLData("287",$B$1,$B13,I$4,$C13, , "Options: NA="&amp;""),0)</f>
        <v>321566.212</v>
      </c>
      <c r="J13" s="24">
        <f t="shared" ca="1" si="11"/>
        <v>-0.35348005977688801</v>
      </c>
      <c r="K13" s="8">
        <f ca="1">IFERROR([1]!SNLData("287",$B$1,$B13,K$4,$C13, , "Options: NA="&amp;""),0)</f>
        <v>258178.234</v>
      </c>
      <c r="L13" s="24">
        <f t="shared" ca="1" si="12"/>
        <v>-0.19712263177699774</v>
      </c>
      <c r="M13" s="8">
        <f ca="1">IFERROR([1]!SNLData("287",$B$1,$B13,M$4,$C13, , "Options: NA="&amp;""),0)</f>
        <v>0</v>
      </c>
      <c r="N13" s="24">
        <f t="shared" ca="1" si="13"/>
        <v>-1</v>
      </c>
      <c r="O13" s="24">
        <f t="shared" ca="1" si="14"/>
        <v>-1</v>
      </c>
      <c r="P13" s="24">
        <f t="shared" ca="1" si="15"/>
        <v>-1</v>
      </c>
      <c r="Q13" s="10" t="str">
        <f t="shared" si="16"/>
        <v>Aff: JV, LLCs: Real Estate</v>
      </c>
      <c r="R13" s="8">
        <f ca="1">IFERROR([1]!SNLData("287",$B$1,$B13,R$4,$Q13, , "Options: NA="&amp;""),0)</f>
        <v>0</v>
      </c>
      <c r="S13" s="8">
        <f ca="1">IFERROR([1]!SNLData("287",$B$1,$B13,S$4,$Q13, , "Options: NA="&amp;""),0)</f>
        <v>0</v>
      </c>
      <c r="T13" s="24">
        <f t="shared" ca="1" si="1"/>
        <v>0</v>
      </c>
      <c r="U13" s="8">
        <f ca="1">IFERROR([1]!SNLData("287",$B$1,$B13,U$4,$Q13, , "Options: NA="&amp;""),0)</f>
        <v>0</v>
      </c>
      <c r="V13" s="24">
        <f t="shared" ca="1" si="2"/>
        <v>0</v>
      </c>
      <c r="W13" s="8">
        <f ca="1">IFERROR([1]!SNLData("287",$B$1,$B13,W$4,$Q13, , "Options: NA="&amp;""),0)</f>
        <v>215873.86800000002</v>
      </c>
      <c r="X13" s="24">
        <f t="shared" ca="1" si="3"/>
        <v>0</v>
      </c>
      <c r="Y13" s="8">
        <f ca="1">IFERROR([1]!SNLData("287",$B$1,$B13,Y$4,$Q13, , "Options: NA="&amp;""),0)</f>
        <v>423468.08100000001</v>
      </c>
      <c r="Z13" s="24">
        <f t="shared" ca="1" si="4"/>
        <v>0.96164586720612233</v>
      </c>
      <c r="AA13" s="8">
        <f ca="1">IFERROR([1]!SNLData("287",$B$1,$B13,AA$4,$Q13, , "Options: NA="&amp;""),0)</f>
        <v>0</v>
      </c>
      <c r="AB13" s="24">
        <f t="shared" ca="1" si="5"/>
        <v>-1</v>
      </c>
      <c r="AC13" s="24">
        <f t="shared" ca="1" si="6"/>
        <v>0</v>
      </c>
      <c r="AD13" s="24">
        <f t="shared" ca="1" si="7"/>
        <v>0</v>
      </c>
      <c r="AE13" s="10" t="str">
        <f t="shared" si="8"/>
        <v>Total: JV, LLCs: Real Estate</v>
      </c>
      <c r="AF13" s="8">
        <f t="shared" ca="1" si="17"/>
        <v>459749.65</v>
      </c>
      <c r="AG13" s="8">
        <f t="shared" ca="1" si="18"/>
        <v>502902.83900000004</v>
      </c>
      <c r="AH13" s="24">
        <f t="shared" ca="1" si="19"/>
        <v>9.3862364006150001E-2</v>
      </c>
      <c r="AI13" s="8">
        <f t="shared" ca="1" si="18"/>
        <v>497380.19200000004</v>
      </c>
      <c r="AJ13" s="24">
        <f t="shared" ca="1" si="20"/>
        <v>-1.0981538722234174E-2</v>
      </c>
      <c r="AK13" s="8">
        <f t="shared" ca="1" si="18"/>
        <v>537440.08000000007</v>
      </c>
      <c r="AL13" s="24">
        <f t="shared" ca="1" si="20"/>
        <v>8.0541784020220941E-2</v>
      </c>
      <c r="AM13" s="8">
        <f t="shared" ca="1" si="18"/>
        <v>681646.31499999994</v>
      </c>
      <c r="AN13" s="24">
        <f t="shared" ca="1" si="20"/>
        <v>0.26832058189631081</v>
      </c>
      <c r="AO13" s="8">
        <f t="shared" ca="1" si="18"/>
        <v>0</v>
      </c>
      <c r="AP13" s="24">
        <f t="shared" ca="1" si="20"/>
        <v>-1</v>
      </c>
      <c r="AQ13" s="35">
        <f t="shared" ca="1" si="21"/>
        <v>-1</v>
      </c>
      <c r="AR13" s="24">
        <f t="shared" ca="1" si="22"/>
        <v>-1</v>
      </c>
    </row>
    <row r="14" spans="1:44" x14ac:dyDescent="0.2">
      <c r="A14" s="9" t="s">
        <v>92</v>
      </c>
      <c r="B14" s="10">
        <v>120795</v>
      </c>
      <c r="C14" s="10" t="str">
        <f t="shared" si="9"/>
        <v>Unaff: JV LLCs: Mrtg Loans</v>
      </c>
      <c r="D14" s="8" t="str">
        <f ca="1">IFERROR([1]!SNLData("287",$B$1,$B14,D$4,$C14, , "Options: NA="&amp;""),0)</f>
        <v/>
      </c>
      <c r="E14" s="8" t="str">
        <f ca="1">IFERROR([1]!SNLData("287",$B$1,$B14,E$4,$C14, , "Options: NA="&amp;""),0)</f>
        <v/>
      </c>
      <c r="F14" s="24">
        <f t="shared" ca="1" si="23"/>
        <v>0</v>
      </c>
      <c r="G14" s="8" t="str">
        <f ca="1">IFERROR([1]!SNLData("287",$B$1,$B14,G$4,$C14, , "Options: NA="&amp;""),0)</f>
        <v/>
      </c>
      <c r="H14" s="24">
        <f t="shared" ca="1" si="10"/>
        <v>0</v>
      </c>
      <c r="I14" s="8">
        <f ca="1">IFERROR([1]!SNLData("287",$B$1,$B14,I$4,$C14, , "Options: NA="&amp;""),0)</f>
        <v>73028.694000000003</v>
      </c>
      <c r="J14" s="24">
        <f t="shared" ca="1" si="11"/>
        <v>0</v>
      </c>
      <c r="K14" s="8">
        <f ca="1">IFERROR([1]!SNLData("287",$B$1,$B14,K$4,$C14, , "Options: NA="&amp;""),0)</f>
        <v>62589.061000000002</v>
      </c>
      <c r="L14" s="24">
        <f t="shared" ca="1" si="12"/>
        <v>-0.14295248111653214</v>
      </c>
      <c r="M14" s="8">
        <f ca="1">IFERROR([1]!SNLData("287",$B$1,$B14,M$4,$C14, , "Options: NA="&amp;""),0)</f>
        <v>0</v>
      </c>
      <c r="N14" s="24">
        <f t="shared" ca="1" si="13"/>
        <v>-1</v>
      </c>
      <c r="O14" s="24">
        <f t="shared" ca="1" si="14"/>
        <v>0</v>
      </c>
      <c r="P14" s="24">
        <f t="shared" ca="1" si="15"/>
        <v>0</v>
      </c>
      <c r="Q14" s="10" t="str">
        <f t="shared" si="16"/>
        <v>Aff: JV LLCs: Mrtg Loans</v>
      </c>
      <c r="R14" s="8" t="str">
        <f ca="1">IFERROR([1]!SNLData("287",$B$1,$B14,R$4,$Q14, , "Options: NA="&amp;""),0)</f>
        <v/>
      </c>
      <c r="S14" s="8" t="str">
        <f ca="1">IFERROR([1]!SNLData("287",$B$1,$B14,S$4,$Q14, , "Options: NA="&amp;""),0)</f>
        <v/>
      </c>
      <c r="T14" s="24">
        <f t="shared" ca="1" si="1"/>
        <v>0</v>
      </c>
      <c r="U14" s="8" t="str">
        <f ca="1">IFERROR([1]!SNLData("287",$B$1,$B14,U$4,$Q14, , "Options: NA="&amp;""),0)</f>
        <v/>
      </c>
      <c r="V14" s="24">
        <f t="shared" ca="1" si="2"/>
        <v>0</v>
      </c>
      <c r="W14" s="8">
        <f ca="1">IFERROR([1]!SNLData("287",$B$1,$B14,W$4,$Q14, , "Options: NA="&amp;""),0)</f>
        <v>0</v>
      </c>
      <c r="X14" s="24">
        <f t="shared" ca="1" si="3"/>
        <v>0</v>
      </c>
      <c r="Y14" s="8">
        <f ca="1">IFERROR([1]!SNLData("287",$B$1,$B14,Y$4,$Q14, , "Options: NA="&amp;""),0)</f>
        <v>0</v>
      </c>
      <c r="Z14" s="24">
        <f t="shared" ca="1" si="4"/>
        <v>0</v>
      </c>
      <c r="AA14" s="8">
        <f ca="1">IFERROR([1]!SNLData("287",$B$1,$B14,AA$4,$Q14, , "Options: NA="&amp;""),0)</f>
        <v>0</v>
      </c>
      <c r="AB14" s="24">
        <f t="shared" ca="1" si="5"/>
        <v>0</v>
      </c>
      <c r="AC14" s="24">
        <f t="shared" ca="1" si="6"/>
        <v>0</v>
      </c>
      <c r="AD14" s="24">
        <f t="shared" ca="1" si="7"/>
        <v>0</v>
      </c>
      <c r="AE14" s="10" t="str">
        <f t="shared" si="8"/>
        <v>Total: JV LLCs: Mrtg Loans</v>
      </c>
      <c r="AF14" s="8">
        <f t="shared" ca="1" si="17"/>
        <v>0</v>
      </c>
      <c r="AG14" s="8">
        <f t="shared" ca="1" si="18"/>
        <v>0</v>
      </c>
      <c r="AH14" s="24">
        <f t="shared" ca="1" si="19"/>
        <v>0</v>
      </c>
      <c r="AI14" s="8">
        <f t="shared" ca="1" si="18"/>
        <v>0</v>
      </c>
      <c r="AJ14" s="24">
        <f t="shared" ca="1" si="20"/>
        <v>0</v>
      </c>
      <c r="AK14" s="8">
        <f t="shared" ca="1" si="18"/>
        <v>73028.694000000003</v>
      </c>
      <c r="AL14" s="24">
        <f t="shared" ca="1" si="20"/>
        <v>0</v>
      </c>
      <c r="AM14" s="8">
        <f t="shared" ca="1" si="18"/>
        <v>62589.061000000002</v>
      </c>
      <c r="AN14" s="24">
        <f t="shared" ca="1" si="20"/>
        <v>-0.14295248111653214</v>
      </c>
      <c r="AO14" s="8">
        <f t="shared" ca="1" si="18"/>
        <v>0</v>
      </c>
      <c r="AP14" s="24">
        <f t="shared" ca="1" si="20"/>
        <v>-1</v>
      </c>
      <c r="AQ14" s="35">
        <f t="shared" ca="1" si="21"/>
        <v>0</v>
      </c>
      <c r="AR14" s="24">
        <f t="shared" ca="1" si="22"/>
        <v>0</v>
      </c>
    </row>
    <row r="15" spans="1:44" x14ac:dyDescent="0.2">
      <c r="A15" s="9" t="s">
        <v>93</v>
      </c>
      <c r="B15" s="10">
        <v>120795</v>
      </c>
      <c r="C15" s="10" t="str">
        <f t="shared" si="9"/>
        <v>Unaff: JV, LLCs: Other</v>
      </c>
      <c r="D15" s="8">
        <f ca="1">IFERROR([1]!SNLData("287",$B$1,$B15,D$4,$C15, , "Options: NA="&amp;""),0)</f>
        <v>797092.46700000006</v>
      </c>
      <c r="E15" s="8">
        <f ca="1">IFERROR([1]!SNLData("287",$B$1,$B15,E$4,$C15, , "Options: NA="&amp;""),0)</f>
        <v>777088.14199999999</v>
      </c>
      <c r="F15" s="24">
        <f t="shared" ca="1" si="23"/>
        <v>-2.5096617805572707E-2</v>
      </c>
      <c r="G15" s="8">
        <f ca="1">IFERROR([1]!SNLData("287",$B$1,$B15,G$4,$C15, , "Options: NA="&amp;""),0)</f>
        <v>759537.20900000003</v>
      </c>
      <c r="H15" s="24">
        <f t="shared" ca="1" si="10"/>
        <v>-2.258551128425268E-2</v>
      </c>
      <c r="I15" s="8">
        <f ca="1">IFERROR([1]!SNLData("287",$B$1,$B15,I$4,$C15, , "Options: NA="&amp;""),0)</f>
        <v>1083930.1969999999</v>
      </c>
      <c r="J15" s="24">
        <f t="shared" ca="1" si="11"/>
        <v>0.42709295101828237</v>
      </c>
      <c r="K15" s="8">
        <f ca="1">IFERROR([1]!SNLData("287",$B$1,$B15,K$4,$C15, , "Options: NA="&amp;""),0)</f>
        <v>1207707.7560000001</v>
      </c>
      <c r="L15" s="24">
        <f t="shared" ca="1" si="12"/>
        <v>0.11419329338972206</v>
      </c>
      <c r="M15" s="8">
        <f ca="1">IFERROR([1]!SNLData("287",$B$1,$B15,M$4,$C15, , "Options: NA="&amp;""),0)</f>
        <v>1391388.825</v>
      </c>
      <c r="N15" s="24">
        <f t="shared" ca="1" si="13"/>
        <v>0.15209065942274202</v>
      </c>
      <c r="O15" s="24">
        <f t="shared" ca="1" si="14"/>
        <v>0.79051609437633141</v>
      </c>
      <c r="P15" s="24">
        <f t="shared" ca="1" si="15"/>
        <v>0.12355838665742547</v>
      </c>
      <c r="Q15" s="10" t="str">
        <f t="shared" si="16"/>
        <v>Aff: JV, LLCs: Other</v>
      </c>
      <c r="R15" s="8">
        <f ca="1">IFERROR([1]!SNLData("287",$B$1,$B15,R$4,$Q15, , "Options: NA="&amp;""),0)</f>
        <v>0</v>
      </c>
      <c r="S15" s="8">
        <f ca="1">IFERROR([1]!SNLData("287",$B$1,$B15,S$4,$Q15, , "Options: NA="&amp;""),0)</f>
        <v>0</v>
      </c>
      <c r="T15" s="24">
        <f t="shared" ca="1" si="1"/>
        <v>0</v>
      </c>
      <c r="U15" s="8">
        <f ca="1">IFERROR([1]!SNLData("287",$B$1,$B15,U$4,$Q15, , "Options: NA="&amp;""),0)</f>
        <v>0</v>
      </c>
      <c r="V15" s="24">
        <f t="shared" ca="1" si="2"/>
        <v>0</v>
      </c>
      <c r="W15" s="8">
        <f ca="1">IFERROR([1]!SNLData("287",$B$1,$B15,W$4,$Q15, , "Options: NA="&amp;""),0)</f>
        <v>0</v>
      </c>
      <c r="X15" s="24">
        <f t="shared" ca="1" si="3"/>
        <v>0</v>
      </c>
      <c r="Y15" s="8">
        <f ca="1">IFERROR([1]!SNLData("287",$B$1,$B15,Y$4,$Q15, , "Options: NA="&amp;""),0)</f>
        <v>0</v>
      </c>
      <c r="Z15" s="24">
        <f t="shared" ca="1" si="4"/>
        <v>0</v>
      </c>
      <c r="AA15" s="8">
        <f ca="1">IFERROR([1]!SNLData("287",$B$1,$B15,AA$4,$Q15, , "Options: NA="&amp;""),0)</f>
        <v>0</v>
      </c>
      <c r="AB15" s="24">
        <f t="shared" ca="1" si="5"/>
        <v>0</v>
      </c>
      <c r="AC15" s="24">
        <f t="shared" ca="1" si="6"/>
        <v>0</v>
      </c>
      <c r="AD15" s="24">
        <f t="shared" ca="1" si="7"/>
        <v>0</v>
      </c>
      <c r="AE15" s="10" t="str">
        <f t="shared" si="8"/>
        <v>Total: JV, LLCs: Other</v>
      </c>
      <c r="AF15" s="8">
        <f t="shared" ca="1" si="17"/>
        <v>797092.46700000006</v>
      </c>
      <c r="AG15" s="8">
        <f t="shared" ca="1" si="18"/>
        <v>777088.14199999999</v>
      </c>
      <c r="AH15" s="24">
        <f t="shared" ca="1" si="19"/>
        <v>-2.5096617805572707E-2</v>
      </c>
      <c r="AI15" s="8">
        <f t="shared" ca="1" si="18"/>
        <v>759537.20900000003</v>
      </c>
      <c r="AJ15" s="24">
        <f t="shared" ca="1" si="20"/>
        <v>-2.258551128425268E-2</v>
      </c>
      <c r="AK15" s="8">
        <f t="shared" ca="1" si="18"/>
        <v>1083930.1969999999</v>
      </c>
      <c r="AL15" s="24">
        <f t="shared" ca="1" si="20"/>
        <v>0.42709295101828237</v>
      </c>
      <c r="AM15" s="8">
        <f t="shared" ca="1" si="18"/>
        <v>1207707.7560000001</v>
      </c>
      <c r="AN15" s="24">
        <f t="shared" ca="1" si="20"/>
        <v>0.11419329338972206</v>
      </c>
      <c r="AO15" s="8">
        <f t="shared" ca="1" si="18"/>
        <v>1391388.825</v>
      </c>
      <c r="AP15" s="24">
        <f t="shared" ca="1" si="20"/>
        <v>0.15209065942274202</v>
      </c>
      <c r="AQ15" s="35">
        <f t="shared" ca="1" si="21"/>
        <v>0.79051609437633141</v>
      </c>
      <c r="AR15" s="24">
        <f t="shared" ca="1" si="22"/>
        <v>0.12355838665742547</v>
      </c>
    </row>
    <row r="16" spans="1:44" x14ac:dyDescent="0.2">
      <c r="A16" s="9" t="s">
        <v>94</v>
      </c>
      <c r="B16" s="10">
        <v>120795</v>
      </c>
      <c r="C16" s="10" t="str">
        <f t="shared" si="9"/>
        <v>Unaff: Surplus Debentures</v>
      </c>
      <c r="D16" s="8">
        <f ca="1">IFERROR([1]!SNLData("287",$B$1,$B16,D$4,$C16, , "Options: NA="&amp;""),0)</f>
        <v>0</v>
      </c>
      <c r="E16" s="8">
        <f ca="1">IFERROR([1]!SNLData("287",$B$1,$B16,E$4,$C16, , "Options: NA="&amp;""),0)</f>
        <v>0</v>
      </c>
      <c r="F16" s="24">
        <f t="shared" ca="1" si="23"/>
        <v>0</v>
      </c>
      <c r="G16" s="8">
        <f ca="1">IFERROR([1]!SNLData("287",$B$1,$B16,G$4,$C16, , "Options: NA="&amp;""),0)</f>
        <v>0</v>
      </c>
      <c r="H16" s="24">
        <f t="shared" ca="1" si="10"/>
        <v>0</v>
      </c>
      <c r="I16" s="8">
        <f ca="1">IFERROR([1]!SNLData("287",$B$1,$B16,I$4,$C16, , "Options: NA="&amp;""),0)</f>
        <v>0</v>
      </c>
      <c r="J16" s="24">
        <f t="shared" ca="1" si="11"/>
        <v>0</v>
      </c>
      <c r="K16" s="8">
        <f ca="1">IFERROR([1]!SNLData("287",$B$1,$B16,K$4,$C16, , "Options: NA="&amp;""),0)</f>
        <v>0</v>
      </c>
      <c r="L16" s="24">
        <f t="shared" ca="1" si="12"/>
        <v>0</v>
      </c>
      <c r="M16" s="8">
        <f ca="1">IFERROR([1]!SNLData("287",$B$1,$B16,M$4,$C16, , "Options: NA="&amp;""),0)</f>
        <v>0</v>
      </c>
      <c r="N16" s="24">
        <f t="shared" ca="1" si="13"/>
        <v>0</v>
      </c>
      <c r="O16" s="24">
        <f t="shared" ca="1" si="14"/>
        <v>0</v>
      </c>
      <c r="P16" s="24">
        <f t="shared" ca="1" si="15"/>
        <v>0</v>
      </c>
      <c r="Q16" s="10" t="str">
        <f t="shared" si="16"/>
        <v>Aff: Surplus Debentures</v>
      </c>
      <c r="R16" s="8">
        <f ca="1">IFERROR([1]!SNLData("287",$B$1,$B16,R$4,$Q16, , "Options: NA="&amp;""),0)</f>
        <v>1214978.3460000001</v>
      </c>
      <c r="S16" s="8">
        <f ca="1">IFERROR([1]!SNLData("287",$B$1,$B16,S$4,$Q16, , "Options: NA="&amp;""),0)</f>
        <v>1064932.425</v>
      </c>
      <c r="T16" s="24">
        <f t="shared" ca="1" si="1"/>
        <v>-0.12349678617235216</v>
      </c>
      <c r="U16" s="8">
        <f ca="1">IFERROR([1]!SNLData("287",$B$1,$B16,U$4,$Q16, , "Options: NA="&amp;""),0)</f>
        <v>1231128.1780000001</v>
      </c>
      <c r="V16" s="24">
        <f t="shared" ca="1" si="2"/>
        <v>0.15606225249456562</v>
      </c>
      <c r="W16" s="8">
        <f ca="1">IFERROR([1]!SNLData("287",$B$1,$B16,W$4,$Q16, , "Options: NA="&amp;""),0)</f>
        <v>1047553.68</v>
      </c>
      <c r="X16" s="24">
        <f t="shared" ca="1" si="3"/>
        <v>-0.14911079226390678</v>
      </c>
      <c r="Y16" s="8">
        <f ca="1">IFERROR([1]!SNLData("287",$B$1,$B16,Y$4,$Q16, , "Options: NA="&amp;""),0)</f>
        <v>728800.34499999997</v>
      </c>
      <c r="Z16" s="24">
        <f t="shared" ca="1" si="4"/>
        <v>-0.30428353323144264</v>
      </c>
      <c r="AA16" s="8">
        <f ca="1">IFERROR([1]!SNLData("287",$B$1,$B16,AA$4,$Q16, , "Options: NA="&amp;""),0)</f>
        <v>787146.821</v>
      </c>
      <c r="AB16" s="24">
        <f t="shared" ca="1" si="5"/>
        <v>8.0058244209530338E-2</v>
      </c>
      <c r="AC16" s="24">
        <f t="shared" ca="1" si="6"/>
        <v>-0.26084810404754089</v>
      </c>
      <c r="AD16" s="24">
        <f t="shared" ca="1" si="7"/>
        <v>-5.8659510888643185E-2</v>
      </c>
      <c r="AE16" s="10" t="str">
        <f t="shared" si="8"/>
        <v>Total: Surplus Debentures</v>
      </c>
      <c r="AF16" s="8">
        <f t="shared" ca="1" si="17"/>
        <v>1214978.3460000001</v>
      </c>
      <c r="AG16" s="8">
        <f t="shared" ca="1" si="18"/>
        <v>1064932.425</v>
      </c>
      <c r="AH16" s="24">
        <f t="shared" ca="1" si="19"/>
        <v>-0.12349678617235216</v>
      </c>
      <c r="AI16" s="8">
        <f t="shared" ca="1" si="18"/>
        <v>1231128.1780000001</v>
      </c>
      <c r="AJ16" s="24">
        <f t="shared" ca="1" si="20"/>
        <v>0.15606225249456562</v>
      </c>
      <c r="AK16" s="8">
        <f t="shared" ca="1" si="18"/>
        <v>1047553.68</v>
      </c>
      <c r="AL16" s="24">
        <f t="shared" ca="1" si="20"/>
        <v>-0.14911079226390678</v>
      </c>
      <c r="AM16" s="8">
        <f t="shared" ca="1" si="18"/>
        <v>728800.34499999997</v>
      </c>
      <c r="AN16" s="24">
        <f t="shared" ca="1" si="20"/>
        <v>-0.30428353323144264</v>
      </c>
      <c r="AO16" s="8">
        <f t="shared" ca="1" si="18"/>
        <v>787146.821</v>
      </c>
      <c r="AP16" s="24">
        <f t="shared" ca="1" si="20"/>
        <v>8.0058244209530338E-2</v>
      </c>
      <c r="AQ16" s="35">
        <f t="shared" ca="1" si="21"/>
        <v>-0.26084810404754089</v>
      </c>
      <c r="AR16" s="24">
        <f t="shared" ca="1" si="22"/>
        <v>-5.8659510888643185E-2</v>
      </c>
    </row>
    <row r="17" spans="1:44" x14ac:dyDescent="0.2">
      <c r="A17" s="9" t="s">
        <v>95</v>
      </c>
      <c r="B17" s="10">
        <v>120795</v>
      </c>
      <c r="C17" s="10" t="str">
        <f t="shared" si="9"/>
        <v>Unaff: Collateral Loans</v>
      </c>
      <c r="D17" s="8">
        <f ca="1">IFERROR([1]!SNLData("287",$B$1,$B17,D$4,$C17, , "Options: NA="&amp;""),0)</f>
        <v>0</v>
      </c>
      <c r="E17" s="8">
        <f ca="1">IFERROR([1]!SNLData("287",$B$1,$B17,E$4,$C17, , "Options: NA="&amp;""),0)</f>
        <v>0</v>
      </c>
      <c r="F17" s="24">
        <f t="shared" ca="1" si="23"/>
        <v>0</v>
      </c>
      <c r="G17" s="8">
        <f ca="1">IFERROR([1]!SNLData("287",$B$1,$B17,G$4,$C17, , "Options: NA="&amp;""),0)</f>
        <v>0</v>
      </c>
      <c r="H17" s="24">
        <f t="shared" ca="1" si="10"/>
        <v>0</v>
      </c>
      <c r="I17" s="8">
        <f ca="1">IFERROR([1]!SNLData("287",$B$1,$B17,I$4,$C17, , "Options: NA="&amp;""),0)</f>
        <v>0</v>
      </c>
      <c r="J17" s="24">
        <f t="shared" ca="1" si="11"/>
        <v>0</v>
      </c>
      <c r="K17" s="8">
        <f ca="1">IFERROR([1]!SNLData("287",$B$1,$B17,K$4,$C17, , "Options: NA="&amp;""),0)</f>
        <v>0</v>
      </c>
      <c r="L17" s="24">
        <f t="shared" ca="1" si="12"/>
        <v>0</v>
      </c>
      <c r="M17" s="8">
        <f ca="1">IFERROR([1]!SNLData("287",$B$1,$B17,M$4,$C17, , "Options: NA="&amp;""),0)</f>
        <v>0</v>
      </c>
      <c r="N17" s="24">
        <f t="shared" ca="1" si="13"/>
        <v>0</v>
      </c>
      <c r="O17" s="24">
        <f t="shared" ca="1" si="14"/>
        <v>0</v>
      </c>
      <c r="P17" s="24">
        <f t="shared" ca="1" si="15"/>
        <v>0</v>
      </c>
      <c r="Q17" s="10" t="str">
        <f t="shared" si="16"/>
        <v>Aff: Collateral Loans</v>
      </c>
      <c r="R17" s="8">
        <f ca="1">IFERROR([1]!SNLData("287",$B$1,$B17,R$4,$Q17, , "Options: NA="&amp;""),0)</f>
        <v>0</v>
      </c>
      <c r="S17" s="8">
        <f ca="1">IFERROR([1]!SNLData("287",$B$1,$B17,S$4,$Q17, , "Options: NA="&amp;""),0)</f>
        <v>0</v>
      </c>
      <c r="T17" s="24">
        <f t="shared" ca="1" si="1"/>
        <v>0</v>
      </c>
      <c r="U17" s="8">
        <f ca="1">IFERROR([1]!SNLData("287",$B$1,$B17,U$4,$Q17, , "Options: NA="&amp;""),0)</f>
        <v>0</v>
      </c>
      <c r="V17" s="24">
        <f t="shared" ca="1" si="2"/>
        <v>0</v>
      </c>
      <c r="W17" s="8">
        <f ca="1">IFERROR([1]!SNLData("287",$B$1,$B17,W$4,$Q17, , "Options: NA="&amp;""),0)</f>
        <v>0</v>
      </c>
      <c r="X17" s="24">
        <f t="shared" ca="1" si="3"/>
        <v>0</v>
      </c>
      <c r="Y17" s="8">
        <f ca="1">IFERROR([1]!SNLData("287",$B$1,$B17,Y$4,$Q17, , "Options: NA="&amp;""),0)</f>
        <v>0</v>
      </c>
      <c r="Z17" s="24">
        <f t="shared" ca="1" si="4"/>
        <v>0</v>
      </c>
      <c r="AA17" s="8">
        <f ca="1">IFERROR([1]!SNLData("287",$B$1,$B17,AA$4,$Q17, , "Options: NA="&amp;""),0)</f>
        <v>0</v>
      </c>
      <c r="AB17" s="24">
        <f t="shared" ca="1" si="5"/>
        <v>0</v>
      </c>
      <c r="AC17" s="24">
        <f t="shared" ca="1" si="6"/>
        <v>0</v>
      </c>
      <c r="AD17" s="24">
        <f t="shared" ca="1" si="7"/>
        <v>0</v>
      </c>
      <c r="AE17" s="10" t="str">
        <f t="shared" si="8"/>
        <v>Total: Collateral Loans</v>
      </c>
      <c r="AF17" s="8">
        <f t="shared" ca="1" si="17"/>
        <v>0</v>
      </c>
      <c r="AG17" s="8">
        <f t="shared" ca="1" si="18"/>
        <v>0</v>
      </c>
      <c r="AH17" s="24">
        <f t="shared" ca="1" si="19"/>
        <v>0</v>
      </c>
      <c r="AI17" s="8">
        <f t="shared" ca="1" si="18"/>
        <v>0</v>
      </c>
      <c r="AJ17" s="24">
        <f t="shared" ca="1" si="20"/>
        <v>0</v>
      </c>
      <c r="AK17" s="8">
        <f t="shared" ca="1" si="18"/>
        <v>0</v>
      </c>
      <c r="AL17" s="24">
        <f t="shared" ca="1" si="20"/>
        <v>0</v>
      </c>
      <c r="AM17" s="8">
        <f t="shared" ca="1" si="18"/>
        <v>0</v>
      </c>
      <c r="AN17" s="24">
        <f t="shared" ca="1" si="20"/>
        <v>0</v>
      </c>
      <c r="AO17" s="8">
        <f t="shared" ca="1" si="18"/>
        <v>0</v>
      </c>
      <c r="AP17" s="24">
        <f t="shared" ca="1" si="20"/>
        <v>0</v>
      </c>
      <c r="AQ17" s="35">
        <f t="shared" ca="1" si="21"/>
        <v>0</v>
      </c>
      <c r="AR17" s="24">
        <f t="shared" ca="1" si="22"/>
        <v>0</v>
      </c>
    </row>
    <row r="18" spans="1:44" x14ac:dyDescent="0.2">
      <c r="A18" s="9" t="s">
        <v>96</v>
      </c>
      <c r="B18" s="10">
        <v>120795</v>
      </c>
      <c r="C18" s="10" t="str">
        <f t="shared" si="9"/>
        <v>Unaff: Noncollateral Loans</v>
      </c>
      <c r="D18" s="8">
        <f ca="1">IFERROR([1]!SNLData("287",$B$1,$B18,D$4,$C18, , "Options: NA="&amp;""),0)</f>
        <v>0</v>
      </c>
      <c r="E18" s="8">
        <f ca="1">IFERROR([1]!SNLData("287",$B$1,$B18,E$4,$C18, , "Options: NA="&amp;""),0)</f>
        <v>0</v>
      </c>
      <c r="F18" s="24">
        <f t="shared" ca="1" si="23"/>
        <v>0</v>
      </c>
      <c r="G18" s="8">
        <f ca="1">IFERROR([1]!SNLData("287",$B$1,$B18,G$4,$C18, , "Options: NA="&amp;""),0)</f>
        <v>0</v>
      </c>
      <c r="H18" s="24">
        <f t="shared" ca="1" si="10"/>
        <v>0</v>
      </c>
      <c r="I18" s="8">
        <f ca="1">IFERROR([1]!SNLData("287",$B$1,$B18,I$4,$C18, , "Options: NA="&amp;""),0)</f>
        <v>0</v>
      </c>
      <c r="J18" s="24">
        <f t="shared" ca="1" si="11"/>
        <v>0</v>
      </c>
      <c r="K18" s="8">
        <f ca="1">IFERROR([1]!SNLData("287",$B$1,$B18,K$4,$C18, , "Options: NA="&amp;""),0)</f>
        <v>0</v>
      </c>
      <c r="L18" s="24">
        <f t="shared" ca="1" si="12"/>
        <v>0</v>
      </c>
      <c r="M18" s="8">
        <f ca="1">IFERROR([1]!SNLData("287",$B$1,$B18,M$4,$C18, , "Options: NA="&amp;""),0)</f>
        <v>0</v>
      </c>
      <c r="N18" s="24">
        <f t="shared" ca="1" si="13"/>
        <v>0</v>
      </c>
      <c r="O18" s="24">
        <f t="shared" ca="1" si="14"/>
        <v>0</v>
      </c>
      <c r="P18" s="24">
        <f t="shared" ca="1" si="15"/>
        <v>0</v>
      </c>
      <c r="Q18" s="10" t="str">
        <f t="shared" si="16"/>
        <v>Aff: Noncollateral Loans</v>
      </c>
      <c r="R18" s="8">
        <f ca="1">IFERROR([1]!SNLData("287",$B$1,$B18,R$4,$Q18, , "Options: NA="&amp;""),0)</f>
        <v>100000</v>
      </c>
      <c r="S18" s="8">
        <f ca="1">IFERROR([1]!SNLData("287",$B$1,$B18,S$4,$Q18, , "Options: NA="&amp;""),0)</f>
        <v>100000</v>
      </c>
      <c r="T18" s="24">
        <f t="shared" ca="1" si="1"/>
        <v>0</v>
      </c>
      <c r="U18" s="8">
        <f ca="1">IFERROR([1]!SNLData("287",$B$1,$B18,U$4,$Q18, , "Options: NA="&amp;""),0)</f>
        <v>0</v>
      </c>
      <c r="V18" s="24">
        <f t="shared" ca="1" si="2"/>
        <v>-1</v>
      </c>
      <c r="W18" s="8">
        <f ca="1">IFERROR([1]!SNLData("287",$B$1,$B18,W$4,$Q18, , "Options: NA="&amp;""),0)</f>
        <v>0</v>
      </c>
      <c r="X18" s="24">
        <f t="shared" ca="1" si="3"/>
        <v>0</v>
      </c>
      <c r="Y18" s="8">
        <f ca="1">IFERROR([1]!SNLData("287",$B$1,$B18,Y$4,$Q18, , "Options: NA="&amp;""),0)</f>
        <v>100000</v>
      </c>
      <c r="Z18" s="24">
        <f t="shared" ca="1" si="4"/>
        <v>0</v>
      </c>
      <c r="AA18" s="8">
        <f ca="1">IFERROR([1]!SNLData("287",$B$1,$B18,AA$4,$Q18, , "Options: NA="&amp;""),0)</f>
        <v>371157.42300000001</v>
      </c>
      <c r="AB18" s="24">
        <f t="shared" ca="1" si="5"/>
        <v>2.7115742300000001</v>
      </c>
      <c r="AC18" s="24">
        <f t="shared" ca="1" si="6"/>
        <v>2.7115742300000001</v>
      </c>
      <c r="AD18" s="24">
        <f t="shared" ca="1" si="7"/>
        <v>0.29990504757772984</v>
      </c>
      <c r="AE18" s="10" t="str">
        <f t="shared" si="8"/>
        <v>Total: Noncollateral Loans</v>
      </c>
      <c r="AF18" s="8">
        <f t="shared" ca="1" si="17"/>
        <v>100000</v>
      </c>
      <c r="AG18" s="8">
        <f t="shared" ca="1" si="18"/>
        <v>100000</v>
      </c>
      <c r="AH18" s="24">
        <f t="shared" ca="1" si="19"/>
        <v>0</v>
      </c>
      <c r="AI18" s="8">
        <f t="shared" ca="1" si="18"/>
        <v>0</v>
      </c>
      <c r="AJ18" s="24">
        <f t="shared" ca="1" si="20"/>
        <v>-1</v>
      </c>
      <c r="AK18" s="8">
        <f t="shared" ca="1" si="18"/>
        <v>0</v>
      </c>
      <c r="AL18" s="24">
        <f t="shared" ca="1" si="20"/>
        <v>0</v>
      </c>
      <c r="AM18" s="8">
        <f t="shared" ca="1" si="18"/>
        <v>100000</v>
      </c>
      <c r="AN18" s="24">
        <f t="shared" ca="1" si="20"/>
        <v>0</v>
      </c>
      <c r="AO18" s="8">
        <f t="shared" ca="1" si="18"/>
        <v>371157.42300000001</v>
      </c>
      <c r="AP18" s="24">
        <f t="shared" ca="1" si="20"/>
        <v>2.7115742300000001</v>
      </c>
      <c r="AQ18" s="35">
        <f t="shared" ca="1" si="21"/>
        <v>2.7115742300000001</v>
      </c>
      <c r="AR18" s="24">
        <f t="shared" ca="1" si="22"/>
        <v>0.29990504757772984</v>
      </c>
    </row>
    <row r="19" spans="1:44" x14ac:dyDescent="0.2">
      <c r="A19" s="9" t="s">
        <v>97</v>
      </c>
      <c r="B19" s="10">
        <v>120795</v>
      </c>
      <c r="C19" s="10" t="str">
        <f t="shared" si="9"/>
        <v>Unaff: Capital Notes</v>
      </c>
      <c r="D19" s="8">
        <f ca="1">IFERROR([1]!SNLData("287",$B$1,$B19,D$4,$C19, , "Options: NA="&amp;""),0)</f>
        <v>0</v>
      </c>
      <c r="E19" s="8">
        <f ca="1">IFERROR([1]!SNLData("287",$B$1,$B19,E$4,$C19, , "Options: NA="&amp;""),0)</f>
        <v>0</v>
      </c>
      <c r="F19" s="24">
        <f t="shared" ca="1" si="23"/>
        <v>0</v>
      </c>
      <c r="G19" s="8">
        <f ca="1">IFERROR([1]!SNLData("287",$B$1,$B19,G$4,$C19, , "Options: NA="&amp;""),0)</f>
        <v>0</v>
      </c>
      <c r="H19" s="24">
        <f t="shared" ca="1" si="10"/>
        <v>0</v>
      </c>
      <c r="I19" s="8">
        <f ca="1">IFERROR([1]!SNLData("287",$B$1,$B19,I$4,$C19, , "Options: NA="&amp;""),0)</f>
        <v>0</v>
      </c>
      <c r="J19" s="24">
        <f t="shared" ca="1" si="11"/>
        <v>0</v>
      </c>
      <c r="K19" s="8">
        <f ca="1">IFERROR([1]!SNLData("287",$B$1,$B19,K$4,$C19, , "Options: NA="&amp;""),0)</f>
        <v>0</v>
      </c>
      <c r="L19" s="24">
        <f t="shared" ca="1" si="12"/>
        <v>0</v>
      </c>
      <c r="M19" s="8">
        <f ca="1">IFERROR([1]!SNLData("287",$B$1,$B19,M$4,$C19, , "Options: NA="&amp;""),0)</f>
        <v>0</v>
      </c>
      <c r="N19" s="24">
        <f t="shared" ca="1" si="13"/>
        <v>0</v>
      </c>
      <c r="O19" s="24">
        <f t="shared" ca="1" si="14"/>
        <v>0</v>
      </c>
      <c r="P19" s="24">
        <f t="shared" ca="1" si="15"/>
        <v>0</v>
      </c>
      <c r="Q19" s="10" t="str">
        <f t="shared" si="16"/>
        <v>Aff: Capital Notes</v>
      </c>
      <c r="R19" s="8">
        <f ca="1">IFERROR([1]!SNLData("287",$B$1,$B19,R$4,$Q19, , "Options: NA="&amp;""),0)</f>
        <v>0</v>
      </c>
      <c r="S19" s="8">
        <f ca="1">IFERROR([1]!SNLData("287",$B$1,$B19,S$4,$Q19, , "Options: NA="&amp;""),0)</f>
        <v>0</v>
      </c>
      <c r="T19" s="24">
        <f t="shared" ca="1" si="1"/>
        <v>0</v>
      </c>
      <c r="U19" s="8">
        <f ca="1">IFERROR([1]!SNLData("287",$B$1,$B19,U$4,$Q19, , "Options: NA="&amp;""),0)</f>
        <v>0</v>
      </c>
      <c r="V19" s="24">
        <f t="shared" ca="1" si="2"/>
        <v>0</v>
      </c>
      <c r="W19" s="8">
        <f ca="1">IFERROR([1]!SNLData("287",$B$1,$B19,W$4,$Q19, , "Options: NA="&amp;""),0)</f>
        <v>0</v>
      </c>
      <c r="X19" s="24">
        <f t="shared" ca="1" si="3"/>
        <v>0</v>
      </c>
      <c r="Y19" s="8">
        <f ca="1">IFERROR([1]!SNLData("287",$B$1,$B19,Y$4,$Q19, , "Options: NA="&amp;""),0)</f>
        <v>0</v>
      </c>
      <c r="Z19" s="24">
        <f t="shared" ca="1" si="4"/>
        <v>0</v>
      </c>
      <c r="AA19" s="8">
        <f ca="1">IFERROR([1]!SNLData("287",$B$1,$B19,AA$4,$Q19, , "Options: NA="&amp;""),0)</f>
        <v>0</v>
      </c>
      <c r="AB19" s="24">
        <f t="shared" ca="1" si="5"/>
        <v>0</v>
      </c>
      <c r="AC19" s="24">
        <f t="shared" ca="1" si="6"/>
        <v>0</v>
      </c>
      <c r="AD19" s="24">
        <f t="shared" ca="1" si="7"/>
        <v>0</v>
      </c>
      <c r="AE19" s="10" t="str">
        <f t="shared" si="8"/>
        <v>Total: Capital Notes</v>
      </c>
      <c r="AF19" s="8">
        <f t="shared" ca="1" si="17"/>
        <v>0</v>
      </c>
      <c r="AG19" s="8">
        <f t="shared" ca="1" si="18"/>
        <v>0</v>
      </c>
      <c r="AH19" s="24">
        <f t="shared" ca="1" si="19"/>
        <v>0</v>
      </c>
      <c r="AI19" s="8">
        <f t="shared" ca="1" si="18"/>
        <v>0</v>
      </c>
      <c r="AJ19" s="24">
        <f t="shared" ca="1" si="20"/>
        <v>0</v>
      </c>
      <c r="AK19" s="8">
        <f t="shared" ca="1" si="18"/>
        <v>0</v>
      </c>
      <c r="AL19" s="24">
        <f t="shared" ca="1" si="20"/>
        <v>0</v>
      </c>
      <c r="AM19" s="8">
        <f t="shared" ca="1" si="18"/>
        <v>0</v>
      </c>
      <c r="AN19" s="24">
        <f t="shared" ca="1" si="20"/>
        <v>0</v>
      </c>
      <c r="AO19" s="8">
        <f t="shared" ca="1" si="18"/>
        <v>0</v>
      </c>
      <c r="AP19" s="24">
        <f t="shared" ca="1" si="20"/>
        <v>0</v>
      </c>
      <c r="AQ19" s="35">
        <f t="shared" ca="1" si="21"/>
        <v>0</v>
      </c>
      <c r="AR19" s="24">
        <f t="shared" ca="1" si="22"/>
        <v>0</v>
      </c>
    </row>
    <row r="20" spans="1:44" x14ac:dyDescent="0.2">
      <c r="A20" s="9" t="s">
        <v>98</v>
      </c>
      <c r="B20" s="10">
        <v>120795</v>
      </c>
      <c r="C20" s="10" t="str">
        <f t="shared" si="9"/>
        <v>Unaff: Guaranteed Federal LIHTC</v>
      </c>
      <c r="D20" s="8">
        <f ca="1">IFERROR([1]!SNLData("287",$B$1,$B20,D$4,$C20, , "Options: NA="&amp;""),0)</f>
        <v>0</v>
      </c>
      <c r="E20" s="8">
        <f ca="1">IFERROR([1]!SNLData("287",$B$1,$B20,E$4,$C20, , "Options: NA="&amp;""),0)</f>
        <v>0</v>
      </c>
      <c r="F20" s="24">
        <f t="shared" ca="1" si="23"/>
        <v>0</v>
      </c>
      <c r="G20" s="8">
        <f ca="1">IFERROR([1]!SNLData("287",$B$1,$B20,G$4,$C20, , "Options: NA="&amp;""),0)</f>
        <v>0</v>
      </c>
      <c r="H20" s="24">
        <f t="shared" ca="1" si="10"/>
        <v>0</v>
      </c>
      <c r="I20" s="8">
        <f ca="1">IFERROR([1]!SNLData("287",$B$1,$B20,I$4,$C20, , "Options: NA="&amp;""),0)</f>
        <v>0</v>
      </c>
      <c r="J20" s="24">
        <f t="shared" ca="1" si="11"/>
        <v>0</v>
      </c>
      <c r="K20" s="8">
        <f ca="1">IFERROR([1]!SNLData("287",$B$1,$B20,K$4,$C20, , "Options: NA="&amp;""),0)</f>
        <v>0</v>
      </c>
      <c r="L20" s="24">
        <f t="shared" ca="1" si="12"/>
        <v>0</v>
      </c>
      <c r="M20" s="8">
        <f ca="1">IFERROR([1]!SNLData("287",$B$1,$B20,M$4,$C20, , "Options: NA="&amp;""),0)</f>
        <v>0</v>
      </c>
      <c r="N20" s="24">
        <f t="shared" ca="1" si="13"/>
        <v>0</v>
      </c>
      <c r="O20" s="24">
        <f t="shared" ca="1" si="14"/>
        <v>0</v>
      </c>
      <c r="P20" s="24">
        <f t="shared" ca="1" si="15"/>
        <v>0</v>
      </c>
      <c r="Q20" s="10" t="str">
        <f t="shared" si="16"/>
        <v>Aff: Guaranteed Federal LIHTC</v>
      </c>
      <c r="R20" s="8">
        <f ca="1">IFERROR([1]!SNLData("287",$B$1,$B20,R$4,$Q20, , "Options: NA="&amp;""),0)</f>
        <v>0</v>
      </c>
      <c r="S20" s="8">
        <f ca="1">IFERROR([1]!SNLData("287",$B$1,$B20,S$4,$Q20, , "Options: NA="&amp;""),0)</f>
        <v>0</v>
      </c>
      <c r="T20" s="24">
        <f t="shared" ca="1" si="1"/>
        <v>0</v>
      </c>
      <c r="U20" s="8">
        <f ca="1">IFERROR([1]!SNLData("287",$B$1,$B20,U$4,$Q20, , "Options: NA="&amp;""),0)</f>
        <v>0</v>
      </c>
      <c r="V20" s="24">
        <f t="shared" ca="1" si="2"/>
        <v>0</v>
      </c>
      <c r="W20" s="8">
        <f ca="1">IFERROR([1]!SNLData("287",$B$1,$B20,W$4,$Q20, , "Options: NA="&amp;""),0)</f>
        <v>0</v>
      </c>
      <c r="X20" s="24">
        <f t="shared" ca="1" si="3"/>
        <v>0</v>
      </c>
      <c r="Y20" s="8">
        <f ca="1">IFERROR([1]!SNLData("287",$B$1,$B20,Y$4,$Q20, , "Options: NA="&amp;""),0)</f>
        <v>0</v>
      </c>
      <c r="Z20" s="24">
        <f t="shared" ca="1" si="4"/>
        <v>0</v>
      </c>
      <c r="AA20" s="8">
        <f ca="1">IFERROR([1]!SNLData("287",$B$1,$B20,AA$4,$Q20, , "Options: NA="&amp;""),0)</f>
        <v>0</v>
      </c>
      <c r="AB20" s="24">
        <f t="shared" ca="1" si="5"/>
        <v>0</v>
      </c>
      <c r="AC20" s="24">
        <f t="shared" ca="1" si="6"/>
        <v>0</v>
      </c>
      <c r="AD20" s="24">
        <f t="shared" ca="1" si="7"/>
        <v>0</v>
      </c>
      <c r="AE20" s="10" t="str">
        <f t="shared" si="8"/>
        <v>Total: Guaranteed Federal LIHTC</v>
      </c>
      <c r="AF20" s="8">
        <f t="shared" ca="1" si="17"/>
        <v>0</v>
      </c>
      <c r="AG20" s="8">
        <f t="shared" ca="1" si="18"/>
        <v>0</v>
      </c>
      <c r="AH20" s="24">
        <f t="shared" ca="1" si="19"/>
        <v>0</v>
      </c>
      <c r="AI20" s="8">
        <f t="shared" ca="1" si="18"/>
        <v>0</v>
      </c>
      <c r="AJ20" s="24">
        <f t="shared" ca="1" si="20"/>
        <v>0</v>
      </c>
      <c r="AK20" s="8">
        <f t="shared" ca="1" si="18"/>
        <v>0</v>
      </c>
      <c r="AL20" s="24">
        <f t="shared" ca="1" si="20"/>
        <v>0</v>
      </c>
      <c r="AM20" s="8">
        <f t="shared" ca="1" si="18"/>
        <v>0</v>
      </c>
      <c r="AN20" s="24">
        <f t="shared" ca="1" si="20"/>
        <v>0</v>
      </c>
      <c r="AO20" s="8">
        <f t="shared" ca="1" si="18"/>
        <v>0</v>
      </c>
      <c r="AP20" s="24">
        <f t="shared" ca="1" si="20"/>
        <v>0</v>
      </c>
      <c r="AQ20" s="35">
        <f t="shared" ca="1" si="21"/>
        <v>0</v>
      </c>
      <c r="AR20" s="24">
        <f t="shared" ca="1" si="22"/>
        <v>0</v>
      </c>
    </row>
    <row r="21" spans="1:44" x14ac:dyDescent="0.2">
      <c r="A21" s="9" t="s">
        <v>99</v>
      </c>
      <c r="B21" s="10">
        <v>120795</v>
      </c>
      <c r="C21" s="10" t="str">
        <f t="shared" si="9"/>
        <v>Unaff: Non-Guaranteed Fed LIHTC</v>
      </c>
      <c r="D21" s="8">
        <f ca="1">IFERROR([1]!SNLData("287",$B$1,$B21,D$4,$C21, , "Options: NA="&amp;""),0)</f>
        <v>0</v>
      </c>
      <c r="E21" s="8">
        <f ca="1">IFERROR([1]!SNLData("287",$B$1,$B21,E$4,$C21, , "Options: NA="&amp;""),0)</f>
        <v>0</v>
      </c>
      <c r="F21" s="24">
        <f t="shared" ca="1" si="23"/>
        <v>0</v>
      </c>
      <c r="G21" s="8">
        <f ca="1">IFERROR([1]!SNLData("287",$B$1,$B21,G$4,$C21, , "Options: NA="&amp;""),0)</f>
        <v>0</v>
      </c>
      <c r="H21" s="24">
        <f t="shared" ca="1" si="10"/>
        <v>0</v>
      </c>
      <c r="I21" s="8">
        <f ca="1">IFERROR([1]!SNLData("287",$B$1,$B21,I$4,$C21, , "Options: NA="&amp;""),0)</f>
        <v>0</v>
      </c>
      <c r="J21" s="24">
        <f t="shared" ca="1" si="11"/>
        <v>0</v>
      </c>
      <c r="K21" s="8">
        <f ca="1">IFERROR([1]!SNLData("287",$B$1,$B21,K$4,$C21, , "Options: NA="&amp;""),0)</f>
        <v>0</v>
      </c>
      <c r="L21" s="24">
        <f t="shared" ca="1" si="12"/>
        <v>0</v>
      </c>
      <c r="M21" s="8">
        <f ca="1">IFERROR([1]!SNLData("287",$B$1,$B21,M$4,$C21, , "Options: NA="&amp;""),0)</f>
        <v>0</v>
      </c>
      <c r="N21" s="24">
        <f t="shared" ca="1" si="13"/>
        <v>0</v>
      </c>
      <c r="O21" s="24">
        <f t="shared" ca="1" si="14"/>
        <v>0</v>
      </c>
      <c r="P21" s="24">
        <f t="shared" ca="1" si="15"/>
        <v>0</v>
      </c>
      <c r="Q21" s="10" t="str">
        <f t="shared" si="16"/>
        <v>Aff: Non-Guaranteed Fed LIHTC</v>
      </c>
      <c r="R21" s="8">
        <f ca="1">IFERROR([1]!SNLData("287",$B$1,$B21,R$4,$Q21, , "Options: NA="&amp;""),0)</f>
        <v>0</v>
      </c>
      <c r="S21" s="8">
        <f ca="1">IFERROR([1]!SNLData("287",$B$1,$B21,S$4,$Q21, , "Options: NA="&amp;""),0)</f>
        <v>0</v>
      </c>
      <c r="T21" s="24">
        <f t="shared" ca="1" si="1"/>
        <v>0</v>
      </c>
      <c r="U21" s="8">
        <f ca="1">IFERROR([1]!SNLData("287",$B$1,$B21,U$4,$Q21, , "Options: NA="&amp;""),0)</f>
        <v>0</v>
      </c>
      <c r="V21" s="24">
        <f t="shared" ca="1" si="2"/>
        <v>0</v>
      </c>
      <c r="W21" s="8">
        <f ca="1">IFERROR([1]!SNLData("287",$B$1,$B21,W$4,$Q21, , "Options: NA="&amp;""),0)</f>
        <v>0</v>
      </c>
      <c r="X21" s="24">
        <f t="shared" ca="1" si="3"/>
        <v>0</v>
      </c>
      <c r="Y21" s="8">
        <f ca="1">IFERROR([1]!SNLData("287",$B$1,$B21,Y$4,$Q21, , "Options: NA="&amp;""),0)</f>
        <v>0</v>
      </c>
      <c r="Z21" s="24">
        <f t="shared" ca="1" si="4"/>
        <v>0</v>
      </c>
      <c r="AA21" s="8">
        <f ca="1">IFERROR([1]!SNLData("287",$B$1,$B21,AA$4,$Q21, , "Options: NA="&amp;""),0)</f>
        <v>0</v>
      </c>
      <c r="AB21" s="24">
        <f t="shared" ca="1" si="5"/>
        <v>0</v>
      </c>
      <c r="AC21" s="24">
        <f t="shared" ca="1" si="6"/>
        <v>0</v>
      </c>
      <c r="AD21" s="24">
        <f t="shared" ca="1" si="7"/>
        <v>0</v>
      </c>
      <c r="AE21" s="10" t="str">
        <f t="shared" si="8"/>
        <v>Total: Non-Guaranteed Fed LIHTC</v>
      </c>
      <c r="AF21" s="8">
        <f t="shared" ca="1" si="17"/>
        <v>0</v>
      </c>
      <c r="AG21" s="8">
        <f t="shared" ca="1" si="18"/>
        <v>0</v>
      </c>
      <c r="AH21" s="24">
        <f t="shared" ca="1" si="19"/>
        <v>0</v>
      </c>
      <c r="AI21" s="8">
        <f t="shared" ca="1" si="18"/>
        <v>0</v>
      </c>
      <c r="AJ21" s="24">
        <f t="shared" ca="1" si="20"/>
        <v>0</v>
      </c>
      <c r="AK21" s="8">
        <f t="shared" ca="1" si="18"/>
        <v>0</v>
      </c>
      <c r="AL21" s="24">
        <f t="shared" ca="1" si="20"/>
        <v>0</v>
      </c>
      <c r="AM21" s="8">
        <f t="shared" ca="1" si="18"/>
        <v>0</v>
      </c>
      <c r="AN21" s="24">
        <f t="shared" ca="1" si="20"/>
        <v>0</v>
      </c>
      <c r="AO21" s="8">
        <f t="shared" ca="1" si="18"/>
        <v>0</v>
      </c>
      <c r="AP21" s="24">
        <f t="shared" ca="1" si="20"/>
        <v>0</v>
      </c>
      <c r="AQ21" s="35">
        <f t="shared" ca="1" si="21"/>
        <v>0</v>
      </c>
      <c r="AR21" s="24">
        <f t="shared" ca="1" si="22"/>
        <v>0</v>
      </c>
    </row>
    <row r="22" spans="1:44" x14ac:dyDescent="0.2">
      <c r="A22" s="9" t="s">
        <v>100</v>
      </c>
      <c r="B22" s="10">
        <v>120795</v>
      </c>
      <c r="C22" s="10" t="str">
        <f t="shared" si="9"/>
        <v>Unaff: Guaranteed State LIHTC</v>
      </c>
      <c r="D22" s="8" t="str">
        <f ca="1">IFERROR([1]!SNLData("287",$B$1,$B22,D$4,$C22, , "Options: NA="&amp;""),0)</f>
        <v/>
      </c>
      <c r="E22" s="8" t="str">
        <f ca="1">IFERROR([1]!SNLData("287",$B$1,$B22,E$4,$C22, , "Options: NA="&amp;""),0)</f>
        <v/>
      </c>
      <c r="F22" s="24">
        <f t="shared" ca="1" si="23"/>
        <v>0</v>
      </c>
      <c r="G22" s="8" t="str">
        <f ca="1">IFERROR([1]!SNLData("287",$B$1,$B22,G$4,$C22, , "Options: NA="&amp;""),0)</f>
        <v/>
      </c>
      <c r="H22" s="24">
        <f t="shared" ca="1" si="10"/>
        <v>0</v>
      </c>
      <c r="I22" s="8">
        <f ca="1">IFERROR([1]!SNLData("287",$B$1,$B22,I$4,$C22, , "Options: NA="&amp;""),0)</f>
        <v>0</v>
      </c>
      <c r="J22" s="24">
        <f t="shared" ca="1" si="11"/>
        <v>0</v>
      </c>
      <c r="K22" s="8">
        <f ca="1">IFERROR([1]!SNLData("287",$B$1,$B22,K$4,$C22, , "Options: NA="&amp;""),0)</f>
        <v>0</v>
      </c>
      <c r="L22" s="24">
        <f t="shared" ca="1" si="12"/>
        <v>0</v>
      </c>
      <c r="M22" s="8">
        <f ca="1">IFERROR([1]!SNLData("287",$B$1,$B22,M$4,$C22, , "Options: NA="&amp;""),0)</f>
        <v>0</v>
      </c>
      <c r="N22" s="24">
        <f t="shared" ca="1" si="13"/>
        <v>0</v>
      </c>
      <c r="O22" s="24">
        <f t="shared" ca="1" si="14"/>
        <v>0</v>
      </c>
      <c r="P22" s="24">
        <f t="shared" ca="1" si="15"/>
        <v>0</v>
      </c>
      <c r="Q22" s="10" t="str">
        <f t="shared" si="16"/>
        <v>Aff: Guaranteed State LIHTC</v>
      </c>
      <c r="R22" s="8" t="str">
        <f ca="1">IFERROR([1]!SNLData("287",$B$1,$B22,R$4,$Q22, , "Options: NA="&amp;""),0)</f>
        <v/>
      </c>
      <c r="S22" s="8" t="str">
        <f ca="1">IFERROR([1]!SNLData("287",$B$1,$B22,S$4,$Q22, , "Options: NA="&amp;""),0)</f>
        <v/>
      </c>
      <c r="T22" s="24">
        <f t="shared" ca="1" si="1"/>
        <v>0</v>
      </c>
      <c r="U22" s="8" t="str">
        <f ca="1">IFERROR([1]!SNLData("287",$B$1,$B22,U$4,$Q22, , "Options: NA="&amp;""),0)</f>
        <v/>
      </c>
      <c r="V22" s="24">
        <f t="shared" ca="1" si="2"/>
        <v>0</v>
      </c>
      <c r="W22" s="8">
        <f ca="1">IFERROR([1]!SNLData("287",$B$1,$B22,W$4,$Q22, , "Options: NA="&amp;""),0)</f>
        <v>0</v>
      </c>
      <c r="X22" s="24">
        <f t="shared" ca="1" si="3"/>
        <v>0</v>
      </c>
      <c r="Y22" s="8">
        <f ca="1">IFERROR([1]!SNLData("287",$B$1,$B22,Y$4,$Q22, , "Options: NA="&amp;""),0)</f>
        <v>0</v>
      </c>
      <c r="Z22" s="24">
        <f t="shared" ca="1" si="4"/>
        <v>0</v>
      </c>
      <c r="AA22" s="8">
        <f ca="1">IFERROR([1]!SNLData("287",$B$1,$B22,AA$4,$Q22, , "Options: NA="&amp;""),0)</f>
        <v>0</v>
      </c>
      <c r="AB22" s="24">
        <f t="shared" ca="1" si="5"/>
        <v>0</v>
      </c>
      <c r="AC22" s="24">
        <f t="shared" ca="1" si="6"/>
        <v>0</v>
      </c>
      <c r="AD22" s="24">
        <f t="shared" ca="1" si="7"/>
        <v>0</v>
      </c>
      <c r="AE22" s="10" t="str">
        <f t="shared" si="8"/>
        <v>Total: Guaranteed State LIHTC</v>
      </c>
      <c r="AF22" s="8">
        <f t="shared" ca="1" si="17"/>
        <v>0</v>
      </c>
      <c r="AG22" s="8">
        <f t="shared" ca="1" si="18"/>
        <v>0</v>
      </c>
      <c r="AH22" s="24">
        <f t="shared" ca="1" si="19"/>
        <v>0</v>
      </c>
      <c r="AI22" s="8">
        <f t="shared" ca="1" si="18"/>
        <v>0</v>
      </c>
      <c r="AJ22" s="24">
        <f t="shared" ca="1" si="20"/>
        <v>0</v>
      </c>
      <c r="AK22" s="8">
        <f t="shared" ca="1" si="18"/>
        <v>0</v>
      </c>
      <c r="AL22" s="24">
        <f t="shared" ca="1" si="20"/>
        <v>0</v>
      </c>
      <c r="AM22" s="8">
        <f t="shared" ca="1" si="18"/>
        <v>0</v>
      </c>
      <c r="AN22" s="24">
        <f t="shared" ca="1" si="20"/>
        <v>0</v>
      </c>
      <c r="AO22" s="8">
        <f t="shared" ca="1" si="18"/>
        <v>0</v>
      </c>
      <c r="AP22" s="24">
        <f t="shared" ca="1" si="20"/>
        <v>0</v>
      </c>
      <c r="AQ22" s="35">
        <f t="shared" ca="1" si="21"/>
        <v>0</v>
      </c>
      <c r="AR22" s="24">
        <f t="shared" ca="1" si="22"/>
        <v>0</v>
      </c>
    </row>
    <row r="23" spans="1:44" x14ac:dyDescent="0.2">
      <c r="A23" s="9" t="s">
        <v>101</v>
      </c>
      <c r="B23" s="10">
        <v>120795</v>
      </c>
      <c r="C23" s="10" t="str">
        <f t="shared" si="9"/>
        <v>Unaff: Non-guaranteed State LIHTC</v>
      </c>
      <c r="D23" s="8" t="str">
        <f ca="1">IFERROR([1]!SNLData("287",$B$1,$B23,D$4,$C23, , "Options: NA="&amp;""),0)</f>
        <v/>
      </c>
      <c r="E23" s="8" t="str">
        <f ca="1">IFERROR([1]!SNLData("287",$B$1,$B23,E$4,$C23, , "Options: NA="&amp;""),0)</f>
        <v/>
      </c>
      <c r="F23" s="24">
        <f t="shared" ca="1" si="23"/>
        <v>0</v>
      </c>
      <c r="G23" s="8" t="str">
        <f ca="1">IFERROR([1]!SNLData("287",$B$1,$B23,G$4,$C23, , "Options: NA="&amp;""),0)</f>
        <v/>
      </c>
      <c r="H23" s="24">
        <f t="shared" ca="1" si="10"/>
        <v>0</v>
      </c>
      <c r="I23" s="8">
        <f ca="1">IFERROR([1]!SNLData("287",$B$1,$B23,I$4,$C23, , "Options: NA="&amp;""),0)</f>
        <v>0</v>
      </c>
      <c r="J23" s="24">
        <f t="shared" ca="1" si="11"/>
        <v>0</v>
      </c>
      <c r="K23" s="8">
        <f ca="1">IFERROR([1]!SNLData("287",$B$1,$B23,K$4,$C23, , "Options: NA="&amp;""),0)</f>
        <v>0</v>
      </c>
      <c r="L23" s="24">
        <f t="shared" ca="1" si="12"/>
        <v>0</v>
      </c>
      <c r="M23" s="8">
        <f ca="1">IFERROR([1]!SNLData("287",$B$1,$B23,M$4,$C23, , "Options: NA="&amp;""),0)</f>
        <v>0</v>
      </c>
      <c r="N23" s="24">
        <f t="shared" ca="1" si="13"/>
        <v>0</v>
      </c>
      <c r="O23" s="24">
        <f t="shared" ca="1" si="14"/>
        <v>0</v>
      </c>
      <c r="P23" s="24">
        <f t="shared" ca="1" si="15"/>
        <v>0</v>
      </c>
      <c r="Q23" s="10" t="str">
        <f t="shared" si="16"/>
        <v>Aff: Non-guaranteed State LIHTC</v>
      </c>
      <c r="R23" s="8" t="str">
        <f ca="1">IFERROR([1]!SNLData("287",$B$1,$B23,R$4,$Q23, , "Options: NA="&amp;""),0)</f>
        <v/>
      </c>
      <c r="S23" s="8" t="str">
        <f ca="1">IFERROR([1]!SNLData("287",$B$1,$B23,S$4,$Q23, , "Options: NA="&amp;""),0)</f>
        <v/>
      </c>
      <c r="T23" s="24">
        <f t="shared" ca="1" si="1"/>
        <v>0</v>
      </c>
      <c r="U23" s="8" t="str">
        <f ca="1">IFERROR([1]!SNLData("287",$B$1,$B23,U$4,$Q23, , "Options: NA="&amp;""),0)</f>
        <v/>
      </c>
      <c r="V23" s="24">
        <f t="shared" ca="1" si="2"/>
        <v>0</v>
      </c>
      <c r="W23" s="8">
        <f ca="1">IFERROR([1]!SNLData("287",$B$1,$B23,W$4,$Q23, , "Options: NA="&amp;""),0)</f>
        <v>0</v>
      </c>
      <c r="X23" s="24">
        <f t="shared" ca="1" si="3"/>
        <v>0</v>
      </c>
      <c r="Y23" s="8">
        <f ca="1">IFERROR([1]!SNLData("287",$B$1,$B23,Y$4,$Q23, , "Options: NA="&amp;""),0)</f>
        <v>0</v>
      </c>
      <c r="Z23" s="24">
        <f t="shared" ca="1" si="4"/>
        <v>0</v>
      </c>
      <c r="AA23" s="8">
        <f ca="1">IFERROR([1]!SNLData("287",$B$1,$B23,AA$4,$Q23, , "Options: NA="&amp;""),0)</f>
        <v>0</v>
      </c>
      <c r="AB23" s="24">
        <f t="shared" ca="1" si="5"/>
        <v>0</v>
      </c>
      <c r="AC23" s="24">
        <f t="shared" ca="1" si="6"/>
        <v>0</v>
      </c>
      <c r="AD23" s="24">
        <f t="shared" ca="1" si="7"/>
        <v>0</v>
      </c>
      <c r="AE23" s="10" t="str">
        <f t="shared" si="8"/>
        <v>Total: Non-guaranteed State LIHTC</v>
      </c>
      <c r="AF23" s="8">
        <f t="shared" ca="1" si="17"/>
        <v>0</v>
      </c>
      <c r="AG23" s="8">
        <f t="shared" ca="1" si="18"/>
        <v>0</v>
      </c>
      <c r="AH23" s="24">
        <f t="shared" ca="1" si="19"/>
        <v>0</v>
      </c>
      <c r="AI23" s="8">
        <f t="shared" ca="1" si="18"/>
        <v>0</v>
      </c>
      <c r="AJ23" s="24">
        <f t="shared" ca="1" si="20"/>
        <v>0</v>
      </c>
      <c r="AK23" s="8">
        <f t="shared" ca="1" si="18"/>
        <v>0</v>
      </c>
      <c r="AL23" s="24">
        <f t="shared" ca="1" si="20"/>
        <v>0</v>
      </c>
      <c r="AM23" s="8">
        <f t="shared" ca="1" si="18"/>
        <v>0</v>
      </c>
      <c r="AN23" s="24">
        <f t="shared" ca="1" si="20"/>
        <v>0</v>
      </c>
      <c r="AO23" s="8">
        <f t="shared" ca="1" si="18"/>
        <v>0</v>
      </c>
      <c r="AP23" s="24">
        <f t="shared" ca="1" si="20"/>
        <v>0</v>
      </c>
      <c r="AQ23" s="35">
        <f t="shared" ca="1" si="21"/>
        <v>0</v>
      </c>
      <c r="AR23" s="24">
        <f t="shared" ca="1" si="22"/>
        <v>0</v>
      </c>
    </row>
    <row r="24" spans="1:44" x14ac:dyDescent="0.2">
      <c r="A24" s="9" t="s">
        <v>102</v>
      </c>
      <c r="B24" s="10">
        <v>120795</v>
      </c>
      <c r="C24" s="10" t="str">
        <f t="shared" si="9"/>
        <v>Unaff: State LIHTC</v>
      </c>
      <c r="D24" s="8">
        <f ca="1">IFERROR([1]!SNLData("287",$B$1,$B24,D$4,$C24, , "Options: NA="&amp;""),0)</f>
        <v>0</v>
      </c>
      <c r="E24" s="8">
        <f ca="1">IFERROR([1]!SNLData("287",$B$1,$B24,E$4,$C24, , "Options: NA="&amp;""),0)</f>
        <v>0</v>
      </c>
      <c r="F24" s="24">
        <f t="shared" ca="1" si="23"/>
        <v>0</v>
      </c>
      <c r="G24" s="8">
        <f ca="1">IFERROR([1]!SNLData("287",$B$1,$B24,G$4,$C24, , "Options: NA="&amp;""),0)</f>
        <v>0</v>
      </c>
      <c r="H24" s="24">
        <f t="shared" ca="1" si="10"/>
        <v>0</v>
      </c>
      <c r="I24" s="8" t="str">
        <f ca="1">IFERROR([1]!SNLData("287",$B$1,$B24,I$4,$C24, , "Options: NA="&amp;""),0)</f>
        <v/>
      </c>
      <c r="J24" s="24">
        <f t="shared" ca="1" si="11"/>
        <v>0</v>
      </c>
      <c r="K24" s="8" t="str">
        <f ca="1">IFERROR([1]!SNLData("287",$B$1,$B24,K$4,$C24, , "Options: NA="&amp;""),0)</f>
        <v/>
      </c>
      <c r="L24" s="24">
        <f t="shared" ca="1" si="12"/>
        <v>0</v>
      </c>
      <c r="M24" s="8" t="str">
        <f ca="1">IFERROR([1]!SNLData("287",$B$1,$B24,M$4,$C24, , "Options: NA="&amp;""),0)</f>
        <v/>
      </c>
      <c r="N24" s="24">
        <f t="shared" ca="1" si="13"/>
        <v>0</v>
      </c>
      <c r="O24" s="24">
        <f t="shared" ca="1" si="14"/>
        <v>0</v>
      </c>
      <c r="P24" s="24">
        <f t="shared" ca="1" si="15"/>
        <v>0</v>
      </c>
      <c r="Q24" s="10" t="str">
        <f t="shared" si="16"/>
        <v>Aff: State LIHTC</v>
      </c>
      <c r="R24" s="8">
        <f ca="1">IFERROR([1]!SNLData("287",$B$1,$B24,R$4,$Q24, , "Options: NA="&amp;""),0)</f>
        <v>0</v>
      </c>
      <c r="S24" s="8">
        <f ca="1">IFERROR([1]!SNLData("287",$B$1,$B24,S$4,$Q24, , "Options: NA="&amp;""),0)</f>
        <v>0</v>
      </c>
      <c r="T24" s="24">
        <f t="shared" ca="1" si="1"/>
        <v>0</v>
      </c>
      <c r="U24" s="8">
        <f ca="1">IFERROR([1]!SNLData("287",$B$1,$B24,U$4,$Q24, , "Options: NA="&amp;""),0)</f>
        <v>0</v>
      </c>
      <c r="V24" s="24">
        <f t="shared" ca="1" si="2"/>
        <v>0</v>
      </c>
      <c r="W24" s="8" t="str">
        <f ca="1">IFERROR([1]!SNLData("287",$B$1,$B24,W$4,$Q24, , "Options: NA="&amp;""),0)</f>
        <v/>
      </c>
      <c r="X24" s="24">
        <f t="shared" ca="1" si="3"/>
        <v>0</v>
      </c>
      <c r="Y24" s="8" t="str">
        <f ca="1">IFERROR([1]!SNLData("287",$B$1,$B24,Y$4,$Q24, , "Options: NA="&amp;""),0)</f>
        <v/>
      </c>
      <c r="Z24" s="24">
        <f t="shared" ca="1" si="4"/>
        <v>0</v>
      </c>
      <c r="AA24" s="8" t="str">
        <f ca="1">IFERROR([1]!SNLData("287",$B$1,$B24,AA$4,$Q24, , "Options: NA="&amp;""),0)</f>
        <v/>
      </c>
      <c r="AB24" s="24">
        <f t="shared" ca="1" si="5"/>
        <v>0</v>
      </c>
      <c r="AC24" s="24">
        <f t="shared" ca="1" si="6"/>
        <v>0</v>
      </c>
      <c r="AD24" s="24">
        <f t="shared" ca="1" si="7"/>
        <v>0</v>
      </c>
      <c r="AE24" s="10" t="str">
        <f t="shared" si="8"/>
        <v>Total: State LIHTC</v>
      </c>
      <c r="AF24" s="8">
        <f t="shared" ca="1" si="17"/>
        <v>0</v>
      </c>
      <c r="AG24" s="8">
        <f t="shared" ca="1" si="18"/>
        <v>0</v>
      </c>
      <c r="AH24" s="24">
        <f t="shared" ca="1" si="19"/>
        <v>0</v>
      </c>
      <c r="AI24" s="8">
        <f t="shared" ca="1" si="18"/>
        <v>0</v>
      </c>
      <c r="AJ24" s="24">
        <f t="shared" ca="1" si="20"/>
        <v>0</v>
      </c>
      <c r="AK24" s="8">
        <f t="shared" ca="1" si="18"/>
        <v>0</v>
      </c>
      <c r="AL24" s="24">
        <f t="shared" ca="1" si="20"/>
        <v>0</v>
      </c>
      <c r="AM24" s="8">
        <f t="shared" ca="1" si="18"/>
        <v>0</v>
      </c>
      <c r="AN24" s="24">
        <f t="shared" ca="1" si="20"/>
        <v>0</v>
      </c>
      <c r="AO24" s="8">
        <f t="shared" ca="1" si="18"/>
        <v>0</v>
      </c>
      <c r="AP24" s="24">
        <f t="shared" ca="1" si="20"/>
        <v>0</v>
      </c>
      <c r="AQ24" s="35">
        <f t="shared" ca="1" si="21"/>
        <v>0</v>
      </c>
      <c r="AR24" s="24">
        <f t="shared" ca="1" si="22"/>
        <v>0</v>
      </c>
    </row>
    <row r="25" spans="1:44" x14ac:dyDescent="0.2">
      <c r="A25" s="9" t="s">
        <v>103</v>
      </c>
      <c r="B25" s="10">
        <v>120795</v>
      </c>
      <c r="C25" s="10" t="str">
        <f t="shared" si="9"/>
        <v>Unaff: Other LIHTC</v>
      </c>
      <c r="D25" s="8">
        <f ca="1">IFERROR([1]!SNLData("287",$B$1,$B25,D$4,$C25, , "Options: NA="&amp;""),0)</f>
        <v>0</v>
      </c>
      <c r="E25" s="8">
        <f ca="1">IFERROR([1]!SNLData("287",$B$1,$B25,E$4,$C25, , "Options: NA="&amp;""),0)</f>
        <v>0</v>
      </c>
      <c r="F25" s="24">
        <f t="shared" ca="1" si="23"/>
        <v>0</v>
      </c>
      <c r="G25" s="8">
        <f ca="1">IFERROR([1]!SNLData("287",$B$1,$B25,G$4,$C25, , "Options: NA="&amp;""),0)</f>
        <v>0</v>
      </c>
      <c r="H25" s="24">
        <f t="shared" ca="1" si="10"/>
        <v>0</v>
      </c>
      <c r="I25" s="8">
        <f ca="1">IFERROR([1]!SNLData("287",$B$1,$B25,I$4,$C25, , "Options: NA="&amp;""),0)</f>
        <v>0</v>
      </c>
      <c r="J25" s="24">
        <f t="shared" ca="1" si="11"/>
        <v>0</v>
      </c>
      <c r="K25" s="8">
        <f ca="1">IFERROR([1]!SNLData("287",$B$1,$B25,K$4,$C25, , "Options: NA="&amp;""),0)</f>
        <v>0</v>
      </c>
      <c r="L25" s="24">
        <f t="shared" ca="1" si="12"/>
        <v>0</v>
      </c>
      <c r="M25" s="8">
        <f ca="1">IFERROR([1]!SNLData("287",$B$1,$B25,M$4,$C25, , "Options: NA="&amp;""),0)</f>
        <v>0</v>
      </c>
      <c r="N25" s="24">
        <f t="shared" ca="1" si="13"/>
        <v>0</v>
      </c>
      <c r="O25" s="24">
        <f t="shared" ca="1" si="14"/>
        <v>0</v>
      </c>
      <c r="P25" s="24">
        <f t="shared" ca="1" si="15"/>
        <v>0</v>
      </c>
      <c r="Q25" s="10" t="str">
        <f t="shared" si="16"/>
        <v>Aff: Other LIHTC</v>
      </c>
      <c r="R25" s="8">
        <f ca="1">IFERROR([1]!SNLData("287",$B$1,$B25,R$4,$Q25, , "Options: NA="&amp;""),0)</f>
        <v>0</v>
      </c>
      <c r="S25" s="8">
        <f ca="1">IFERROR([1]!SNLData("287",$B$1,$B25,S$4,$Q25, , "Options: NA="&amp;""),0)</f>
        <v>0</v>
      </c>
      <c r="T25" s="24">
        <f t="shared" ca="1" si="1"/>
        <v>0</v>
      </c>
      <c r="U25" s="8">
        <f ca="1">IFERROR([1]!SNLData("287",$B$1,$B25,U$4,$Q25, , "Options: NA="&amp;""),0)</f>
        <v>0</v>
      </c>
      <c r="V25" s="24">
        <f t="shared" ca="1" si="2"/>
        <v>0</v>
      </c>
      <c r="W25" s="8">
        <f ca="1">IFERROR([1]!SNLData("287",$B$1,$B25,W$4,$Q25, , "Options: NA="&amp;""),0)</f>
        <v>0</v>
      </c>
      <c r="X25" s="24">
        <f t="shared" ca="1" si="3"/>
        <v>0</v>
      </c>
      <c r="Y25" s="8">
        <f ca="1">IFERROR([1]!SNLData("287",$B$1,$B25,Y$4,$Q25, , "Options: NA="&amp;""),0)</f>
        <v>0</v>
      </c>
      <c r="Z25" s="24">
        <f t="shared" ca="1" si="4"/>
        <v>0</v>
      </c>
      <c r="AA25" s="8">
        <f ca="1">IFERROR([1]!SNLData("287",$B$1,$B25,AA$4,$Q25, , "Options: NA="&amp;""),0)</f>
        <v>0</v>
      </c>
      <c r="AB25" s="24">
        <f t="shared" ca="1" si="5"/>
        <v>0</v>
      </c>
      <c r="AC25" s="24">
        <f t="shared" ca="1" si="6"/>
        <v>0</v>
      </c>
      <c r="AD25" s="24">
        <f t="shared" ca="1" si="7"/>
        <v>0</v>
      </c>
      <c r="AE25" s="10" t="str">
        <f t="shared" si="8"/>
        <v>Total: Other LIHTC</v>
      </c>
      <c r="AF25" s="8">
        <f t="shared" ca="1" si="17"/>
        <v>0</v>
      </c>
      <c r="AG25" s="8">
        <f t="shared" ca="1" si="18"/>
        <v>0</v>
      </c>
      <c r="AH25" s="24">
        <f t="shared" ca="1" si="19"/>
        <v>0</v>
      </c>
      <c r="AI25" s="8">
        <f t="shared" ca="1" si="18"/>
        <v>0</v>
      </c>
      <c r="AJ25" s="24">
        <f t="shared" ca="1" si="20"/>
        <v>0</v>
      </c>
      <c r="AK25" s="8">
        <f t="shared" ca="1" si="18"/>
        <v>0</v>
      </c>
      <c r="AL25" s="24">
        <f t="shared" ca="1" si="20"/>
        <v>0</v>
      </c>
      <c r="AM25" s="8">
        <f t="shared" ca="1" si="18"/>
        <v>0</v>
      </c>
      <c r="AN25" s="24">
        <f t="shared" ca="1" si="20"/>
        <v>0</v>
      </c>
      <c r="AO25" s="8">
        <f t="shared" ca="1" si="18"/>
        <v>0</v>
      </c>
      <c r="AP25" s="24">
        <f t="shared" ca="1" si="20"/>
        <v>0</v>
      </c>
      <c r="AQ25" s="35">
        <f t="shared" ca="1" si="21"/>
        <v>0</v>
      </c>
      <c r="AR25" s="24">
        <f t="shared" ca="1" si="22"/>
        <v>0</v>
      </c>
    </row>
    <row r="26" spans="1:44" x14ac:dyDescent="0.2">
      <c r="A26" s="9" t="s">
        <v>104</v>
      </c>
      <c r="B26" s="10">
        <v>120795</v>
      </c>
      <c r="C26" s="10" t="str">
        <f t="shared" si="9"/>
        <v>Unaff: Working Capital Finance Investment</v>
      </c>
      <c r="D26" s="8" t="str">
        <f ca="1">IFERROR([1]!SNLData("287",$B$1,$B26,D$4,$C26, , "Options: NA="&amp;""),0)</f>
        <v/>
      </c>
      <c r="E26" s="8" t="str">
        <f ca="1">IFERROR([1]!SNLData("287",$B$1,$B26,E$4,$C26, , "Options: NA="&amp;""),0)</f>
        <v/>
      </c>
      <c r="F26" s="24">
        <f t="shared" ca="1" si="23"/>
        <v>0</v>
      </c>
      <c r="G26" s="8" t="str">
        <f ca="1">IFERROR([1]!SNLData("287",$B$1,$B26,G$4,$C26, , "Options: NA="&amp;""),0)</f>
        <v/>
      </c>
      <c r="H26" s="24">
        <f t="shared" ca="1" si="10"/>
        <v>0</v>
      </c>
      <c r="I26" s="8">
        <f ca="1">IFERROR([1]!SNLData("287",$B$1,$B26,I$4,$C26, , "Options: NA="&amp;""),0)</f>
        <v>0</v>
      </c>
      <c r="J26" s="24">
        <f t="shared" ca="1" si="11"/>
        <v>0</v>
      </c>
      <c r="K26" s="8">
        <f ca="1">IFERROR([1]!SNLData("287",$B$1,$B26,K$4,$C26, , "Options: NA="&amp;""),0)</f>
        <v>0</v>
      </c>
      <c r="L26" s="24">
        <f t="shared" ca="1" si="12"/>
        <v>0</v>
      </c>
      <c r="M26" s="8">
        <f ca="1">IFERROR([1]!SNLData("287",$B$1,$B26,M$4,$C26, , "Options: NA="&amp;""),0)</f>
        <v>0</v>
      </c>
      <c r="N26" s="24">
        <f t="shared" ca="1" si="13"/>
        <v>0</v>
      </c>
      <c r="O26" s="24">
        <f t="shared" ca="1" si="14"/>
        <v>0</v>
      </c>
      <c r="P26" s="24">
        <f t="shared" ca="1" si="15"/>
        <v>0</v>
      </c>
      <c r="Q26" s="10" t="str">
        <f t="shared" si="16"/>
        <v>Aff: Working Capital Finance Investment</v>
      </c>
      <c r="R26" s="8"/>
      <c r="S26" s="8"/>
      <c r="T26" s="24">
        <f t="shared" si="1"/>
        <v>0</v>
      </c>
      <c r="U26" s="8"/>
      <c r="V26" s="24">
        <f t="shared" si="2"/>
        <v>0</v>
      </c>
      <c r="W26" s="8"/>
      <c r="X26" s="24">
        <f t="shared" si="3"/>
        <v>0</v>
      </c>
      <c r="Y26" s="8"/>
      <c r="Z26" s="24">
        <f t="shared" si="4"/>
        <v>0</v>
      </c>
      <c r="AA26" s="8"/>
      <c r="AB26" s="24">
        <f t="shared" si="5"/>
        <v>0</v>
      </c>
      <c r="AC26" s="24">
        <f t="shared" si="6"/>
        <v>0</v>
      </c>
      <c r="AD26" s="24">
        <f t="shared" si="7"/>
        <v>0</v>
      </c>
      <c r="AE26" s="10" t="str">
        <f t="shared" si="8"/>
        <v>Total: Working Capital Finance Investment</v>
      </c>
      <c r="AF26" s="8">
        <f t="shared" ca="1" si="17"/>
        <v>0</v>
      </c>
      <c r="AG26" s="8">
        <f t="shared" ca="1" si="18"/>
        <v>0</v>
      </c>
      <c r="AH26" s="24">
        <f t="shared" ca="1" si="19"/>
        <v>0</v>
      </c>
      <c r="AI26" s="8">
        <f t="shared" ca="1" si="18"/>
        <v>0</v>
      </c>
      <c r="AJ26" s="24">
        <f t="shared" ca="1" si="20"/>
        <v>0</v>
      </c>
      <c r="AK26" s="8">
        <f t="shared" ca="1" si="18"/>
        <v>0</v>
      </c>
      <c r="AL26" s="24">
        <f t="shared" ca="1" si="20"/>
        <v>0</v>
      </c>
      <c r="AM26" s="8">
        <f t="shared" ca="1" si="18"/>
        <v>0</v>
      </c>
      <c r="AN26" s="24">
        <f t="shared" ca="1" si="20"/>
        <v>0</v>
      </c>
      <c r="AO26" s="8">
        <f t="shared" ca="1" si="18"/>
        <v>0</v>
      </c>
      <c r="AP26" s="24">
        <f t="shared" ca="1" si="20"/>
        <v>0</v>
      </c>
      <c r="AQ26" s="35">
        <f t="shared" ca="1" si="21"/>
        <v>0</v>
      </c>
      <c r="AR26" s="24">
        <f t="shared" ca="1" si="22"/>
        <v>0</v>
      </c>
    </row>
    <row r="27" spans="1:44" x14ac:dyDescent="0.2">
      <c r="A27" s="9" t="s">
        <v>105</v>
      </c>
      <c r="B27" s="10">
        <v>120795</v>
      </c>
      <c r="C27" s="10" t="str">
        <f t="shared" si="9"/>
        <v>Unaff: Other Assets</v>
      </c>
      <c r="D27" s="8">
        <f ca="1">IFERROR([1]!SNLData("287",$B$1,$B27,D$4,$C27, , "Options: NA="&amp;""),0)</f>
        <v>0</v>
      </c>
      <c r="E27" s="8">
        <f ca="1">IFERROR([1]!SNLData("287",$B$1,$B27,E$4,$C27, , "Options: NA="&amp;""),0)</f>
        <v>0</v>
      </c>
      <c r="F27" s="24">
        <f t="shared" ca="1" si="23"/>
        <v>0</v>
      </c>
      <c r="G27" s="8">
        <f ca="1">IFERROR([1]!SNLData("287",$B$1,$B27,G$4,$C27, , "Options: NA="&amp;""),0)</f>
        <v>0</v>
      </c>
      <c r="H27" s="24">
        <f t="shared" ca="1" si="10"/>
        <v>0</v>
      </c>
      <c r="I27" s="8">
        <f ca="1">IFERROR([1]!SNLData("287",$B$1,$B27,I$4,$C27, , "Options: NA="&amp;""),0)</f>
        <v>0</v>
      </c>
      <c r="J27" s="24">
        <f t="shared" ca="1" si="11"/>
        <v>0</v>
      </c>
      <c r="K27" s="8">
        <f ca="1">IFERROR([1]!SNLData("287",$B$1,$B27,K$4,$C27, , "Options: NA="&amp;""),0)</f>
        <v>0</v>
      </c>
      <c r="L27" s="24">
        <f t="shared" ca="1" si="12"/>
        <v>0</v>
      </c>
      <c r="M27" s="8">
        <f ca="1">IFERROR([1]!SNLData("287",$B$1,$B27,M$4,$C27, , "Options: NA="&amp;""),0)</f>
        <v>0</v>
      </c>
      <c r="N27" s="24">
        <f t="shared" ca="1" si="13"/>
        <v>0</v>
      </c>
      <c r="O27" s="24">
        <f t="shared" ca="1" si="14"/>
        <v>0</v>
      </c>
      <c r="P27" s="24">
        <f t="shared" ca="1" si="15"/>
        <v>0</v>
      </c>
      <c r="Q27" s="10" t="str">
        <f t="shared" si="16"/>
        <v>Aff: Other Assets</v>
      </c>
      <c r="R27" s="8">
        <f ca="1">IFERROR([1]!SNLData("287",$B$1,$B27,R$4,$Q27, , "Options: NA="&amp;""),0)</f>
        <v>0</v>
      </c>
      <c r="S27" s="8">
        <f ca="1">IFERROR([1]!SNLData("287",$B$1,$B27,S$4,$Q27, , "Options: NA="&amp;""),0)</f>
        <v>0</v>
      </c>
      <c r="T27" s="24">
        <f t="shared" ca="1" si="1"/>
        <v>0</v>
      </c>
      <c r="U27" s="8">
        <f ca="1">IFERROR([1]!SNLData("287",$B$1,$B27,U$4,$Q27, , "Options: NA="&amp;""),0)</f>
        <v>0</v>
      </c>
      <c r="V27" s="24">
        <f t="shared" ca="1" si="2"/>
        <v>0</v>
      </c>
      <c r="W27" s="8">
        <f ca="1">IFERROR([1]!SNLData("287",$B$1,$B27,W$4,$Q27, , "Options: NA="&amp;""),0)</f>
        <v>0</v>
      </c>
      <c r="X27" s="24">
        <f t="shared" ca="1" si="3"/>
        <v>0</v>
      </c>
      <c r="Y27" s="8">
        <f ca="1">IFERROR([1]!SNLData("287",$B$1,$B27,Y$4,$Q27, , "Options: NA="&amp;""),0)</f>
        <v>0</v>
      </c>
      <c r="Z27" s="24">
        <f t="shared" ca="1" si="4"/>
        <v>0</v>
      </c>
      <c r="AA27" s="8">
        <f ca="1">IFERROR([1]!SNLData("287",$B$1,$B27,AA$4,$Q27, , "Options: NA="&amp;""),0)</f>
        <v>0</v>
      </c>
      <c r="AB27" s="24">
        <f t="shared" ca="1" si="5"/>
        <v>0</v>
      </c>
      <c r="AC27" s="24">
        <f t="shared" ca="1" si="6"/>
        <v>0</v>
      </c>
      <c r="AD27" s="24">
        <f t="shared" ca="1" si="7"/>
        <v>0</v>
      </c>
      <c r="AE27" s="10" t="str">
        <f t="shared" si="8"/>
        <v>Total: Other Assets</v>
      </c>
      <c r="AF27" s="8">
        <f t="shared" ca="1" si="17"/>
        <v>0</v>
      </c>
      <c r="AG27" s="8">
        <f t="shared" ca="1" si="18"/>
        <v>0</v>
      </c>
      <c r="AH27" s="24">
        <f t="shared" ca="1" si="19"/>
        <v>0</v>
      </c>
      <c r="AI27" s="8">
        <f t="shared" ca="1" si="18"/>
        <v>0</v>
      </c>
      <c r="AJ27" s="24">
        <f t="shared" ca="1" si="20"/>
        <v>0</v>
      </c>
      <c r="AK27" s="8">
        <f t="shared" ca="1" si="18"/>
        <v>0</v>
      </c>
      <c r="AL27" s="24">
        <f t="shared" ca="1" si="20"/>
        <v>0</v>
      </c>
      <c r="AM27" s="8">
        <f t="shared" ca="1" si="18"/>
        <v>0</v>
      </c>
      <c r="AN27" s="24">
        <f t="shared" ca="1" si="20"/>
        <v>0</v>
      </c>
      <c r="AO27" s="8">
        <f t="shared" ca="1" si="18"/>
        <v>0</v>
      </c>
      <c r="AP27" s="24">
        <f t="shared" ca="1" si="20"/>
        <v>0</v>
      </c>
      <c r="AQ27" s="35">
        <f t="shared" ca="1" si="21"/>
        <v>0</v>
      </c>
      <c r="AR27" s="24">
        <f t="shared" ca="1" si="22"/>
        <v>0</v>
      </c>
    </row>
    <row r="28" spans="1:44" x14ac:dyDescent="0.2">
      <c r="A28" s="9" t="s">
        <v>106</v>
      </c>
      <c r="B28" s="10">
        <v>120795</v>
      </c>
      <c r="C28" s="10" t="str">
        <f t="shared" si="9"/>
        <v>Unaff: Non-Conforming LT Assets</v>
      </c>
      <c r="D28" s="8">
        <f ca="1">IFERROR([1]!SNLData("287",$B$1,$B28,D$4,$C28, , "Options: NA="&amp;""),0)</f>
        <v>1256842.1170000001</v>
      </c>
      <c r="E28" s="8">
        <f ca="1">IFERROR([1]!SNLData("287",$B$1,$B28,E$4,$C28, , "Options: NA="&amp;""),0)</f>
        <v>1279990.9809999999</v>
      </c>
      <c r="F28" s="24">
        <f t="shared" ca="1" si="23"/>
        <v>1.8418275204887813E-2</v>
      </c>
      <c r="G28" s="8">
        <f ca="1">IFERROR([1]!SNLData("287",$B$1,$B28,G$4,$C28, , "Options: NA="&amp;""),0)</f>
        <v>1256917.4010000001</v>
      </c>
      <c r="H28" s="24">
        <f t="shared" ca="1" si="10"/>
        <v>-1.8026361390432233E-2</v>
      </c>
      <c r="I28" s="8">
        <f ca="1">IFERROR([1]!SNLData("287",$B$1,$B28,I$4,$C28, , "Options: NA="&amp;""),0)</f>
        <v>1478525.1030000001</v>
      </c>
      <c r="J28" s="24">
        <f t="shared" ca="1" si="11"/>
        <v>0.17631047340397199</v>
      </c>
      <c r="K28" s="8">
        <f ca="1">IFERROR([1]!SNLData("287",$B$1,$B28,K$4,$C28, , "Options: NA="&amp;""),0)</f>
        <v>1528475.051</v>
      </c>
      <c r="L28" s="24">
        <f t="shared" ca="1" si="12"/>
        <v>3.3783632011826548E-2</v>
      </c>
      <c r="M28" s="8">
        <f ca="1">IFERROR([1]!SNLData("287",$B$1,$B28,M$4,$C28, , "Options: NA="&amp;""),0)</f>
        <v>1391388.825</v>
      </c>
      <c r="N28" s="24">
        <f t="shared" ca="1" si="13"/>
        <v>-8.9688232667135659E-2</v>
      </c>
      <c r="O28" s="24">
        <f t="shared" ca="1" si="14"/>
        <v>8.7030178847799178E-2</v>
      </c>
      <c r="P28" s="24">
        <f t="shared" ca="1" si="15"/>
        <v>1.6829928264128879E-2</v>
      </c>
      <c r="Q28" s="10" t="str">
        <f t="shared" si="16"/>
        <v>Aff: Non-Conforming LT Assets</v>
      </c>
      <c r="R28" s="8">
        <f ca="1">IFERROR([1]!SNLData("287",$B$1,$B28,R$4,$Q28, , "Options: NA="&amp;""),0)</f>
        <v>1314978.3460000001</v>
      </c>
      <c r="S28" s="8">
        <f ca="1">IFERROR([1]!SNLData("287",$B$1,$B28,S$4,$Q28, , "Options: NA="&amp;""),0)</f>
        <v>1164932.425</v>
      </c>
      <c r="T28" s="24">
        <f t="shared" ca="1" si="1"/>
        <v>-0.11410524093907781</v>
      </c>
      <c r="U28" s="8">
        <f ca="1">IFERROR([1]!SNLData("287",$B$1,$B28,U$4,$Q28, , "Options: NA="&amp;""),0)</f>
        <v>1231128.1780000001</v>
      </c>
      <c r="V28" s="24">
        <f t="shared" ca="1" si="2"/>
        <v>5.6823684858801959E-2</v>
      </c>
      <c r="W28" s="8">
        <f ca="1">IFERROR([1]!SNLData("287",$B$1,$B28,W$4,$Q28, , "Options: NA="&amp;""),0)</f>
        <v>1263427.548</v>
      </c>
      <c r="X28" s="24">
        <f t="shared" ca="1" si="3"/>
        <v>2.623558665716752E-2</v>
      </c>
      <c r="Y28" s="8">
        <f ca="1">IFERROR([1]!SNLData("287",$B$1,$B28,Y$4,$Q28, , "Options: NA="&amp;""),0)</f>
        <v>1252268.426</v>
      </c>
      <c r="Z28" s="24">
        <f t="shared" ca="1" si="4"/>
        <v>-8.8324194115165788E-3</v>
      </c>
      <c r="AA28" s="8">
        <f ca="1">IFERROR([1]!SNLData("287",$B$1,$B28,AA$4,$Q28, , "Options: NA="&amp;""),0)</f>
        <v>1158304.2439999999</v>
      </c>
      <c r="AB28" s="24">
        <f t="shared" ca="1" si="5"/>
        <v>-7.5035176204306886E-2</v>
      </c>
      <c r="AC28" s="24">
        <f t="shared" ca="1" si="6"/>
        <v>-5.6897557813279098E-3</v>
      </c>
      <c r="AD28" s="24">
        <f t="shared" ca="1" si="7"/>
        <v>-1.140549898722365E-3</v>
      </c>
      <c r="AE28" s="10" t="str">
        <f t="shared" si="8"/>
        <v>Total: Non-Conforming LT Assets</v>
      </c>
      <c r="AF28" s="8">
        <f t="shared" ca="1" si="17"/>
        <v>2571820.4630000005</v>
      </c>
      <c r="AG28" s="8">
        <f t="shared" ca="1" si="18"/>
        <v>2444923.406</v>
      </c>
      <c r="AH28" s="24">
        <f t="shared" ca="1" si="19"/>
        <v>-4.9341335768040562E-2</v>
      </c>
      <c r="AI28" s="8">
        <f t="shared" ca="1" si="18"/>
        <v>2488045.5789999999</v>
      </c>
      <c r="AJ28" s="24">
        <f t="shared" ca="1" si="20"/>
        <v>1.7637433096748589E-2</v>
      </c>
      <c r="AK28" s="8">
        <f t="shared" ca="1" si="18"/>
        <v>2741952.6510000001</v>
      </c>
      <c r="AL28" s="24">
        <f t="shared" ca="1" si="20"/>
        <v>0.10205081214872713</v>
      </c>
      <c r="AM28" s="8">
        <f t="shared" ca="1" si="18"/>
        <v>2780743.477</v>
      </c>
      <c r="AN28" s="24">
        <f t="shared" ca="1" si="20"/>
        <v>1.4147153848864891E-2</v>
      </c>
      <c r="AO28" s="8">
        <f t="shared" ca="1" si="18"/>
        <v>2549693.0690000001</v>
      </c>
      <c r="AP28" s="24">
        <f t="shared" ca="1" si="20"/>
        <v>-8.3089436300419983E-2</v>
      </c>
      <c r="AQ28" s="35">
        <f t="shared" ca="1" si="21"/>
        <v>4.2851920327192428E-2</v>
      </c>
      <c r="AR28" s="24">
        <f t="shared" ca="1" si="22"/>
        <v>8.4271484140248099E-3</v>
      </c>
    </row>
    <row r="29" spans="1:44" x14ac:dyDescent="0.2">
      <c r="C29" s="29" t="s">
        <v>116</v>
      </c>
      <c r="D29" s="8">
        <f ca="1">SUM(D5:D28)</f>
        <v>2513684.2340000002</v>
      </c>
      <c r="E29" s="8">
        <f ca="1">SUM(E5:E28)</f>
        <v>2559981.9620000003</v>
      </c>
      <c r="F29" s="24">
        <f t="shared" ca="1" si="23"/>
        <v>1.8418275204888035E-2</v>
      </c>
      <c r="G29" s="8">
        <f ca="1">SUM(G5:G28)</f>
        <v>2513834.8020000001</v>
      </c>
      <c r="H29" s="24">
        <f t="shared" ca="1" si="10"/>
        <v>-1.8026361390432344E-2</v>
      </c>
      <c r="I29" s="8">
        <f ca="1">SUM(I5:I28)</f>
        <v>2957050.2060000002</v>
      </c>
      <c r="J29" s="24">
        <f t="shared" ca="1" si="11"/>
        <v>0.17631047340397199</v>
      </c>
      <c r="K29" s="8">
        <f ca="1">SUM(K5:K28)</f>
        <v>3056950.102</v>
      </c>
      <c r="L29" s="24">
        <f t="shared" ca="1" si="12"/>
        <v>3.3783632011826548E-2</v>
      </c>
      <c r="M29" s="8">
        <f ca="1">SUM(M5:M28)</f>
        <v>2782777.65</v>
      </c>
      <c r="N29" s="24">
        <f t="shared" ca="1" si="13"/>
        <v>-8.9688232667135659E-2</v>
      </c>
      <c r="O29" s="24">
        <f t="shared" ca="1" si="14"/>
        <v>8.7030178847799178E-2</v>
      </c>
      <c r="P29" s="24">
        <f t="shared" ca="1" si="15"/>
        <v>1.6829928264128879E-2</v>
      </c>
      <c r="Q29" s="29" t="s">
        <v>115</v>
      </c>
      <c r="R29" s="22">
        <f ca="1">AF29-D29</f>
        <v>2629956.6920000007</v>
      </c>
      <c r="S29" s="22">
        <f ca="1">AG29-E29</f>
        <v>2329864.8500000006</v>
      </c>
      <c r="T29" s="24">
        <f>IFERROR((#REF!/#REF!)-1,0)</f>
        <v>0</v>
      </c>
      <c r="U29" s="22">
        <f ca="1">AI29-G29</f>
        <v>2462256.3559999997</v>
      </c>
      <c r="V29" s="24">
        <f>IFERROR((#REF!/#REF!)-1,0)</f>
        <v>0</v>
      </c>
      <c r="W29" s="22">
        <f ca="1">AK29-I29</f>
        <v>2526855.0959999999</v>
      </c>
      <c r="X29" s="24">
        <f>IFERROR((#REF!/#REF!)-1,0)</f>
        <v>0</v>
      </c>
      <c r="Y29" s="22">
        <f ca="1">AM29-K29</f>
        <v>2504536.852</v>
      </c>
      <c r="Z29" s="24">
        <f>IFERROR((#REF!/#REF!)-1,0)</f>
        <v>0</v>
      </c>
      <c r="AA29" s="22">
        <f ca="1">AO29-M29</f>
        <v>2316608.4880000004</v>
      </c>
      <c r="AB29" s="24">
        <f>IFERROR((#REF!/#REF!)-1,0)</f>
        <v>0</v>
      </c>
      <c r="AC29" s="24">
        <f>IFERROR((#REF!/#REF!)-1,0)</f>
        <v>0</v>
      </c>
      <c r="AD29" s="24">
        <f t="shared" si="7"/>
        <v>0</v>
      </c>
      <c r="AE29" s="29" t="s">
        <v>4</v>
      </c>
      <c r="AF29" s="8">
        <f ca="1">SUM(AF5:AF28)</f>
        <v>5143640.9260000009</v>
      </c>
      <c r="AG29" s="8">
        <f ca="1">SUM(AG5:AG28)</f>
        <v>4889846.8120000008</v>
      </c>
      <c r="AH29" s="24">
        <f t="shared" ca="1" si="19"/>
        <v>-4.934133576804034E-2</v>
      </c>
      <c r="AI29" s="8">
        <f ca="1">SUM(AI5:AI28)</f>
        <v>4976091.1579999998</v>
      </c>
      <c r="AJ29" s="24">
        <f t="shared" ca="1" si="20"/>
        <v>1.7637433096748589E-2</v>
      </c>
      <c r="AK29" s="8">
        <f ca="1">SUM(AK5:AK28)</f>
        <v>5483905.3020000001</v>
      </c>
      <c r="AL29" s="24">
        <f t="shared" ca="1" si="20"/>
        <v>0.10205081214872713</v>
      </c>
      <c r="AM29" s="8">
        <f ca="1">SUM(AM5:AM28)</f>
        <v>5561486.9539999999</v>
      </c>
      <c r="AN29" s="24">
        <f t="shared" ca="1" si="20"/>
        <v>1.4147153848864891E-2</v>
      </c>
      <c r="AO29" s="8">
        <f ca="1">SUM(AO5:AO28)</f>
        <v>5099386.1380000003</v>
      </c>
      <c r="AP29" s="24">
        <f t="shared" ca="1" si="20"/>
        <v>-8.3089436300419983E-2</v>
      </c>
      <c r="AQ29" s="35">
        <f t="shared" ca="1" si="21"/>
        <v>4.2851920327192428E-2</v>
      </c>
      <c r="AR29" s="24">
        <f t="shared" ca="1" si="22"/>
        <v>8.4271484140248099E-3</v>
      </c>
    </row>
    <row r="35" spans="6:7" x14ac:dyDescent="0.2">
      <c r="F35" s="143" t="s">
        <v>322</v>
      </c>
      <c r="G35" s="7">
        <v>0.109</v>
      </c>
    </row>
  </sheetData>
  <mergeCells count="3">
    <mergeCell ref="C3:P3"/>
    <mergeCell ref="Q3:AA3"/>
    <mergeCell ref="AE3:AO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25"/>
  <sheetViews>
    <sheetView workbookViewId="0"/>
  </sheetViews>
  <sheetFormatPr defaultColWidth="9.125" defaultRowHeight="12.75" x14ac:dyDescent="0.2"/>
  <cols>
    <col min="1" max="1" width="43" style="129" bestFit="1" customWidth="1"/>
    <col min="2" max="2" width="10.375" style="130" bestFit="1" customWidth="1"/>
    <col min="3" max="3" width="21.75" style="130" customWidth="1"/>
    <col min="4" max="4" width="19.875" style="129" customWidth="1"/>
    <col min="5" max="5" width="38.875" style="130" customWidth="1"/>
    <col min="6" max="10" width="23.75" style="130" bestFit="1" customWidth="1"/>
    <col min="11" max="14" width="32.625" style="130" bestFit="1" customWidth="1"/>
    <col min="15" max="18" width="30" style="130" bestFit="1" customWidth="1"/>
    <col min="19" max="23" width="41.75" style="130" bestFit="1" customWidth="1"/>
    <col min="24" max="26" width="15.125" style="130" bestFit="1" customWidth="1"/>
    <col min="27" max="29" width="24" style="130" bestFit="1" customWidth="1"/>
    <col min="30" max="32" width="21.375" style="130" bestFit="1" customWidth="1"/>
    <col min="33" max="35" width="33.125" style="130" bestFit="1" customWidth="1"/>
    <col min="36" max="16384" width="9.125" style="130"/>
  </cols>
  <sheetData>
    <row r="1" spans="1:5" x14ac:dyDescent="0.2">
      <c r="A1" s="129" t="s">
        <v>6</v>
      </c>
      <c r="B1" s="130" t="str">
        <f>STAT_KEY</f>
        <v>GP4042156</v>
      </c>
    </row>
    <row r="3" spans="1:5" x14ac:dyDescent="0.2">
      <c r="A3" s="15" t="s">
        <v>10</v>
      </c>
      <c r="B3" s="14" t="s">
        <v>11</v>
      </c>
      <c r="C3" s="14" t="s">
        <v>12</v>
      </c>
      <c r="D3" s="15" t="s">
        <v>13</v>
      </c>
      <c r="E3" s="14" t="s">
        <v>14</v>
      </c>
    </row>
    <row r="4" spans="1:5" x14ac:dyDescent="0.2">
      <c r="A4" s="15"/>
      <c r="B4" s="14"/>
      <c r="C4" s="14"/>
      <c r="D4" s="15"/>
      <c r="E4" s="14"/>
    </row>
    <row r="5" spans="1:5" x14ac:dyDescent="0.2">
      <c r="A5" s="13" t="s">
        <v>15</v>
      </c>
      <c r="B5" s="14"/>
      <c r="C5" s="14"/>
      <c r="D5" s="15"/>
      <c r="E5" s="14"/>
    </row>
    <row r="6" spans="1:5" x14ac:dyDescent="0.2">
      <c r="A6" s="15" t="s">
        <v>16</v>
      </c>
      <c r="B6" s="130">
        <v>116383</v>
      </c>
      <c r="C6" s="130">
        <v>287</v>
      </c>
      <c r="D6" s="15"/>
      <c r="E6" s="15" t="str">
        <f>[1]!SNLData(C6,$B$1,B6)</f>
        <v>Zurich Insurance Group (SNL P&amp;C Group)</v>
      </c>
    </row>
    <row r="7" spans="1:5" x14ac:dyDescent="0.2">
      <c r="A7" s="15" t="s">
        <v>17</v>
      </c>
      <c r="B7" s="130">
        <v>116149</v>
      </c>
      <c r="C7" s="130">
        <v>287</v>
      </c>
      <c r="D7" s="15"/>
      <c r="E7" s="15" t="str">
        <f>[1]!SNLData(C7,$B$1,B7)</f>
        <v>GP4042156</v>
      </c>
    </row>
    <row r="8" spans="1:5" x14ac:dyDescent="0.2">
      <c r="A8" s="15" t="s">
        <v>18</v>
      </c>
      <c r="B8" s="130">
        <v>121800</v>
      </c>
      <c r="C8" s="130">
        <v>287</v>
      </c>
      <c r="D8" s="15"/>
      <c r="E8" s="15" t="str">
        <f>[1]!SNLData(C8,$B$1,B8)</f>
        <v>NA</v>
      </c>
    </row>
    <row r="9" spans="1:5" x14ac:dyDescent="0.2">
      <c r="A9" s="16" t="s">
        <v>19</v>
      </c>
      <c r="B9" s="130">
        <v>121963</v>
      </c>
      <c r="C9" s="130">
        <v>287</v>
      </c>
      <c r="D9" s="15"/>
      <c r="E9" s="15" t="str">
        <f>[1]!SNLData(C9,$B$1,B9)</f>
        <v>Commercial Property Focus</v>
      </c>
    </row>
    <row r="10" spans="1:5" x14ac:dyDescent="0.2">
      <c r="A10" s="16" t="s">
        <v>20</v>
      </c>
      <c r="B10" s="130">
        <v>121964</v>
      </c>
      <c r="C10" s="130">
        <v>287</v>
      </c>
      <c r="D10" s="15"/>
      <c r="E10" s="15" t="str">
        <f>[1]!SNLData(C10,$B$1,B10)</f>
        <v>National</v>
      </c>
    </row>
    <row r="11" spans="1:5" x14ac:dyDescent="0.2">
      <c r="A11" s="16" t="s">
        <v>21</v>
      </c>
      <c r="B11" s="130">
        <v>121803</v>
      </c>
      <c r="C11" s="130">
        <v>287</v>
      </c>
      <c r="D11" s="15"/>
      <c r="E11" s="15" t="str">
        <f>[1]!SNLData(C11,$B$1,B11)</f>
        <v>Stock Company</v>
      </c>
    </row>
    <row r="12" spans="1:5" x14ac:dyDescent="0.2">
      <c r="A12" s="15" t="s">
        <v>22</v>
      </c>
      <c r="B12" s="130">
        <v>121415</v>
      </c>
      <c r="C12" s="130">
        <v>287</v>
      </c>
      <c r="D12" s="15"/>
      <c r="E12" s="15" t="str">
        <f>[1]!SNLData(C12,$B$1,B12)</f>
        <v>1299 Zurich Way</v>
      </c>
    </row>
    <row r="13" spans="1:5" x14ac:dyDescent="0.2">
      <c r="A13" s="15" t="s">
        <v>23</v>
      </c>
      <c r="B13" s="130">
        <v>121416</v>
      </c>
      <c r="C13" s="130">
        <v>287</v>
      </c>
      <c r="D13" s="15"/>
      <c r="E13" s="15" t="str">
        <f>[1]!SNLData(C13,$B$1,B13)</f>
        <v/>
      </c>
    </row>
    <row r="14" spans="1:5" x14ac:dyDescent="0.2">
      <c r="A14" s="15" t="s">
        <v>24</v>
      </c>
      <c r="B14" s="130">
        <v>121417</v>
      </c>
      <c r="C14" s="130">
        <v>287</v>
      </c>
      <c r="D14" s="15"/>
      <c r="E14" s="15" t="str">
        <f>[1]!SNLData(C14,$B$1,B14)</f>
        <v>Schaumburg</v>
      </c>
    </row>
    <row r="15" spans="1:5" x14ac:dyDescent="0.2">
      <c r="A15" s="15" t="s">
        <v>25</v>
      </c>
      <c r="B15" s="130">
        <v>121418</v>
      </c>
      <c r="C15" s="130">
        <v>287</v>
      </c>
      <c r="D15" s="15"/>
      <c r="E15" s="15" t="str">
        <f>[1]!SNLData(C15,$B$1,B15)</f>
        <v>IL</v>
      </c>
    </row>
    <row r="16" spans="1:5" x14ac:dyDescent="0.2">
      <c r="A16" s="15" t="s">
        <v>26</v>
      </c>
      <c r="B16" s="130">
        <v>121419</v>
      </c>
      <c r="C16" s="130">
        <v>287</v>
      </c>
      <c r="D16" s="15"/>
      <c r="E16" s="17" t="str">
        <f>[1]!SNLData(C16,$B$1,B16)</f>
        <v>60196-1056</v>
      </c>
    </row>
    <row r="17" spans="1:35" x14ac:dyDescent="0.2">
      <c r="A17" s="15" t="s">
        <v>27</v>
      </c>
      <c r="B17" s="130">
        <v>121806</v>
      </c>
      <c r="C17" s="130">
        <v>287</v>
      </c>
      <c r="D17" s="15"/>
      <c r="E17" s="15" t="str">
        <f>[1]!SNLData(C17,$B$1,B17)</f>
        <v>Midwest</v>
      </c>
    </row>
    <row r="18" spans="1:35" x14ac:dyDescent="0.2">
      <c r="A18" s="15" t="s">
        <v>28</v>
      </c>
      <c r="B18" s="130">
        <v>121421</v>
      </c>
      <c r="C18" s="130">
        <v>287</v>
      </c>
      <c r="D18" s="15"/>
      <c r="E18" s="15" t="str">
        <f>[1]!SNLData(C18,$B$1,B18)</f>
        <v>United States of America</v>
      </c>
    </row>
    <row r="19" spans="1:35" x14ac:dyDescent="0.2">
      <c r="A19" s="15" t="s">
        <v>29</v>
      </c>
      <c r="B19" s="130">
        <v>121423</v>
      </c>
      <c r="C19" s="130">
        <v>287</v>
      </c>
      <c r="D19" s="15"/>
      <c r="E19" s="15" t="str">
        <f>[1]!SNLData(C19,$B$1,B19)</f>
        <v>(847) 605-6000</v>
      </c>
    </row>
    <row r="20" spans="1:35" x14ac:dyDescent="0.2">
      <c r="A20" s="129" t="str">
        <f>[1]!SNLLabel(287,121808,"&lt;&gt;CEO","Options:Curr=Reported currency,Mag=SNLstandard,ConvMethod=SNLrecommended")</f>
        <v>Chief Executive Officer</v>
      </c>
      <c r="B20" s="131">
        <v>121808</v>
      </c>
      <c r="C20" s="130">
        <v>287</v>
      </c>
      <c r="D20" s="129" t="str">
        <f>[1]!SNLLabel(287,121808,"&lt;&gt;CEO","Options:Curr=Reported currency,Mag=SNLstandard,ConvMethod=SNLrecommended")</f>
        <v>Chief Executive Officer</v>
      </c>
      <c r="E20" s="129" t="str">
        <f>[1]!SNLData(C20,$B$1,B20,D20)</f>
        <v>Michael Thomas Foley</v>
      </c>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row>
    <row r="21" spans="1:35" x14ac:dyDescent="0.2">
      <c r="A21" s="129" t="str">
        <f>[1]!SNLLabel(287,121808,"&lt;&gt;CFO","Options:Curr=Reported currency,Mag=SNLstandard,ConvMethod=SNLrecommended")</f>
        <v>Chief Financial Officer</v>
      </c>
      <c r="B21" s="131">
        <v>121808</v>
      </c>
      <c r="C21" s="130">
        <v>287</v>
      </c>
      <c r="D21" s="129" t="str">
        <f>[1]!SNLLabel(287,121808,"&lt;&gt;CFO","Options:Curr=Reported currency,Mag=SNLstandard,ConvMethod=SNLrecommended")</f>
        <v>Chief Financial Officer</v>
      </c>
      <c r="E21" s="129" t="str">
        <f>[1]!SNLData(C21,$B$1,B21,D21)</f>
        <v>Dalynn Jean Hoch</v>
      </c>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row>
    <row r="22" spans="1:35" x14ac:dyDescent="0.2">
      <c r="A22" s="129" t="str">
        <f>[1]!SNLLabel(287,121808,"&lt;&gt;P","Options:Curr=Reported currency,Mag=SNLstandard,ConvMethod=SNLrecommended")</f>
        <v>President</v>
      </c>
      <c r="B22" s="131">
        <v>121808</v>
      </c>
      <c r="C22" s="130">
        <v>287</v>
      </c>
      <c r="D22" s="129" t="str">
        <f>[1]!SNLLabel(287,121808,"&lt;&gt;P","Options:Curr=Reported currency,Mag=SNLstandard,ConvMethod=SNLrecommended")</f>
        <v>President</v>
      </c>
      <c r="E22" s="129" t="str">
        <f>[1]!SNLData(C22,$B$1,B22,D22)</f>
        <v>Nancy Diane Mueller</v>
      </c>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131"/>
      <c r="AI22" s="131"/>
    </row>
    <row r="23" spans="1:35" x14ac:dyDescent="0.2">
      <c r="A23" s="129" t="str">
        <f>[1]!SNLLabel(287,121808,"&lt;&gt;CHR","Options:Curr=Reported currency,Mag=SNLstandard,ConvMethod=SNLrecommended")</f>
        <v>Chairman of the Board</v>
      </c>
      <c r="B23" s="131">
        <v>121808</v>
      </c>
      <c r="C23" s="130">
        <v>287</v>
      </c>
      <c r="D23" s="129" t="str">
        <f>[1]!SNLLabel(287,121808,"&lt;&gt;CHR","Options:Curr=Reported currency,Mag=SNLstandard,ConvMethod=SNLrecommended")</f>
        <v>Chairman of the Board</v>
      </c>
      <c r="E23" s="129" t="str">
        <f>[1]!SNLData(C23,$B$1,B23,D23)</f>
        <v>Michael Thomas Foley</v>
      </c>
      <c r="F23" s="131"/>
      <c r="G23" s="131"/>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131"/>
      <c r="AI23" s="131"/>
    </row>
    <row r="24" spans="1:35" x14ac:dyDescent="0.2">
      <c r="A24" s="129" t="str">
        <f>[1]!SNLLabel(287,121427,,,"Options:Curr=Reported currency,Mag=SNLstandard,ConvMethod=SNLrecommended")</f>
        <v xml:space="preserve">Web Address </v>
      </c>
      <c r="B24" s="131">
        <v>121427</v>
      </c>
      <c r="C24" s="130">
        <v>287</v>
      </c>
      <c r="E24" s="129" t="str">
        <f>[1]!SNLData(C24,$B$1,B24,D24)</f>
        <v>http://www.zurichna.com</v>
      </c>
    </row>
    <row r="25" spans="1:35" x14ac:dyDescent="0.2">
      <c r="A25" s="129" t="str">
        <f>[1]!SNLLabel(C25,B25)</f>
        <v xml:space="preserve">Fax Number </v>
      </c>
      <c r="B25" s="130">
        <v>124260</v>
      </c>
      <c r="C25" s="130">
        <v>287</v>
      </c>
      <c r="E25" s="15" t="str">
        <f>[1]!SNLData(C25,$B$1,B25)</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0"/>
  <sheetViews>
    <sheetView workbookViewId="0">
      <selection activeCell="B5" sqref="B5"/>
    </sheetView>
  </sheetViews>
  <sheetFormatPr defaultRowHeight="15" x14ac:dyDescent="0.25"/>
  <cols>
    <col min="1" max="1" width="22.125" bestFit="1" customWidth="1"/>
    <col min="2" max="2" width="255.75" bestFit="1" customWidth="1"/>
    <col min="3" max="4" width="255.625" customWidth="1"/>
  </cols>
  <sheetData>
    <row r="1" spans="1:5" x14ac:dyDescent="0.25">
      <c r="A1" t="s">
        <v>56</v>
      </c>
      <c r="B1" t="s">
        <v>57</v>
      </c>
      <c r="C1" t="s">
        <v>58</v>
      </c>
      <c r="D1" t="s">
        <v>59</v>
      </c>
      <c r="E1" t="s">
        <v>60</v>
      </c>
    </row>
    <row r="2" spans="1:5" x14ac:dyDescent="0.25">
      <c r="A2" t="s">
        <v>61</v>
      </c>
      <c r="B2" t="s">
        <v>62</v>
      </c>
      <c r="C2" t="s">
        <v>63</v>
      </c>
      <c r="D2" t="s">
        <v>64</v>
      </c>
      <c r="E2" t="s">
        <v>60</v>
      </c>
    </row>
    <row r="3" spans="1:5" x14ac:dyDescent="0.25">
      <c r="A3" t="s">
        <v>66</v>
      </c>
      <c r="B3" t="e">
        <f>BOND_GENERAL_1</f>
        <v>#NAME?</v>
      </c>
      <c r="C3" t="s">
        <v>67</v>
      </c>
      <c r="D3" t="s">
        <v>68</v>
      </c>
      <c r="E3" t="s">
        <v>60</v>
      </c>
    </row>
    <row r="4" spans="1:5" x14ac:dyDescent="0.25">
      <c r="A4" t="s">
        <v>76</v>
      </c>
      <c r="B4" t="str">
        <f>COMPANY_GENERAL</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c r="C4" t="s">
        <v>77</v>
      </c>
      <c r="D4" t="s">
        <v>78</v>
      </c>
      <c r="E4" t="s">
        <v>60</v>
      </c>
    </row>
    <row r="5" spans="1:5" x14ac:dyDescent="0.25">
      <c r="A5" t="s">
        <v>250</v>
      </c>
      <c r="B5" s="41" t="str">
        <f>COMPANY_GENERAL</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c r="C5" t="s">
        <v>251</v>
      </c>
      <c r="D5" t="s">
        <v>252</v>
      </c>
      <c r="E5" t="s">
        <v>60</v>
      </c>
    </row>
    <row r="9" spans="1:5" x14ac:dyDescent="0.25">
      <c r="B9" t="s">
        <v>323</v>
      </c>
    </row>
    <row r="10" spans="1:5" x14ac:dyDescent="0.25">
      <c r="B10" t="str">
        <f>B9&amp;C5&amp;D5</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onlineServicesEnabled":false,"column":1,"columnFormOrder":30,"criteriaIdName":"","required":false,"dateDefaultType":"","criteriaItemList":[{"keyOptionId":"5643","caption":"Companies","isDefault":true,"maskCriteriaOnly":false,"definition":"","keyProductQueryItem":"249944","comparisonOperation":0,"comparisonValue":"1","minimumVersion":"","maximumVersion":"","formOrder":0,"lowerBound":null,"enabled":true,"mask":"","maskKey":"","keyItemMaskOfField":null,"keyOptionIdReplace":"","relatedOptionIds":[],"onlineServices":[],"childCriteriaItemList":[],"clientContextJson":""},{"keyOptionId":"5644","caption":"Industry Aggregates (SNL)","isDefault":false,"maskCriteriaOnly":false,"definition":"","keyProductQueryItem":"249945","comparisonOperation":0,"comparisonValue":"1","minimumVersion":"","maximumVersion":"","formOrder":0,"lowerBound":null,"enabled":true,"mask":"","maskKey":"","keyItemMaskOfField":null,"keyOptionIdReplace":"","relatedOptionIds":[],"onlineServices":[],"childCriteriaItemList":[],"clientContextJson":""},{"keyOptionId":"5645","caption":"Industry Aggregates (Combined)","isDefault":false,"maskCriteriaOnly":false,"definition":"","keyProductQueryItem":"234675","comparisonOperation":0,"comparisonValue":"0","minimumVersion":"","maximumVersion":"","formOrder":0,"lowerBound":null,"enabled":true,"mask":"","maskKey":"","keyItemMaskOfField":null,"keyOptionIdReplace":"","relatedOptionIds":[],"onlineServices":[],"childCriteriaItemList":[],"clientContextJson":""}]},{"filterGroupId":"5621","filterGroupIdReplace":"","caption":"Entity Name","groupType":2,"optionType":2,"formOrder":200,"minimumVersion":"","maximumVersion":"","onlineServicesEnabled":false,"column":0,"columnFormOrder":20,"criteriaIdName":"","required":false,"dateDefaultType":"","criteriaItemList":[{"keyOptionId":"5622","caption":"","isDefault":false,"maskCriteriaOnly":true,"definition":"","keyProductQueryItem":"124459","comparisonOperation":4,"comparisonValue":"","minimumVersion":"","maximumVersion":"","formOrder":0,"lowerBound":null,"enabled":true,"mask":"","maskKey":"","keyItemMaskOfField":null,"keyOptionIdReplace":"","relatedOptionIds":[],"onlineServices":[],"childCriteriaItemList":[],"clientContextJson":""}]},{"filterGroupId":"5623","filterGroupIdReplace":"","caption":"Group Name","groupType":2,"optionType":2,"formOrder":300,"minimumVersion":"","maximumVersion":"","onlineServicesEnabled":false,"column":0,"columnFormOrder":30,"criteriaIdName":"","required":false,"dateDefaultType":"","criteriaItemList":[{"keyOptionId":"5624","caption":"","isDefault":false,"maskCriteriaOnly":true,"definition":"","keyProductQueryItem":"121429","comparisonOperation":4,"comparisonValue":"","minimumVersion":"","maximumVersion":"","formOrder":0,"lowerBound":null,"enabled":true,"mask":"","maskKey":"","keyItemMaskOfField":null,"keyOptionIdReplace":"","relatedOptionIds":[],"onlineServices":[],"childCriteriaItemList":[],"clientContextJson":""}]},{"filterGroupId":"5625","filterGroupIdReplace":"","caption":"Cross Sector Group Name","groupType":2,"optionType":2,"formOrder":400,"minimumVersion":"","maximumVersion":"","onlineServicesEnabled":false,"column":0,"columnFormOrder":40,"criteriaIdName":"","required":false,"dateDefaultType":"","criteriaItemList":[{"keyOptionId":"5626","caption":"","isDefault":false,"maskCriteriaOnly":true,"definition":"","keyProductQueryItem":"241716","comparisonOperation":4,"comparisonValue":"","minimumVersion":"","maximumVersion":"","formOrder":0,"lowerBound":null,"enabled":true,"mask":"","maskKey":"","keyItemMaskOfField":null,"keyOptionIdReplace":"","relatedOptionIds":[],"onlineServices":[],"childCriteriaItemList":[],"clientContextJson":""}]},{"filterGroupId":"5627","filterGroupIdReplace":"","caption":"NAIC Number","groupType":2,"optionType":2,"formOrder":500,"minimumVersion":"","maximumVersion":"","onlineServicesEnabled":false,"column":0,"columnFormOrder":50,"criteriaIdName":"","required":false,"dateDefaultType":"","criteriaItemList":[{"keyOptionId":"5628","caption":"","isDefault":false,"maskCriteriaOnly":true,"definition":"","keyProductQueryItem":"121800","comparisonOperation":0,"comparisonValue":"","minimumVersion":"","maximumVersion":"","formOrder":0,"lowerBound":null,"enabled":true,"mask":"","maskKey":"","keyItemMaskOfField":null,"keyOptionIdReplace":"","relatedOptionIds":[],"onlineServices":[],"childCriteriaItemList":[],"clientContextJson":""}]},{"filterGroupId":"5629","filterGroupIdReplace":"","caption":"CA File Number","groupType":2,"optionType":2,"formOrder":600,"minimumVersion":"","maximumVersion":"","onlineServicesEnabled":false,"column":0,"columnFormOrder":60,"criteriaIdName":"","required":false,"dateDefaultType":"","criteriaItemList":[{"keyOptionId":"5630","caption":"","isDefault":false,"maskCriteriaOnly":true,"definition":"","keyProductQueryItem":"221539","comparisonOperation":0,"comparisonValue":"","minimumVersion":"","maximumVersion":"","formOrder":0,"lowerBound":null,"enabled":true,"mask":"","maskKey":"","keyItemMaskOfField":null,"keyOptionIdReplace":"","relatedOptionIds":[],"onlineServices":[],"childCriteriaItemList":[],"clientContextJson":""}]},{"filterGroupId":"5646","filterGroupIdReplace":"","caption":"City","groupType":2,"optionType":2,"formOrder":1000,"minimumVersion":"","maximumVersion":"","onlineServicesEnabled":false,"column":1,"columnFormOrder":40,"criteriaIdName":"","required":false,"dateDefaultType":"","criteriaItemList":[{"keyOptionId":"5647","caption":"","isDefault":false,"maskCriteriaOnly":true,"definition":"","keyProductQueryItem":"121417","comparisonOperation":4,"comparisonValue":"","minimumVersion":"","maximumVersion":"","formOrder":0,"lowerBound":null,"enabled":true,"mask":"","maskKey":"","keyItemMaskOfField":null,"keyOptionIdReplace":"","relatedOptionIds":[],"onlineServices":[],"childCriteriaItemList":[],"clientContextJson":""}]},{"filterGroupId":"5648","filterGroupIdReplace":"","caption":"State","groupType":2,"optionType":2,"formOrder":1100,"minimumVersion":"","maximumVersion":"","onlineServicesEnabled":false,"column":1,"columnFormOrder":50,"criteriaIdName":"","required":false,"dateDefaultType":"","criteriaItemList":[{"keyOptionId":"5649","caption":"","isDefault":false,"maskCriteriaOnly":true,"definition":"","keyProductQueryItem":"121418","comparisonOperation":0,"comparisonValue":"","minimumVersion":"","maximumVersion":"","formOrder":0,"lowerBound":null,"enabled":true,"mask":"","maskKey":"","keyItemMaskOfField":null,"keyOptionIdReplace":"","relatedOptionIds":[],"onlineServices":[],"childCriteriaItemList":[],"clientContextJson":""}]},{"filterGroupId":"5650","filterGroupIdReplace":"","caption":"State of Domicile","groupType":2,"optionType":2,"formOrder":1200,"minimumVersion":"","maximumVersion":"","onlineServicesEnabled":false,"column":1,"columnFormOrder":60,"criteriaIdName":"","required":false,"dateDefaultType":"","criteriaItemList":[{"keyOptionId":"5651","caption":"","isDefault":false,"maskCriteriaOnly":true,"definition":"","keyProductQueryItem":"121425","comparisonOperation":0,"comparisonValue":"","minimumVersion":"","maximumVersion":"","formOrder":0,"lowerBound":null,"enabled":true,"mask":"","maskKey":"","keyItemMaskOfField":null,"keyOptionIdReplace":"","relatedOptionIds":[],"onlineServices":[],"childCriteriaItemList":[],"clientContextJson":""}]}],"conversionInformation":{"keyCurrency":null,"measurementStandard":0,"conversionMode":0,"magnitudeOverride":null,"keyForeignLanguage":null,"keyForeignLanguageSecondary":null,"dataLanguage":"en-US","culture":null,"requestCulture":null,"nullValue":"NA","headerCurrency":null},"countsQuery":false,"saveQueryType":0},"conversionInfo":null,"operationType":22,"showProductMagnitude":false,"enableSourceTagging":false,"timeoutOverride":0,"ignoreCache":false}],"saveQueryType":0,"extensionPropertiesJson":nu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3"/>
  <sheetViews>
    <sheetView workbookViewId="0">
      <selection activeCell="B12" sqref="B12"/>
    </sheetView>
  </sheetViews>
  <sheetFormatPr defaultRowHeight="15" x14ac:dyDescent="0.25"/>
  <cols>
    <col min="1" max="1" width="30.875" bestFit="1" customWidth="1"/>
    <col min="2" max="2" width="255.75" bestFit="1" customWidth="1"/>
  </cols>
  <sheetData>
    <row r="1" spans="1:2" x14ac:dyDescent="0.25">
      <c r="B1" s="39" t="s">
        <v>253</v>
      </c>
    </row>
    <row r="2" spans="1:2" x14ac:dyDescent="0.25">
      <c r="A2" t="s">
        <v>255</v>
      </c>
      <c r="B2" s="25">
        <f>AUM_THRESHOLD</f>
        <v>200000000</v>
      </c>
    </row>
    <row r="3" spans="1:2" x14ac:dyDescent="0.25">
      <c r="B3" s="39" t="s">
        <v>263</v>
      </c>
    </row>
    <row r="4" spans="1:2" x14ac:dyDescent="0.25">
      <c r="A4" t="s">
        <v>254</v>
      </c>
      <c r="B4" s="25" t="str">
        <f>IF(Variables!$B$16="PC","true","false")</f>
        <v>false</v>
      </c>
    </row>
    <row r="5" spans="1:2" x14ac:dyDescent="0.25">
      <c r="B5" s="39" t="s">
        <v>256</v>
      </c>
    </row>
    <row r="6" spans="1:2" x14ac:dyDescent="0.25">
      <c r="A6" t="s">
        <v>257</v>
      </c>
      <c r="B6" s="25" t="str">
        <f>IF(Variables!$B$16="LIFE","true","false")</f>
        <v>true</v>
      </c>
    </row>
    <row r="7" spans="1:2" x14ac:dyDescent="0.25">
      <c r="B7" s="39" t="s">
        <v>258</v>
      </c>
    </row>
    <row r="8" spans="1:2" x14ac:dyDescent="0.25">
      <c r="A8" t="s">
        <v>261</v>
      </c>
      <c r="B8" s="41" t="str">
        <f>IF(Variables!$B$16="HEALTH","true","false")</f>
        <v>false</v>
      </c>
    </row>
    <row r="9" spans="1:2" x14ac:dyDescent="0.25">
      <c r="B9" s="40" t="s">
        <v>259</v>
      </c>
    </row>
    <row r="10" spans="1:2" x14ac:dyDescent="0.25">
      <c r="A10" t="s">
        <v>262</v>
      </c>
      <c r="B10" s="41" t="str">
        <f>IF(AND(B4="false",B6="false",B8="false"),"true","false")</f>
        <v>false</v>
      </c>
    </row>
    <row r="11" spans="1:2" x14ac:dyDescent="0.25">
      <c r="B11" s="40" t="s">
        <v>260</v>
      </c>
    </row>
    <row r="12" spans="1:2" x14ac:dyDescent="0.25">
      <c r="B12" s="40" t="str">
        <f>B1&amp;B2&amp;B3&amp;B4&amp;B5&amp;B6&amp;B7&amp;B8&amp;B9&amp;B10&amp;B11</f>
        <v>{"conversionInformation":null,"clientContext":null,"functionRequests":[{"functionId":0,"perspective":"287","keys":null,"fields":null,"query":{"name":"CompanyGeneral","queryLineGroups":[{"groupName":"QueryLines","queryLines":[{"supressSelect":false,"displayText":null,"queryItemId":"00000000-0000-0000-0000-000000000000","field":{"fieldKey":"122915","secondaryKeys":[{"keyJointHint":"sk_33","value":"MRY"}],"displayName":null,"displayUnits":null,"displayType":null,"originalRequestField":null},"connector":0,"operator":6,"beginGroup":false,"endGroup":false,"value":"200000000","invariantValue":null,"valueField":null,"mathOperator":0,"mathValue":null,"sortStyle":null,"sortOrder":null,"functionName":null}]}],"keyPerspective":"287","dateCreated":"2016-11-16T11:19:59.42-05:00","version":null,"queryFilters":[{"filterGroupId":"5616","filterGroupIdReplace":"","caption":"Entity Types","groupType":1,"optionType":0,"formOrder":100,"minimumVersion":"","maximumVersion":"","onlineServicesEnabled":false,"column":0,"columnFormOrder":10,"criteriaIdName":"","required":false,"dateDefaultType":"","criteriaItemList":[{"keyOptionId":"5617","caption":"P&amp;C","isDefault":false,"maskCriteriaOnly":false,"definition":"","keyProductQueryItem":"119977","comparisonOperation":0,"comparisonValue":"1","minimumVersion":"","maximumVersion":"","formOrder":0,"lowerBound":null,"enabled":true,"mask":"1","maskKey":"119977","keyItemMaskOfField":null,"keyOptionIdReplace":"","relatedOptionIds":[],"onlineServices":[],"childCriteriaItemList":[],"clientContextJson":""},{"keyOptionId":"5618","caption":"Life","isDefault":true,"maskCriteriaOnly":false,"definition":"","keyProductQueryItem":"119977","comparisonOperation":0,"comparisonValue":"2","minimumVersion":"","maximumVersion":"","formOrder":0,"lowerBound":null,"enabled":true,"mask":"2","maskKey":"119977","keyItemMaskOfField":null,"keyOptionIdReplace":"","relatedOptionIds":[],"onlineServices":[],"childCriteriaItemList":[],"clientContextJson":""},{"keyOptionId":"5619","caption":"Health","isDefault":false,"maskCriteriaOnly":false,"definition":"","keyProductQueryItem":"119977","comparisonOperation":0,"comparisonValue":"4","minimumVersion":"","maximumVersion":"","formOrder":0,"lowerBound":null,"enabled":true,"mask":"4","maskKey":"119977","keyItemMaskOfField":null,"keyOptionIdReplace":"","relatedOptionIds":[],"onlineServices":[],"childCriteriaItemList":[],"clientContextJson":""},{"keyOptionId":"5620","caption":"P&amp;C/Life/Health","isDefault":false,"maskCriteriaOnly":false,"definition":"","keyProductQueryItem":"119977","comparisonOperation":7,"comparisonValue":"1,2,4,64","minimumVersion":"","maximumVersion":"","formOrder":0,"lowerBound":null,"enabled":true,"mask":"64","maskKey":"119977","keyItemMaskOfField":null,"keyOptionIdReplace":"","relatedOptionIds":[],"onlineServices":[],"childCriteriaItemList":[],"clientContextJson":""}]},{"filterGroupId":"5631","filterGroupIdReplace":"","caption":"Operating Status","groupType":2,"optionType":1,"formOrder":700,"minimumVersion":"","maximumVersion":"","onlineServicesEnabled":false,"column":1,"columnFormOrder":10,"criteriaIdName":"","required":false,"dateDefaultType":"","criteriaItemList":[{"keyOptionId":"5632","caption":"Operating","isDefault":true,"maskCriteriaOnly":false,"definition":"","keyProductQueryItem":"121430","comparisonOperation":0,"comparisonValue":"1","minimumVersion":"","maximumVersion":"","formOrder":0,"lowerBound":null,"enabled":true,"mask":"","maskKey":"","keyItemMaskOfField":null,"keyOptionIdReplace":"","relatedOptionIds":[],"onlineServices":[],"childCriteriaItemList":[],"clientContextJson":""},{"keyOptionId":"5633","caption":"Acquired/Defunct","isDefault":false,"maskCriteriaOnly":false,"definition":"","keyProductQueryItem":"121430","comparisonOperation":0,"comparisonValue":"0","minimumVersion":"","maximumVersion":"","formOrder":0,"lowerBound":null,"enabled":true,"mask":"","maskKey":"","keyItemMaskOfField":null,"keyOptionIdReplace":"","relatedOptionIds":[],"onlineServices":[],"childCriteriaItemList":[],"clientContextJson":""}]},{"filterGroupId":"5634","filterGroupIdReplace":"","caption":"Reporting Level","groupType":2,"optionType":0,"formOrder":800,"minimumVersion":"","maximumVersion":"","onlineServicesEnabled":false,"column":1,"columnFormOrder":20,"criteriaIdName":"","required":false,"dateDefaultType":"","criteriaItemList":[{"keyOptionId":"5635","caption":"SNL Groups/Unaffiliated Cos","isDefault":true,"maskCriteriaOnly":false,"definition":"","keyProductQueryItem":"121431","comparisonOperation":0,"comparisonValue":"1","minimumVersion":"","maximumVersion":"","formOrder":0,"lowerBound":null,"enabled":true,"mask":"","maskKey":"","keyItemMaskOfField":null,"keyOptionIdReplace":"","relatedOptionIds":[],"onlineServices":[],"childCriteriaItemList":[],"clientContextJson":""},{"keyOptionId":"5636","caption":"SNL Groups/Subgrps/Other Cos","isDefault":false,"maskCriteriaOnly":false,"definition":"","keyProductQueryItem":"221252","comparisonOperation":0,"comparisonValue":"1","minimumVersion":"","maximumVersion":"","formOrder":0,"lowerBound":null,"enabled":true,"mask":"","maskKey":"","keyItemMaskOfField":null,"keyOptionIdReplace":"","relatedOptionIds":[],"onlineServices":[],"childCriteriaItemList":[],"clientContextJson":""},{"keyOptionId":"5637","caption":"Individual Cos (Affil/Unaffil)","isDefault":false,"maskCriteriaOnly":false,"definition":"","keyProductQueryItem":"122274","comparisonOperation":7,"comparisonValue":"0,2,4","minimumVersion":"","maximumVersion":"","formOrder":0,"lowerBound":null,"enabled":true,"mask":"","maskKey":"","keyItemMaskOfField":null,"keyOptionIdReplace":"","relatedOptionIds":[],"onlineServices":[],"childCriteriaItemList":[],"clientContextJson":""},{"keyOptionId":"5638","caption":"SNL CrossSector/Grps/Unaff Cos","isDefault":false,"maskCriteriaOnly":false,"definition":"","keyProductQueryItem":"241714","comparisonOperation":0,"comparisonValue":"1","minimumVersion":"","maximumVersion":"","formOrder":0,"lowerBound":null,"enabled":true,"mask":"","maskKey":"","keyItemMaskOfField":null,"keyOptionIdReplace":"","relatedOptionIds":[],"onlineServices":[],"childCriteriaItemList":[],"clientContextJson":""},{"keyOptionId":"5639","caption":"All Levels","isDefault":false,"maskCriteriaOnly":false,"definition":"","keyProductQueryItem":"122274","comparisonOperation":7,"comparisonValue":"0,1,2,3,4,5,6,7,8","minimumVersion":"","maximumVersion":"","formOrder":0,"lowerBound":null,"enabled":true,"mask":"","maskKey":"","keyItemMaskOfField":null,"keyOptionIdReplace":"","relatedOptionIds":[],"onlineServices":[],"childCriteriaItemList":[],"clientContextJson":""},{"keyOptionId":"5640","caption":"NAIC Combined/Unaff Cos (P&amp;C)","isDefault":false,"maskCriteriaOnly":false,"definition":"","keyProductQueryItem":"121965","comparisonOperation":0,"comparisonValue":"1","minimumVersion":"","maximumVersion":"","formOrder":0,"lowerBound":null,"enabled":true,"mask":"","maskKey":"","keyItemMaskOfField":null,"keyOptionIdReplace":"","relatedOptionIds":[],"onlineServices":[],"childCriteriaItemList":[],"clientContextJson":""},{"keyOptionId":"5641","caption":"Sep Acct - All Levels (Life)","isDefault":false,"maskCriteriaOnly":false,"definition":"","keyProductQueryItem":"122274","comparisonOperation":7,"comparisonValue":"1,2,3,7,8","minimumVersion":"","maximumVersion":"","formOrder":0,"lowerBound":null,"enabled":true,"mask":"","maskKey":"","keyItemMaskOfField":null,"keyOptionIdReplace":"","relatedOptionIds":[],"onlineServices":[],"childCriteriaItemList":[],"clientContextJson":""}]},{"filterGroupId":"5642","filterGroupIdReplace":"","caption":"Entity Types","groupType":2,"optionType":1,"formOrder":900,"minimumVersion":"","maximumVersion"</v>
      </c>
    </row>
    <row r="13" spans="1:2" x14ac:dyDescent="0.25">
      <c r="B13" s="40"/>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28"/>
  <sheetViews>
    <sheetView workbookViewId="0"/>
  </sheetViews>
  <sheetFormatPr defaultRowHeight="15" x14ac:dyDescent="0.25"/>
  <cols>
    <col min="1" max="1" width="45.625" bestFit="1" customWidth="1"/>
    <col min="2" max="2" width="10.625" bestFit="1" customWidth="1"/>
    <col min="3" max="3" width="15.125" bestFit="1" customWidth="1"/>
    <col min="4" max="4" width="21.625" bestFit="1" customWidth="1"/>
    <col min="11" max="11" width="12" bestFit="1" customWidth="1"/>
  </cols>
  <sheetData>
    <row r="1" spans="1:4" x14ac:dyDescent="0.25">
      <c r="A1" t="str">
        <f>[1]!SNLQuery("CompanyGeneral",C4:D4)</f>
        <v>SNLQuery</v>
      </c>
    </row>
    <row r="3" spans="1:4" x14ac:dyDescent="0.25">
      <c r="A3" t="s">
        <v>74</v>
      </c>
      <c r="B3" t="s">
        <v>75</v>
      </c>
      <c r="C3" s="20" t="str">
        <f>[1]!SNLLabel(287,119356,,,"Options:Curr=Reported currency,Mag=SNLstandard,ConvMethod=SNLrecommended")</f>
        <v xml:space="preserve">NAIC Filer Type </v>
      </c>
      <c r="D3" s="20" t="str">
        <f>[1]!SNLLabel(287,113963,"MRY",,"Options:Curr=Reported currency,Mag=SNLstandard,ConvMethod=SNLrecommended")</f>
        <v>Net Total Assets ($000)</v>
      </c>
    </row>
    <row r="4" spans="1:4" x14ac:dyDescent="0.25">
      <c r="C4" s="21">
        <v>119356</v>
      </c>
      <c r="D4" s="21">
        <v>113963</v>
      </c>
    </row>
    <row r="5" spans="1:4" x14ac:dyDescent="0.25">
      <c r="C5" s="21"/>
      <c r="D5" s="21" t="s">
        <v>50</v>
      </c>
    </row>
    <row r="6" spans="1:4" x14ac:dyDescent="0.25">
      <c r="C6" s="21"/>
      <c r="D6" s="21"/>
    </row>
    <row r="7" spans="1:4" x14ac:dyDescent="0.25">
      <c r="A7" s="19" t="s">
        <v>138</v>
      </c>
      <c r="B7" s="19" t="s">
        <v>139</v>
      </c>
      <c r="C7" s="19" t="s">
        <v>33</v>
      </c>
      <c r="D7" s="18">
        <v>207849809.46000001</v>
      </c>
    </row>
    <row r="8" spans="1:4" x14ac:dyDescent="0.25">
      <c r="A8" s="19" t="s">
        <v>34</v>
      </c>
      <c r="B8" s="19" t="s">
        <v>35</v>
      </c>
      <c r="C8" s="19" t="s">
        <v>33</v>
      </c>
      <c r="D8" s="18">
        <v>270609176.685</v>
      </c>
    </row>
    <row r="9" spans="1:4" x14ac:dyDescent="0.25">
      <c r="A9" s="19" t="s">
        <v>202</v>
      </c>
      <c r="B9" s="19" t="s">
        <v>203</v>
      </c>
      <c r="C9" s="19" t="s">
        <v>33</v>
      </c>
      <c r="D9" s="18">
        <v>228165039.83700001</v>
      </c>
    </row>
    <row r="10" spans="1:4" x14ac:dyDescent="0.25">
      <c r="A10" s="19" t="s">
        <v>136</v>
      </c>
      <c r="B10" s="19" t="s">
        <v>137</v>
      </c>
      <c r="C10" s="19" t="s">
        <v>33</v>
      </c>
      <c r="D10" s="18">
        <v>253368889.53</v>
      </c>
    </row>
    <row r="11" spans="1:4" x14ac:dyDescent="0.25">
      <c r="A11" s="19" t="s">
        <v>36</v>
      </c>
      <c r="B11" s="19" t="s">
        <v>37</v>
      </c>
      <c r="C11" s="19" t="s">
        <v>33</v>
      </c>
      <c r="D11" s="18">
        <v>222234642.22100002</v>
      </c>
    </row>
    <row r="12" spans="1:4" x14ac:dyDescent="0.25">
      <c r="A12" s="19" t="s">
        <v>38</v>
      </c>
      <c r="B12" s="19" t="s">
        <v>39</v>
      </c>
      <c r="C12" s="19" t="s">
        <v>33</v>
      </c>
      <c r="D12" s="18">
        <v>607595809.14300001</v>
      </c>
    </row>
    <row r="13" spans="1:4" x14ac:dyDescent="0.25">
      <c r="A13" s="19" t="s">
        <v>40</v>
      </c>
      <c r="B13" s="19" t="s">
        <v>65</v>
      </c>
      <c r="C13" s="19" t="s">
        <v>33</v>
      </c>
      <c r="D13" s="18">
        <v>287757083.18800002</v>
      </c>
    </row>
    <row r="14" spans="1:4" x14ac:dyDescent="0.25">
      <c r="A14" s="19" t="s">
        <v>41</v>
      </c>
      <c r="B14" s="19" t="s">
        <v>42</v>
      </c>
      <c r="C14" s="19" t="s">
        <v>33</v>
      </c>
      <c r="D14" s="18">
        <v>238630567.16100001</v>
      </c>
    </row>
    <row r="15" spans="1:4" x14ac:dyDescent="0.25">
      <c r="A15" s="19" t="s">
        <v>43</v>
      </c>
      <c r="B15" s="19" t="s">
        <v>44</v>
      </c>
      <c r="C15" s="19" t="s">
        <v>33</v>
      </c>
      <c r="D15" s="18">
        <v>541273977.44799995</v>
      </c>
    </row>
    <row r="16" spans="1:4" x14ac:dyDescent="0.25">
      <c r="A16" s="19" t="s">
        <v>46</v>
      </c>
      <c r="B16" s="19" t="s">
        <v>47</v>
      </c>
      <c r="C16" s="19" t="s">
        <v>33</v>
      </c>
      <c r="D16" s="18">
        <v>280501343.861</v>
      </c>
    </row>
    <row r="17" spans="4:4" x14ac:dyDescent="0.25">
      <c r="D17" s="18"/>
    </row>
    <row r="18" spans="4:4" x14ac:dyDescent="0.25">
      <c r="D18" s="18"/>
    </row>
    <row r="19" spans="4:4" x14ac:dyDescent="0.25">
      <c r="D19" s="18"/>
    </row>
    <row r="20" spans="4:4" x14ac:dyDescent="0.25">
      <c r="D20" s="18"/>
    </row>
    <row r="21" spans="4:4" x14ac:dyDescent="0.25">
      <c r="D21" s="18"/>
    </row>
    <row r="22" spans="4:4" x14ac:dyDescent="0.25">
      <c r="D22" s="18"/>
    </row>
    <row r="23" spans="4:4" x14ac:dyDescent="0.25">
      <c r="D23" s="18"/>
    </row>
    <row r="24" spans="4:4" x14ac:dyDescent="0.25">
      <c r="D24" s="18"/>
    </row>
    <row r="25" spans="4:4" x14ac:dyDescent="0.25">
      <c r="D25" s="18"/>
    </row>
    <row r="26" spans="4:4" x14ac:dyDescent="0.25">
      <c r="D26" s="18"/>
    </row>
    <row r="27" spans="4:4" x14ac:dyDescent="0.25">
      <c r="D27" s="18"/>
    </row>
    <row r="28" spans="4:4" x14ac:dyDescent="0.25">
      <c r="D28" s="18"/>
    </row>
    <row r="29" spans="4:4" x14ac:dyDescent="0.25">
      <c r="D29" s="18"/>
    </row>
    <row r="30" spans="4:4" x14ac:dyDescent="0.25">
      <c r="D30" s="18"/>
    </row>
    <row r="31" spans="4:4" x14ac:dyDescent="0.25">
      <c r="D31" s="18"/>
    </row>
    <row r="32" spans="4:4" x14ac:dyDescent="0.25">
      <c r="D32" s="18"/>
    </row>
    <row r="33" spans="4:4" x14ac:dyDescent="0.25">
      <c r="D33" s="18"/>
    </row>
    <row r="34" spans="4:4" x14ac:dyDescent="0.25">
      <c r="D34" s="18"/>
    </row>
    <row r="35" spans="4:4" x14ac:dyDescent="0.25">
      <c r="D35" s="18"/>
    </row>
    <row r="36" spans="4:4" x14ac:dyDescent="0.25">
      <c r="D36" s="18"/>
    </row>
    <row r="37" spans="4:4" x14ac:dyDescent="0.25">
      <c r="D37" s="18"/>
    </row>
    <row r="38" spans="4:4" x14ac:dyDescent="0.25">
      <c r="D38" s="18"/>
    </row>
    <row r="39" spans="4:4" x14ac:dyDescent="0.25">
      <c r="D39" s="18"/>
    </row>
    <row r="40" spans="4:4" x14ac:dyDescent="0.25">
      <c r="D40" s="18"/>
    </row>
    <row r="41" spans="4:4" x14ac:dyDescent="0.25">
      <c r="D41" s="18"/>
    </row>
    <row r="42" spans="4:4" x14ac:dyDescent="0.25">
      <c r="D42" s="18"/>
    </row>
    <row r="43" spans="4:4" x14ac:dyDescent="0.25">
      <c r="D43" s="18"/>
    </row>
    <row r="44" spans="4:4" x14ac:dyDescent="0.25">
      <c r="D44" s="18"/>
    </row>
    <row r="45" spans="4:4" x14ac:dyDescent="0.25">
      <c r="D45" s="18"/>
    </row>
    <row r="46" spans="4:4" x14ac:dyDescent="0.25">
      <c r="D46" s="18"/>
    </row>
    <row r="47" spans="4:4" x14ac:dyDescent="0.25">
      <c r="D47" s="18"/>
    </row>
    <row r="48" spans="4:4" x14ac:dyDescent="0.25">
      <c r="D48" s="18"/>
    </row>
    <row r="49" spans="4:4" x14ac:dyDescent="0.25">
      <c r="D49" s="18"/>
    </row>
    <row r="50" spans="4:4" x14ac:dyDescent="0.25">
      <c r="D50" s="18"/>
    </row>
    <row r="51" spans="4:4" x14ac:dyDescent="0.25">
      <c r="D51" s="18"/>
    </row>
    <row r="52" spans="4:4" x14ac:dyDescent="0.25">
      <c r="D52" s="18"/>
    </row>
    <row r="53" spans="4:4" x14ac:dyDescent="0.25">
      <c r="D53" s="18"/>
    </row>
    <row r="54" spans="4:4" x14ac:dyDescent="0.25">
      <c r="D54" s="18"/>
    </row>
    <row r="55" spans="4:4" x14ac:dyDescent="0.25">
      <c r="D55" s="18"/>
    </row>
    <row r="56" spans="4:4" x14ac:dyDescent="0.25">
      <c r="D56" s="18"/>
    </row>
    <row r="57" spans="4:4" x14ac:dyDescent="0.25">
      <c r="D57" s="18"/>
    </row>
    <row r="58" spans="4:4" x14ac:dyDescent="0.25">
      <c r="D58" s="18"/>
    </row>
    <row r="59" spans="4:4" x14ac:dyDescent="0.25">
      <c r="D59" s="18"/>
    </row>
    <row r="60" spans="4:4" x14ac:dyDescent="0.25">
      <c r="D60" s="18"/>
    </row>
    <row r="61" spans="4:4" x14ac:dyDescent="0.25">
      <c r="D61" s="18"/>
    </row>
    <row r="62" spans="4:4" x14ac:dyDescent="0.25">
      <c r="D62" s="18"/>
    </row>
    <row r="63" spans="4:4" x14ac:dyDescent="0.25">
      <c r="D63" s="18"/>
    </row>
    <row r="64" spans="4:4" x14ac:dyDescent="0.25">
      <c r="D64" s="18"/>
    </row>
    <row r="65" spans="4:4" x14ac:dyDescent="0.25">
      <c r="D65" s="18"/>
    </row>
    <row r="66" spans="4:4" x14ac:dyDescent="0.25">
      <c r="D66" s="18"/>
    </row>
    <row r="67" spans="4:4" x14ac:dyDescent="0.25">
      <c r="D67" s="18"/>
    </row>
    <row r="68" spans="4:4" x14ac:dyDescent="0.25">
      <c r="D68" s="18"/>
    </row>
    <row r="69" spans="4:4" x14ac:dyDescent="0.25">
      <c r="D69" s="18"/>
    </row>
    <row r="70" spans="4:4" x14ac:dyDescent="0.25">
      <c r="D70" s="18"/>
    </row>
    <row r="71" spans="4:4" x14ac:dyDescent="0.25">
      <c r="D71" s="18"/>
    </row>
    <row r="72" spans="4:4" x14ac:dyDescent="0.25">
      <c r="D72" s="18"/>
    </row>
    <row r="73" spans="4:4" x14ac:dyDescent="0.25">
      <c r="D73" s="18"/>
    </row>
    <row r="74" spans="4:4" x14ac:dyDescent="0.25">
      <c r="D74" s="18"/>
    </row>
    <row r="75" spans="4:4" x14ac:dyDescent="0.25">
      <c r="D75" s="18"/>
    </row>
    <row r="76" spans="4:4" x14ac:dyDescent="0.25">
      <c r="D76" s="18"/>
    </row>
    <row r="77" spans="4:4" x14ac:dyDescent="0.25">
      <c r="D77" s="18"/>
    </row>
    <row r="78" spans="4:4" x14ac:dyDescent="0.25">
      <c r="D78" s="18"/>
    </row>
    <row r="79" spans="4:4" x14ac:dyDescent="0.25">
      <c r="D79" s="18"/>
    </row>
    <row r="80" spans="4:4" x14ac:dyDescent="0.25">
      <c r="D80" s="18"/>
    </row>
    <row r="81" spans="4:4" x14ac:dyDescent="0.25">
      <c r="D81" s="18"/>
    </row>
    <row r="82" spans="4:4" x14ac:dyDescent="0.25">
      <c r="D82" s="18"/>
    </row>
    <row r="83" spans="4:4" x14ac:dyDescent="0.25">
      <c r="D83" s="18"/>
    </row>
    <row r="84" spans="4:4" x14ac:dyDescent="0.25">
      <c r="D84" s="18"/>
    </row>
    <row r="85" spans="4:4" x14ac:dyDescent="0.25">
      <c r="D85" s="18"/>
    </row>
    <row r="86" spans="4:4" x14ac:dyDescent="0.25">
      <c r="D86" s="18"/>
    </row>
    <row r="87" spans="4:4" x14ac:dyDescent="0.25">
      <c r="D87" s="18"/>
    </row>
    <row r="88" spans="4:4" x14ac:dyDescent="0.25">
      <c r="D88" s="18"/>
    </row>
    <row r="89" spans="4:4" x14ac:dyDescent="0.25">
      <c r="D89" s="18"/>
    </row>
    <row r="90" spans="4:4" x14ac:dyDescent="0.25">
      <c r="D90" s="18"/>
    </row>
    <row r="91" spans="4:4" x14ac:dyDescent="0.25">
      <c r="D91" s="18"/>
    </row>
    <row r="92" spans="4:4" x14ac:dyDescent="0.25">
      <c r="D92" s="18"/>
    </row>
    <row r="93" spans="4:4" x14ac:dyDescent="0.25">
      <c r="D93" s="18"/>
    </row>
    <row r="94" spans="4:4" x14ac:dyDescent="0.25">
      <c r="D94" s="18"/>
    </row>
    <row r="95" spans="4:4" x14ac:dyDescent="0.25">
      <c r="D95" s="18"/>
    </row>
    <row r="96" spans="4:4" x14ac:dyDescent="0.25">
      <c r="D96" s="18"/>
    </row>
    <row r="97" spans="4:4" x14ac:dyDescent="0.25">
      <c r="D97" s="18"/>
    </row>
    <row r="98" spans="4:4" x14ac:dyDescent="0.25">
      <c r="D98" s="18"/>
    </row>
    <row r="99" spans="4:4" x14ac:dyDescent="0.25">
      <c r="D99" s="18"/>
    </row>
    <row r="100" spans="4:4" x14ac:dyDescent="0.25">
      <c r="D100" s="18"/>
    </row>
    <row r="101" spans="4:4" x14ac:dyDescent="0.25">
      <c r="D101" s="18"/>
    </row>
    <row r="102" spans="4:4" x14ac:dyDescent="0.25">
      <c r="D102" s="18"/>
    </row>
    <row r="103" spans="4:4" x14ac:dyDescent="0.25">
      <c r="D103" s="18"/>
    </row>
    <row r="104" spans="4:4" x14ac:dyDescent="0.25">
      <c r="D104" s="18"/>
    </row>
    <row r="105" spans="4:4" x14ac:dyDescent="0.25">
      <c r="D105" s="18"/>
    </row>
    <row r="106" spans="4:4" x14ac:dyDescent="0.25">
      <c r="D106" s="18"/>
    </row>
    <row r="107" spans="4:4" x14ac:dyDescent="0.25">
      <c r="D107" s="18"/>
    </row>
    <row r="108" spans="4:4" x14ac:dyDescent="0.25">
      <c r="D108" s="18"/>
    </row>
    <row r="109" spans="4:4" x14ac:dyDescent="0.25">
      <c r="D109" s="18"/>
    </row>
    <row r="110" spans="4:4" x14ac:dyDescent="0.25">
      <c r="D110" s="18"/>
    </row>
    <row r="111" spans="4:4" x14ac:dyDescent="0.25">
      <c r="D111" s="18"/>
    </row>
    <row r="112" spans="4:4" x14ac:dyDescent="0.25">
      <c r="D112" s="18"/>
    </row>
    <row r="113" spans="4:4" x14ac:dyDescent="0.25">
      <c r="D113" s="18"/>
    </row>
    <row r="114" spans="4:4" x14ac:dyDescent="0.25">
      <c r="D114" s="18"/>
    </row>
    <row r="115" spans="4:4" x14ac:dyDescent="0.25">
      <c r="D115" s="18"/>
    </row>
    <row r="116" spans="4:4" x14ac:dyDescent="0.25">
      <c r="D116" s="18"/>
    </row>
    <row r="117" spans="4:4" x14ac:dyDescent="0.25">
      <c r="D117" s="18"/>
    </row>
    <row r="118" spans="4:4" x14ac:dyDescent="0.25">
      <c r="D118" s="18"/>
    </row>
    <row r="119" spans="4:4" x14ac:dyDescent="0.25">
      <c r="D119" s="18"/>
    </row>
    <row r="120" spans="4:4" x14ac:dyDescent="0.25">
      <c r="D120" s="18"/>
    </row>
    <row r="121" spans="4:4" x14ac:dyDescent="0.25">
      <c r="D121" s="18"/>
    </row>
    <row r="122" spans="4:4" x14ac:dyDescent="0.25">
      <c r="D122" s="18"/>
    </row>
    <row r="123" spans="4:4" x14ac:dyDescent="0.25">
      <c r="D123" s="18"/>
    </row>
    <row r="124" spans="4:4" x14ac:dyDescent="0.25">
      <c r="D124" s="18"/>
    </row>
    <row r="125" spans="4:4" x14ac:dyDescent="0.25">
      <c r="D125" s="18"/>
    </row>
    <row r="126" spans="4:4" x14ac:dyDescent="0.25">
      <c r="D126" s="18"/>
    </row>
    <row r="127" spans="4:4" x14ac:dyDescent="0.25">
      <c r="D127" s="18"/>
    </row>
    <row r="128" spans="4:4" x14ac:dyDescent="0.25">
      <c r="D128" s="18"/>
    </row>
    <row r="129" spans="4:4" x14ac:dyDescent="0.25">
      <c r="D129" s="18"/>
    </row>
    <row r="130" spans="4:4" x14ac:dyDescent="0.25">
      <c r="D130" s="18"/>
    </row>
    <row r="131" spans="4:4" x14ac:dyDescent="0.25">
      <c r="D131" s="18"/>
    </row>
    <row r="132" spans="4:4" x14ac:dyDescent="0.25">
      <c r="D132" s="18"/>
    </row>
    <row r="133" spans="4:4" x14ac:dyDescent="0.25">
      <c r="D133" s="18"/>
    </row>
    <row r="134" spans="4:4" x14ac:dyDescent="0.25">
      <c r="D134" s="18"/>
    </row>
    <row r="135" spans="4:4" x14ac:dyDescent="0.25">
      <c r="D135" s="18"/>
    </row>
    <row r="136" spans="4:4" x14ac:dyDescent="0.25">
      <c r="D136" s="18"/>
    </row>
    <row r="137" spans="4:4" x14ac:dyDescent="0.25">
      <c r="D137" s="18"/>
    </row>
    <row r="138" spans="4:4" x14ac:dyDescent="0.25">
      <c r="D138" s="18"/>
    </row>
    <row r="139" spans="4:4" x14ac:dyDescent="0.25">
      <c r="D139" s="18"/>
    </row>
    <row r="140" spans="4:4" x14ac:dyDescent="0.25">
      <c r="D140" s="18"/>
    </row>
    <row r="141" spans="4:4" x14ac:dyDescent="0.25">
      <c r="D141" s="18"/>
    </row>
    <row r="142" spans="4:4" x14ac:dyDescent="0.25">
      <c r="D142" s="18"/>
    </row>
    <row r="143" spans="4:4" x14ac:dyDescent="0.25">
      <c r="D143" s="18"/>
    </row>
    <row r="144" spans="4:4" x14ac:dyDescent="0.25">
      <c r="D144" s="18"/>
    </row>
    <row r="145" spans="4:4" x14ac:dyDescent="0.25">
      <c r="D145" s="18"/>
    </row>
    <row r="146" spans="4:4" x14ac:dyDescent="0.25">
      <c r="D146" s="18"/>
    </row>
    <row r="147" spans="4:4" x14ac:dyDescent="0.25">
      <c r="D147" s="18"/>
    </row>
    <row r="148" spans="4:4" x14ac:dyDescent="0.25">
      <c r="D148" s="18"/>
    </row>
    <row r="149" spans="4:4" x14ac:dyDescent="0.25">
      <c r="D149" s="18"/>
    </row>
    <row r="150" spans="4:4" x14ac:dyDescent="0.25">
      <c r="D150" s="18"/>
    </row>
    <row r="151" spans="4:4" x14ac:dyDescent="0.25">
      <c r="D151" s="18"/>
    </row>
    <row r="152" spans="4:4" x14ac:dyDescent="0.25">
      <c r="D152" s="18"/>
    </row>
    <row r="153" spans="4:4" x14ac:dyDescent="0.25">
      <c r="D153" s="18"/>
    </row>
    <row r="154" spans="4:4" x14ac:dyDescent="0.25">
      <c r="D154" s="18"/>
    </row>
    <row r="155" spans="4:4" x14ac:dyDescent="0.25">
      <c r="D155" s="18"/>
    </row>
    <row r="156" spans="4:4" x14ac:dyDescent="0.25">
      <c r="D156" s="18"/>
    </row>
    <row r="157" spans="4:4" x14ac:dyDescent="0.25">
      <c r="D157" s="18"/>
    </row>
    <row r="158" spans="4:4" x14ac:dyDescent="0.25">
      <c r="D158" s="18"/>
    </row>
    <row r="159" spans="4:4" x14ac:dyDescent="0.25">
      <c r="D159" s="18"/>
    </row>
    <row r="160" spans="4:4" x14ac:dyDescent="0.25">
      <c r="D160" s="18"/>
    </row>
    <row r="161" spans="4:4" x14ac:dyDescent="0.25">
      <c r="D161" s="18"/>
    </row>
    <row r="162" spans="4:4" x14ac:dyDescent="0.25">
      <c r="D162" s="18"/>
    </row>
    <row r="163" spans="4:4" x14ac:dyDescent="0.25">
      <c r="D163" s="18"/>
    </row>
    <row r="164" spans="4:4" x14ac:dyDescent="0.25">
      <c r="D164" s="18"/>
    </row>
    <row r="165" spans="4:4" x14ac:dyDescent="0.25">
      <c r="D165" s="18"/>
    </row>
    <row r="166" spans="4:4" x14ac:dyDescent="0.25">
      <c r="D166" s="18"/>
    </row>
    <row r="167" spans="4:4" x14ac:dyDescent="0.25">
      <c r="D167" s="18"/>
    </row>
    <row r="168" spans="4:4" x14ac:dyDescent="0.25">
      <c r="D168" s="18"/>
    </row>
    <row r="169" spans="4:4" x14ac:dyDescent="0.25">
      <c r="D169" s="18"/>
    </row>
    <row r="170" spans="4:4" x14ac:dyDescent="0.25">
      <c r="D170" s="18"/>
    </row>
    <row r="171" spans="4:4" x14ac:dyDescent="0.25">
      <c r="D171" s="18"/>
    </row>
    <row r="172" spans="4:4" x14ac:dyDescent="0.25">
      <c r="D172" s="18"/>
    </row>
    <row r="173" spans="4:4" x14ac:dyDescent="0.25">
      <c r="D173" s="18"/>
    </row>
    <row r="174" spans="4:4" x14ac:dyDescent="0.25">
      <c r="D174" s="18"/>
    </row>
    <row r="175" spans="4:4" x14ac:dyDescent="0.25">
      <c r="D175" s="18"/>
    </row>
    <row r="176" spans="4:4" x14ac:dyDescent="0.25">
      <c r="D176" s="18"/>
    </row>
    <row r="177" spans="4:4" x14ac:dyDescent="0.25">
      <c r="D177" s="18"/>
    </row>
    <row r="178" spans="4:4" x14ac:dyDescent="0.25">
      <c r="D178" s="18"/>
    </row>
    <row r="179" spans="4:4" x14ac:dyDescent="0.25">
      <c r="D179" s="18"/>
    </row>
    <row r="180" spans="4:4" x14ac:dyDescent="0.25">
      <c r="D180" s="18"/>
    </row>
    <row r="181" spans="4:4" x14ac:dyDescent="0.25">
      <c r="D181" s="18"/>
    </row>
    <row r="182" spans="4:4" x14ac:dyDescent="0.25">
      <c r="D182" s="18"/>
    </row>
    <row r="183" spans="4:4" x14ac:dyDescent="0.25">
      <c r="D183" s="18"/>
    </row>
    <row r="184" spans="4:4" x14ac:dyDescent="0.25">
      <c r="D184" s="18"/>
    </row>
    <row r="185" spans="4:4" x14ac:dyDescent="0.25">
      <c r="D185" s="18"/>
    </row>
    <row r="186" spans="4:4" x14ac:dyDescent="0.25">
      <c r="D186" s="18"/>
    </row>
    <row r="187" spans="4:4" x14ac:dyDescent="0.25">
      <c r="D187" s="18"/>
    </row>
    <row r="188" spans="4:4" x14ac:dyDescent="0.25">
      <c r="D188" s="18"/>
    </row>
    <row r="189" spans="4:4" x14ac:dyDescent="0.25">
      <c r="D189" s="18"/>
    </row>
    <row r="190" spans="4:4" x14ac:dyDescent="0.25">
      <c r="D190" s="18"/>
    </row>
    <row r="191" spans="4:4" x14ac:dyDescent="0.25">
      <c r="D191" s="18"/>
    </row>
    <row r="192" spans="4:4" x14ac:dyDescent="0.25">
      <c r="D192" s="18"/>
    </row>
    <row r="193" spans="4:4" x14ac:dyDescent="0.25">
      <c r="D193" s="18"/>
    </row>
    <row r="194" spans="4:4" x14ac:dyDescent="0.25">
      <c r="D194" s="18"/>
    </row>
    <row r="195" spans="4:4" x14ac:dyDescent="0.25">
      <c r="D195" s="18"/>
    </row>
    <row r="196" spans="4:4" x14ac:dyDescent="0.25">
      <c r="D196" s="18"/>
    </row>
    <row r="197" spans="4:4" x14ac:dyDescent="0.25">
      <c r="D197" s="18"/>
    </row>
    <row r="198" spans="4:4" x14ac:dyDescent="0.25">
      <c r="D198" s="18"/>
    </row>
    <row r="199" spans="4:4" x14ac:dyDescent="0.25">
      <c r="D199" s="18"/>
    </row>
    <row r="200" spans="4:4" x14ac:dyDescent="0.25">
      <c r="D200" s="18"/>
    </row>
    <row r="201" spans="4:4" x14ac:dyDescent="0.25">
      <c r="D201" s="18"/>
    </row>
    <row r="202" spans="4:4" x14ac:dyDescent="0.25">
      <c r="D202" s="18"/>
    </row>
    <row r="203" spans="4:4" x14ac:dyDescent="0.25">
      <c r="D203" s="18"/>
    </row>
    <row r="204" spans="4:4" x14ac:dyDescent="0.25">
      <c r="D204" s="18"/>
    </row>
    <row r="205" spans="4:4" x14ac:dyDescent="0.25">
      <c r="D205" s="18"/>
    </row>
    <row r="206" spans="4:4" x14ac:dyDescent="0.25">
      <c r="D206" s="18"/>
    </row>
    <row r="207" spans="4:4" x14ac:dyDescent="0.25">
      <c r="D207" s="18"/>
    </row>
    <row r="208" spans="4:4" x14ac:dyDescent="0.25">
      <c r="D208" s="18"/>
    </row>
    <row r="209" spans="4:4" x14ac:dyDescent="0.25">
      <c r="D209" s="18"/>
    </row>
    <row r="210" spans="4:4" x14ac:dyDescent="0.25">
      <c r="D210" s="18"/>
    </row>
    <row r="211" spans="4:4" x14ac:dyDescent="0.25">
      <c r="D211" s="18"/>
    </row>
    <row r="212" spans="4:4" x14ac:dyDescent="0.25">
      <c r="D212" s="18"/>
    </row>
    <row r="213" spans="4:4" x14ac:dyDescent="0.25">
      <c r="D213" s="18"/>
    </row>
    <row r="214" spans="4:4" x14ac:dyDescent="0.25">
      <c r="D214" s="18"/>
    </row>
    <row r="215" spans="4:4" x14ac:dyDescent="0.25">
      <c r="D215" s="18"/>
    </row>
    <row r="216" spans="4:4" x14ac:dyDescent="0.25">
      <c r="D216" s="18"/>
    </row>
    <row r="217" spans="4:4" x14ac:dyDescent="0.25">
      <c r="D217" s="18"/>
    </row>
    <row r="218" spans="4:4" x14ac:dyDescent="0.25">
      <c r="D218" s="18"/>
    </row>
    <row r="219" spans="4:4" x14ac:dyDescent="0.25">
      <c r="D219" s="18"/>
    </row>
    <row r="220" spans="4:4" x14ac:dyDescent="0.25">
      <c r="D220" s="18"/>
    </row>
    <row r="221" spans="4:4" x14ac:dyDescent="0.25">
      <c r="D221" s="18"/>
    </row>
    <row r="222" spans="4:4" x14ac:dyDescent="0.25">
      <c r="D222" s="18"/>
    </row>
    <row r="223" spans="4:4" x14ac:dyDescent="0.25">
      <c r="D223" s="18"/>
    </row>
    <row r="224" spans="4:4" x14ac:dyDescent="0.25">
      <c r="D224" s="18"/>
    </row>
    <row r="225" spans="4:4" x14ac:dyDescent="0.25">
      <c r="D225" s="18"/>
    </row>
    <row r="226" spans="4:4" x14ac:dyDescent="0.25">
      <c r="D226" s="18"/>
    </row>
    <row r="227" spans="4:4" x14ac:dyDescent="0.25">
      <c r="D227" s="18"/>
    </row>
    <row r="228" spans="4:4" x14ac:dyDescent="0.25">
      <c r="D228" s="18"/>
    </row>
    <row r="229" spans="4:4" x14ac:dyDescent="0.25">
      <c r="D229" s="18"/>
    </row>
    <row r="230" spans="4:4" x14ac:dyDescent="0.25">
      <c r="D230" s="18"/>
    </row>
    <row r="231" spans="4:4" x14ac:dyDescent="0.25">
      <c r="D231" s="18"/>
    </row>
    <row r="232" spans="4:4" x14ac:dyDescent="0.25">
      <c r="D232" s="18"/>
    </row>
    <row r="233" spans="4:4" x14ac:dyDescent="0.25">
      <c r="D233" s="18"/>
    </row>
    <row r="234" spans="4:4" x14ac:dyDescent="0.25">
      <c r="D234" s="18"/>
    </row>
    <row r="235" spans="4:4" x14ac:dyDescent="0.25">
      <c r="D235" s="18"/>
    </row>
    <row r="236" spans="4:4" x14ac:dyDescent="0.25">
      <c r="D236" s="18"/>
    </row>
    <row r="237" spans="4:4" x14ac:dyDescent="0.25">
      <c r="D237" s="18"/>
    </row>
    <row r="238" spans="4:4" x14ac:dyDescent="0.25">
      <c r="D238" s="18"/>
    </row>
    <row r="239" spans="4:4" x14ac:dyDescent="0.25">
      <c r="D239" s="18"/>
    </row>
    <row r="240" spans="4:4" x14ac:dyDescent="0.25">
      <c r="D240" s="18"/>
    </row>
    <row r="241" spans="4:4" x14ac:dyDescent="0.25">
      <c r="D241" s="18"/>
    </row>
    <row r="242" spans="4:4" x14ac:dyDescent="0.25">
      <c r="D242" s="18"/>
    </row>
    <row r="243" spans="4:4" x14ac:dyDescent="0.25">
      <c r="D243" s="18"/>
    </row>
    <row r="244" spans="4:4" x14ac:dyDescent="0.25">
      <c r="D244" s="18"/>
    </row>
    <row r="245" spans="4:4" x14ac:dyDescent="0.25">
      <c r="D245" s="18"/>
    </row>
    <row r="246" spans="4:4" x14ac:dyDescent="0.25">
      <c r="D246" s="18"/>
    </row>
    <row r="247" spans="4:4" x14ac:dyDescent="0.25">
      <c r="D247" s="18"/>
    </row>
    <row r="248" spans="4:4" x14ac:dyDescent="0.25">
      <c r="D248" s="18"/>
    </row>
    <row r="249" spans="4:4" x14ac:dyDescent="0.25">
      <c r="D249" s="18"/>
    </row>
    <row r="250" spans="4:4" x14ac:dyDescent="0.25">
      <c r="D250" s="18"/>
    </row>
    <row r="251" spans="4:4" x14ac:dyDescent="0.25">
      <c r="D251" s="18"/>
    </row>
    <row r="252" spans="4:4" x14ac:dyDescent="0.25">
      <c r="D252" s="18"/>
    </row>
    <row r="253" spans="4:4" x14ac:dyDescent="0.25">
      <c r="D253" s="18"/>
    </row>
    <row r="254" spans="4:4" x14ac:dyDescent="0.25">
      <c r="D254" s="18"/>
    </row>
    <row r="255" spans="4:4" x14ac:dyDescent="0.25">
      <c r="D255" s="18"/>
    </row>
    <row r="256" spans="4:4" x14ac:dyDescent="0.25">
      <c r="D256" s="18"/>
    </row>
    <row r="257" spans="4:4" x14ac:dyDescent="0.25">
      <c r="D257" s="18"/>
    </row>
    <row r="258" spans="4:4" x14ac:dyDescent="0.25">
      <c r="D258" s="18"/>
    </row>
    <row r="259" spans="4:4" x14ac:dyDescent="0.25">
      <c r="D259" s="18"/>
    </row>
    <row r="260" spans="4:4" x14ac:dyDescent="0.25">
      <c r="D260" s="18"/>
    </row>
    <row r="261" spans="4:4" x14ac:dyDescent="0.25">
      <c r="D261" s="18"/>
    </row>
    <row r="262" spans="4:4" x14ac:dyDescent="0.25">
      <c r="D262" s="18"/>
    </row>
    <row r="263" spans="4:4" x14ac:dyDescent="0.25">
      <c r="D263" s="18"/>
    </row>
    <row r="264" spans="4:4" x14ac:dyDescent="0.25">
      <c r="D264" s="18"/>
    </row>
    <row r="265" spans="4:4" x14ac:dyDescent="0.25">
      <c r="D265" s="18"/>
    </row>
    <row r="266" spans="4:4" x14ac:dyDescent="0.25">
      <c r="D266" s="18"/>
    </row>
    <row r="267" spans="4:4" x14ac:dyDescent="0.25">
      <c r="D267" s="18"/>
    </row>
    <row r="268" spans="4:4" x14ac:dyDescent="0.25">
      <c r="D268" s="18"/>
    </row>
    <row r="269" spans="4:4" x14ac:dyDescent="0.25">
      <c r="D269" s="18"/>
    </row>
    <row r="270" spans="4:4" x14ac:dyDescent="0.25">
      <c r="D270" s="18"/>
    </row>
    <row r="271" spans="4:4" x14ac:dyDescent="0.25">
      <c r="D271" s="18"/>
    </row>
    <row r="272" spans="4:4" x14ac:dyDescent="0.25">
      <c r="D272" s="18"/>
    </row>
    <row r="273" spans="4:4" x14ac:dyDescent="0.25">
      <c r="D273" s="18"/>
    </row>
    <row r="274" spans="4:4" x14ac:dyDescent="0.25">
      <c r="D274" s="18"/>
    </row>
    <row r="275" spans="4:4" x14ac:dyDescent="0.25">
      <c r="D275" s="18"/>
    </row>
    <row r="276" spans="4:4" x14ac:dyDescent="0.25">
      <c r="D276" s="18"/>
    </row>
    <row r="277" spans="4:4" x14ac:dyDescent="0.25">
      <c r="D277" s="18"/>
    </row>
    <row r="278" spans="4:4" x14ac:dyDescent="0.25">
      <c r="D278" s="18"/>
    </row>
    <row r="279" spans="4:4" x14ac:dyDescent="0.25">
      <c r="D279" s="18"/>
    </row>
    <row r="280" spans="4:4" x14ac:dyDescent="0.25">
      <c r="D280" s="18"/>
    </row>
    <row r="281" spans="4:4" x14ac:dyDescent="0.25">
      <c r="D281" s="18"/>
    </row>
    <row r="282" spans="4:4" x14ac:dyDescent="0.25">
      <c r="D282" s="18"/>
    </row>
    <row r="283" spans="4:4" x14ac:dyDescent="0.25">
      <c r="D283" s="18"/>
    </row>
    <row r="284" spans="4:4" x14ac:dyDescent="0.25">
      <c r="D284" s="18"/>
    </row>
    <row r="285" spans="4:4" x14ac:dyDescent="0.25">
      <c r="D285" s="18"/>
    </row>
    <row r="286" spans="4:4" x14ac:dyDescent="0.25">
      <c r="D286" s="18"/>
    </row>
    <row r="287" spans="4:4" x14ac:dyDescent="0.25">
      <c r="D287" s="18"/>
    </row>
    <row r="288" spans="4:4" x14ac:dyDescent="0.25">
      <c r="D288" s="18"/>
    </row>
    <row r="289" spans="4:4" x14ac:dyDescent="0.25">
      <c r="D289" s="18"/>
    </row>
    <row r="290" spans="4:4" x14ac:dyDescent="0.25">
      <c r="D290" s="18"/>
    </row>
    <row r="291" spans="4:4" x14ac:dyDescent="0.25">
      <c r="D291" s="18"/>
    </row>
    <row r="292" spans="4:4" x14ac:dyDescent="0.25">
      <c r="D292" s="18"/>
    </row>
    <row r="293" spans="4:4" x14ac:dyDescent="0.25">
      <c r="D293" s="18"/>
    </row>
    <row r="294" spans="4:4" x14ac:dyDescent="0.25">
      <c r="D294" s="18"/>
    </row>
    <row r="295" spans="4:4" x14ac:dyDescent="0.25">
      <c r="D295" s="18"/>
    </row>
    <row r="296" spans="4:4" x14ac:dyDescent="0.25">
      <c r="D296" s="18"/>
    </row>
    <row r="297" spans="4:4" x14ac:dyDescent="0.25">
      <c r="D297" s="18"/>
    </row>
    <row r="298" spans="4:4" x14ac:dyDescent="0.25">
      <c r="D298" s="18"/>
    </row>
    <row r="299" spans="4:4" x14ac:dyDescent="0.25">
      <c r="D299" s="18"/>
    </row>
    <row r="300" spans="4:4" x14ac:dyDescent="0.25">
      <c r="D300" s="18"/>
    </row>
    <row r="301" spans="4:4" x14ac:dyDescent="0.25">
      <c r="D301" s="18"/>
    </row>
    <row r="302" spans="4:4" x14ac:dyDescent="0.25">
      <c r="D302" s="18"/>
    </row>
    <row r="303" spans="4:4" x14ac:dyDescent="0.25">
      <c r="D303" s="18"/>
    </row>
    <row r="304" spans="4:4" x14ac:dyDescent="0.25">
      <c r="D304" s="18"/>
    </row>
    <row r="305" spans="4:4" x14ac:dyDescent="0.25">
      <c r="D305" s="18"/>
    </row>
    <row r="306" spans="4:4" x14ac:dyDescent="0.25">
      <c r="D306" s="18"/>
    </row>
    <row r="307" spans="4:4" x14ac:dyDescent="0.25">
      <c r="D307" s="18"/>
    </row>
    <row r="308" spans="4:4" x14ac:dyDescent="0.25">
      <c r="D308" s="18"/>
    </row>
    <row r="309" spans="4:4" x14ac:dyDescent="0.25">
      <c r="D309" s="18"/>
    </row>
    <row r="310" spans="4:4" x14ac:dyDescent="0.25">
      <c r="D310" s="18"/>
    </row>
    <row r="311" spans="4:4" x14ac:dyDescent="0.25">
      <c r="D311" s="18"/>
    </row>
    <row r="312" spans="4:4" x14ac:dyDescent="0.25">
      <c r="D312" s="18"/>
    </row>
    <row r="313" spans="4:4" x14ac:dyDescent="0.25">
      <c r="D313" s="18"/>
    </row>
    <row r="314" spans="4:4" x14ac:dyDescent="0.25">
      <c r="D314" s="18"/>
    </row>
    <row r="315" spans="4:4" x14ac:dyDescent="0.25">
      <c r="D315" s="18"/>
    </row>
    <row r="316" spans="4:4" x14ac:dyDescent="0.25">
      <c r="D316" s="18"/>
    </row>
    <row r="317" spans="4:4" x14ac:dyDescent="0.25">
      <c r="D317" s="18"/>
    </row>
    <row r="318" spans="4:4" x14ac:dyDescent="0.25">
      <c r="D318" s="18"/>
    </row>
    <row r="319" spans="4:4" x14ac:dyDescent="0.25">
      <c r="D319" s="18"/>
    </row>
    <row r="320" spans="4:4" x14ac:dyDescent="0.25">
      <c r="D320" s="18"/>
    </row>
    <row r="321" spans="4:4" x14ac:dyDescent="0.25">
      <c r="D321" s="18"/>
    </row>
    <row r="322" spans="4:4" x14ac:dyDescent="0.25">
      <c r="D322" s="18"/>
    </row>
    <row r="323" spans="4:4" x14ac:dyDescent="0.25">
      <c r="D323" s="18"/>
    </row>
    <row r="324" spans="4:4" x14ac:dyDescent="0.25">
      <c r="D324" s="18"/>
    </row>
    <row r="325" spans="4:4" x14ac:dyDescent="0.25">
      <c r="D325" s="18"/>
    </row>
    <row r="326" spans="4:4" x14ac:dyDescent="0.25">
      <c r="D326" s="18"/>
    </row>
    <row r="327" spans="4:4" x14ac:dyDescent="0.25">
      <c r="D327" s="18"/>
    </row>
    <row r="328" spans="4:4" x14ac:dyDescent="0.25">
      <c r="D328" s="1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23"/>
  <sheetViews>
    <sheetView workbookViewId="0"/>
  </sheetViews>
  <sheetFormatPr defaultRowHeight="15" x14ac:dyDescent="0.25"/>
  <cols>
    <col min="1" max="2" width="11" bestFit="1" customWidth="1"/>
    <col min="3" max="3" width="8.25" bestFit="1" customWidth="1"/>
  </cols>
  <sheetData>
    <row r="1" spans="1:3" x14ac:dyDescent="0.25">
      <c r="A1" t="s">
        <v>299</v>
      </c>
      <c r="B1" t="s">
        <v>300</v>
      </c>
      <c r="C1" t="s">
        <v>312</v>
      </c>
    </row>
    <row r="2" spans="1:3" x14ac:dyDescent="0.25">
      <c r="A2">
        <v>1480437106</v>
      </c>
      <c r="B2">
        <v>1480437135</v>
      </c>
      <c r="C2">
        <v>29</v>
      </c>
    </row>
    <row r="3" spans="1:3" x14ac:dyDescent="0.25">
      <c r="A3">
        <v>1480437135</v>
      </c>
      <c r="B3">
        <v>1480437162</v>
      </c>
      <c r="C3">
        <v>27</v>
      </c>
    </row>
    <row r="4" spans="1:3" x14ac:dyDescent="0.25">
      <c r="A4">
        <v>1480437162</v>
      </c>
      <c r="B4">
        <v>1480437187</v>
      </c>
      <c r="C4">
        <v>25</v>
      </c>
    </row>
    <row r="5" spans="1:3" x14ac:dyDescent="0.25">
      <c r="A5">
        <v>1480437187</v>
      </c>
      <c r="B5">
        <v>1480437214</v>
      </c>
      <c r="C5">
        <v>27</v>
      </c>
    </row>
    <row r="6" spans="1:3" x14ac:dyDescent="0.25">
      <c r="A6">
        <v>1480437214</v>
      </c>
      <c r="B6">
        <v>1480437239</v>
      </c>
      <c r="C6">
        <v>25</v>
      </c>
    </row>
    <row r="7" spans="1:3" x14ac:dyDescent="0.25">
      <c r="A7">
        <v>1480437239</v>
      </c>
      <c r="B7">
        <v>1480437266</v>
      </c>
      <c r="C7">
        <v>27</v>
      </c>
    </row>
    <row r="8" spans="1:3" x14ac:dyDescent="0.25">
      <c r="A8">
        <v>1480437266</v>
      </c>
      <c r="B8">
        <v>1480437294</v>
      </c>
      <c r="C8">
        <v>28</v>
      </c>
    </row>
    <row r="9" spans="1:3" x14ac:dyDescent="0.25">
      <c r="A9">
        <v>1480437294</v>
      </c>
      <c r="B9">
        <v>1480437323</v>
      </c>
      <c r="C9">
        <v>29</v>
      </c>
    </row>
    <row r="10" spans="1:3" x14ac:dyDescent="0.25">
      <c r="A10">
        <v>1480437323</v>
      </c>
      <c r="B10">
        <v>1480437350</v>
      </c>
      <c r="C10">
        <v>27</v>
      </c>
    </row>
    <row r="11" spans="1:3" x14ac:dyDescent="0.25">
      <c r="A11">
        <v>1480437350</v>
      </c>
      <c r="B11">
        <v>1480437379</v>
      </c>
      <c r="C11">
        <v>29</v>
      </c>
    </row>
    <row r="12" spans="1:3" x14ac:dyDescent="0.25">
      <c r="A12">
        <v>1480437379</v>
      </c>
      <c r="B12">
        <v>1480437406</v>
      </c>
      <c r="C12">
        <v>27</v>
      </c>
    </row>
    <row r="13" spans="1:3" x14ac:dyDescent="0.25">
      <c r="A13">
        <v>1480437406</v>
      </c>
      <c r="B13">
        <v>1480437431</v>
      </c>
      <c r="C13">
        <v>25</v>
      </c>
    </row>
    <row r="14" spans="1:3" x14ac:dyDescent="0.25">
      <c r="A14">
        <v>1480437431</v>
      </c>
      <c r="B14">
        <v>1480437458</v>
      </c>
      <c r="C14">
        <v>27</v>
      </c>
    </row>
    <row r="15" spans="1:3" x14ac:dyDescent="0.25">
      <c r="A15">
        <v>1480437458</v>
      </c>
      <c r="B15">
        <v>1480437486</v>
      </c>
      <c r="C15">
        <v>28</v>
      </c>
    </row>
    <row r="16" spans="1:3" x14ac:dyDescent="0.25">
      <c r="A16">
        <v>1480437486</v>
      </c>
      <c r="B16">
        <v>1480437520</v>
      </c>
      <c r="C16">
        <v>34</v>
      </c>
    </row>
    <row r="17" spans="1:3" x14ac:dyDescent="0.25">
      <c r="A17">
        <v>1480437520</v>
      </c>
      <c r="B17">
        <v>1480437548</v>
      </c>
      <c r="C17">
        <v>28</v>
      </c>
    </row>
    <row r="18" spans="1:3" x14ac:dyDescent="0.25">
      <c r="A18">
        <v>1480437548</v>
      </c>
      <c r="B18">
        <v>1480437574</v>
      </c>
      <c r="C18">
        <v>26</v>
      </c>
    </row>
    <row r="19" spans="1:3" x14ac:dyDescent="0.25">
      <c r="A19">
        <v>1480437574</v>
      </c>
      <c r="B19">
        <v>1480437603</v>
      </c>
      <c r="C19">
        <v>29</v>
      </c>
    </row>
    <row r="20" spans="1:3" x14ac:dyDescent="0.25">
      <c r="A20">
        <v>1480437603</v>
      </c>
      <c r="B20">
        <v>1480437631</v>
      </c>
      <c r="C20">
        <v>28</v>
      </c>
    </row>
    <row r="21" spans="1:3" x14ac:dyDescent="0.25">
      <c r="A21">
        <v>1480437631</v>
      </c>
      <c r="B21">
        <v>1480437659</v>
      </c>
      <c r="C21">
        <v>28</v>
      </c>
    </row>
    <row r="22" spans="1:3" x14ac:dyDescent="0.25">
      <c r="A22">
        <v>1480437659</v>
      </c>
      <c r="B22">
        <v>1480437687</v>
      </c>
      <c r="C22">
        <v>28</v>
      </c>
    </row>
    <row r="23" spans="1:3" x14ac:dyDescent="0.25">
      <c r="A23">
        <v>1480437687</v>
      </c>
      <c r="B23">
        <v>1480437713</v>
      </c>
      <c r="C23">
        <v>26</v>
      </c>
    </row>
    <row r="24" spans="1:3" x14ac:dyDescent="0.25">
      <c r="A24">
        <v>1480437713</v>
      </c>
      <c r="B24">
        <v>1480437740</v>
      </c>
      <c r="C24">
        <v>27</v>
      </c>
    </row>
    <row r="25" spans="1:3" x14ac:dyDescent="0.25">
      <c r="A25">
        <v>1480437740</v>
      </c>
      <c r="B25">
        <v>1480437767</v>
      </c>
      <c r="C25">
        <v>27</v>
      </c>
    </row>
    <row r="26" spans="1:3" x14ac:dyDescent="0.25">
      <c r="A26">
        <v>1480437767</v>
      </c>
      <c r="B26">
        <v>1480437792</v>
      </c>
      <c r="C26">
        <v>25</v>
      </c>
    </row>
    <row r="27" spans="1:3" x14ac:dyDescent="0.25">
      <c r="A27">
        <v>1480437792</v>
      </c>
      <c r="B27">
        <v>1480437820</v>
      </c>
      <c r="C27">
        <v>28</v>
      </c>
    </row>
    <row r="28" spans="1:3" x14ac:dyDescent="0.25">
      <c r="A28">
        <v>1480437820</v>
      </c>
      <c r="B28">
        <v>1480437847</v>
      </c>
      <c r="C28">
        <v>27</v>
      </c>
    </row>
    <row r="29" spans="1:3" x14ac:dyDescent="0.25">
      <c r="A29">
        <v>1480437847</v>
      </c>
      <c r="B29">
        <v>1480437875</v>
      </c>
      <c r="C29">
        <v>28</v>
      </c>
    </row>
    <row r="30" spans="1:3" x14ac:dyDescent="0.25">
      <c r="A30">
        <v>1480437875</v>
      </c>
      <c r="B30">
        <v>1480437903</v>
      </c>
      <c r="C30">
        <v>28</v>
      </c>
    </row>
    <row r="31" spans="1:3" x14ac:dyDescent="0.25">
      <c r="A31">
        <v>1480437903</v>
      </c>
      <c r="B31">
        <v>1480437929</v>
      </c>
      <c r="C31">
        <v>26</v>
      </c>
    </row>
    <row r="32" spans="1:3" x14ac:dyDescent="0.25">
      <c r="A32">
        <v>1480437929</v>
      </c>
      <c r="B32">
        <v>1480437958</v>
      </c>
      <c r="C32">
        <v>29</v>
      </c>
    </row>
    <row r="33" spans="1:3" x14ac:dyDescent="0.25">
      <c r="A33">
        <v>1480437958</v>
      </c>
      <c r="B33">
        <v>1480437986</v>
      </c>
      <c r="C33">
        <v>28</v>
      </c>
    </row>
    <row r="34" spans="1:3" x14ac:dyDescent="0.25">
      <c r="A34">
        <v>1480437986</v>
      </c>
      <c r="B34">
        <v>1480438017</v>
      </c>
      <c r="C34">
        <v>31</v>
      </c>
    </row>
    <row r="35" spans="1:3" x14ac:dyDescent="0.25">
      <c r="A35">
        <v>1480438017</v>
      </c>
      <c r="B35">
        <v>1480438045</v>
      </c>
      <c r="C35">
        <v>28</v>
      </c>
    </row>
    <row r="36" spans="1:3" x14ac:dyDescent="0.25">
      <c r="A36">
        <v>1480438045</v>
      </c>
      <c r="B36">
        <v>1480438078</v>
      </c>
      <c r="C36">
        <v>33</v>
      </c>
    </row>
    <row r="37" spans="1:3" x14ac:dyDescent="0.25">
      <c r="A37">
        <v>1480438078</v>
      </c>
      <c r="B37">
        <v>1480438107</v>
      </c>
      <c r="C37">
        <v>29</v>
      </c>
    </row>
    <row r="38" spans="1:3" x14ac:dyDescent="0.25">
      <c r="A38">
        <v>1480438107</v>
      </c>
      <c r="B38">
        <v>1480438135</v>
      </c>
      <c r="C38">
        <v>28</v>
      </c>
    </row>
    <row r="39" spans="1:3" x14ac:dyDescent="0.25">
      <c r="A39">
        <v>1480438135</v>
      </c>
      <c r="B39">
        <v>1480438162</v>
      </c>
      <c r="C39">
        <v>27</v>
      </c>
    </row>
    <row r="40" spans="1:3" x14ac:dyDescent="0.25">
      <c r="A40">
        <v>1480438162</v>
      </c>
      <c r="B40">
        <v>1480438191</v>
      </c>
      <c r="C40">
        <v>29</v>
      </c>
    </row>
    <row r="41" spans="1:3" x14ac:dyDescent="0.25">
      <c r="A41">
        <v>1480438191</v>
      </c>
      <c r="B41">
        <v>1480438220</v>
      </c>
      <c r="C41">
        <v>29</v>
      </c>
    </row>
    <row r="42" spans="1:3" x14ac:dyDescent="0.25">
      <c r="A42">
        <v>1480438220</v>
      </c>
      <c r="B42">
        <v>1480438247</v>
      </c>
      <c r="C42">
        <v>27</v>
      </c>
    </row>
    <row r="43" spans="1:3" x14ac:dyDescent="0.25">
      <c r="A43">
        <v>1480438247</v>
      </c>
      <c r="B43">
        <v>1480438276</v>
      </c>
      <c r="C43">
        <v>29</v>
      </c>
    </row>
    <row r="44" spans="1:3" x14ac:dyDescent="0.25">
      <c r="A44">
        <v>1480438276</v>
      </c>
      <c r="B44">
        <v>1480438306</v>
      </c>
      <c r="C44">
        <v>30</v>
      </c>
    </row>
    <row r="45" spans="1:3" x14ac:dyDescent="0.25">
      <c r="A45">
        <v>1480438306</v>
      </c>
      <c r="B45">
        <v>1480438338</v>
      </c>
      <c r="C45">
        <v>32</v>
      </c>
    </row>
    <row r="46" spans="1:3" x14ac:dyDescent="0.25">
      <c r="A46">
        <v>1480438338</v>
      </c>
      <c r="B46">
        <v>1480438365</v>
      </c>
      <c r="C46">
        <v>27</v>
      </c>
    </row>
    <row r="47" spans="1:3" x14ac:dyDescent="0.25">
      <c r="A47">
        <v>1480438365</v>
      </c>
      <c r="B47">
        <v>1480438392</v>
      </c>
      <c r="C47">
        <v>27</v>
      </c>
    </row>
    <row r="48" spans="1:3" x14ac:dyDescent="0.25">
      <c r="A48">
        <v>1480438392</v>
      </c>
      <c r="B48">
        <v>1480438420</v>
      </c>
      <c r="C48">
        <v>28</v>
      </c>
    </row>
    <row r="49" spans="1:3" x14ac:dyDescent="0.25">
      <c r="A49">
        <v>1480438420</v>
      </c>
      <c r="B49">
        <v>1480438448</v>
      </c>
      <c r="C49">
        <v>28</v>
      </c>
    </row>
    <row r="50" spans="1:3" x14ac:dyDescent="0.25">
      <c r="A50">
        <v>1480438448</v>
      </c>
      <c r="B50">
        <v>1480438476</v>
      </c>
      <c r="C50">
        <v>28</v>
      </c>
    </row>
    <row r="51" spans="1:3" x14ac:dyDescent="0.25">
      <c r="A51">
        <v>1480438476</v>
      </c>
      <c r="B51">
        <v>1480438503</v>
      </c>
      <c r="C51">
        <v>27</v>
      </c>
    </row>
    <row r="52" spans="1:3" x14ac:dyDescent="0.25">
      <c r="A52">
        <v>1480438503</v>
      </c>
      <c r="B52">
        <v>1480438533</v>
      </c>
      <c r="C52">
        <v>30</v>
      </c>
    </row>
    <row r="53" spans="1:3" x14ac:dyDescent="0.25">
      <c r="A53">
        <v>1480438533</v>
      </c>
      <c r="B53">
        <v>1480438565</v>
      </c>
      <c r="C53">
        <v>32</v>
      </c>
    </row>
    <row r="54" spans="1:3" x14ac:dyDescent="0.25">
      <c r="A54">
        <v>1480438565</v>
      </c>
      <c r="B54">
        <v>1480438595</v>
      </c>
      <c r="C54">
        <v>30</v>
      </c>
    </row>
    <row r="55" spans="1:3" x14ac:dyDescent="0.25">
      <c r="A55">
        <v>1480438595</v>
      </c>
      <c r="B55">
        <v>1480438628</v>
      </c>
      <c r="C55">
        <v>33</v>
      </c>
    </row>
    <row r="56" spans="1:3" x14ac:dyDescent="0.25">
      <c r="A56">
        <v>1480438628</v>
      </c>
      <c r="B56">
        <v>1480438656</v>
      </c>
      <c r="C56">
        <v>28</v>
      </c>
    </row>
    <row r="57" spans="1:3" x14ac:dyDescent="0.25">
      <c r="A57">
        <v>1480438656</v>
      </c>
      <c r="B57">
        <v>1480438690</v>
      </c>
      <c r="C57">
        <v>34</v>
      </c>
    </row>
    <row r="58" spans="1:3" x14ac:dyDescent="0.25">
      <c r="A58">
        <v>1480438690</v>
      </c>
      <c r="B58">
        <v>1480438718</v>
      </c>
      <c r="C58">
        <v>28</v>
      </c>
    </row>
    <row r="59" spans="1:3" x14ac:dyDescent="0.25">
      <c r="A59">
        <v>1480438718</v>
      </c>
      <c r="B59">
        <v>1480438749</v>
      </c>
      <c r="C59">
        <v>31</v>
      </c>
    </row>
    <row r="60" spans="1:3" x14ac:dyDescent="0.25">
      <c r="A60">
        <v>1480438749</v>
      </c>
      <c r="B60">
        <v>1480438782</v>
      </c>
      <c r="C60">
        <v>33</v>
      </c>
    </row>
    <row r="61" spans="1:3" x14ac:dyDescent="0.25">
      <c r="A61">
        <v>1480438782</v>
      </c>
      <c r="B61">
        <v>1480438811</v>
      </c>
      <c r="C61">
        <v>29</v>
      </c>
    </row>
    <row r="62" spans="1:3" x14ac:dyDescent="0.25">
      <c r="A62">
        <v>1480438811</v>
      </c>
      <c r="B62">
        <v>1480438840</v>
      </c>
      <c r="C62">
        <v>29</v>
      </c>
    </row>
    <row r="63" spans="1:3" x14ac:dyDescent="0.25">
      <c r="A63">
        <v>1480438840</v>
      </c>
      <c r="B63">
        <v>1480438871</v>
      </c>
      <c r="C63">
        <v>31</v>
      </c>
    </row>
    <row r="64" spans="1:3" x14ac:dyDescent="0.25">
      <c r="A64">
        <v>1480438871</v>
      </c>
      <c r="B64">
        <v>1480438900</v>
      </c>
      <c r="C64">
        <v>29</v>
      </c>
    </row>
    <row r="65" spans="1:3" x14ac:dyDescent="0.25">
      <c r="A65">
        <v>1480438900</v>
      </c>
      <c r="B65">
        <v>1480438927</v>
      </c>
      <c r="C65">
        <v>27</v>
      </c>
    </row>
    <row r="66" spans="1:3" x14ac:dyDescent="0.25">
      <c r="A66">
        <v>1480438927</v>
      </c>
      <c r="B66">
        <v>1480438956</v>
      </c>
      <c r="C66">
        <v>29</v>
      </c>
    </row>
    <row r="67" spans="1:3" x14ac:dyDescent="0.25">
      <c r="A67">
        <v>1480438956</v>
      </c>
      <c r="B67">
        <v>1480438984</v>
      </c>
      <c r="C67">
        <v>28</v>
      </c>
    </row>
    <row r="68" spans="1:3" x14ac:dyDescent="0.25">
      <c r="A68">
        <v>1480438984</v>
      </c>
      <c r="B68">
        <v>1480439015</v>
      </c>
      <c r="C68">
        <v>31</v>
      </c>
    </row>
    <row r="69" spans="1:3" x14ac:dyDescent="0.25">
      <c r="A69">
        <v>1480439015</v>
      </c>
      <c r="B69">
        <v>1480439045</v>
      </c>
      <c r="C69">
        <v>30</v>
      </c>
    </row>
    <row r="70" spans="1:3" x14ac:dyDescent="0.25">
      <c r="A70">
        <v>1480439045</v>
      </c>
      <c r="B70">
        <v>1480439074</v>
      </c>
      <c r="C70">
        <v>29</v>
      </c>
    </row>
    <row r="71" spans="1:3" x14ac:dyDescent="0.25">
      <c r="A71">
        <v>1480439074</v>
      </c>
      <c r="B71">
        <v>1480439100</v>
      </c>
      <c r="C71">
        <v>26</v>
      </c>
    </row>
    <row r="72" spans="1:3" x14ac:dyDescent="0.25">
      <c r="A72">
        <v>1480439100</v>
      </c>
      <c r="B72">
        <v>1480439127</v>
      </c>
      <c r="C72">
        <v>27</v>
      </c>
    </row>
    <row r="73" spans="1:3" x14ac:dyDescent="0.25">
      <c r="A73">
        <v>1480439127</v>
      </c>
      <c r="B73">
        <v>1480439157</v>
      </c>
      <c r="C73">
        <v>30</v>
      </c>
    </row>
    <row r="74" spans="1:3" x14ac:dyDescent="0.25">
      <c r="A74">
        <v>1480439157</v>
      </c>
      <c r="B74">
        <v>1480439185</v>
      </c>
      <c r="C74">
        <v>28</v>
      </c>
    </row>
    <row r="75" spans="1:3" x14ac:dyDescent="0.25">
      <c r="A75">
        <v>1480439185</v>
      </c>
      <c r="B75">
        <v>1480439214</v>
      </c>
      <c r="C75">
        <v>29</v>
      </c>
    </row>
    <row r="76" spans="1:3" x14ac:dyDescent="0.25">
      <c r="A76">
        <v>1480439214</v>
      </c>
      <c r="B76">
        <v>1480439244</v>
      </c>
      <c r="C76">
        <v>30</v>
      </c>
    </row>
    <row r="77" spans="1:3" x14ac:dyDescent="0.25">
      <c r="A77">
        <v>1480439244</v>
      </c>
      <c r="B77">
        <v>1480439278</v>
      </c>
      <c r="C77">
        <v>34</v>
      </c>
    </row>
    <row r="78" spans="1:3" x14ac:dyDescent="0.25">
      <c r="A78">
        <v>1480439278</v>
      </c>
      <c r="B78">
        <v>1480439308</v>
      </c>
      <c r="C78">
        <v>30</v>
      </c>
    </row>
    <row r="79" spans="1:3" x14ac:dyDescent="0.25">
      <c r="A79">
        <v>1480439308</v>
      </c>
      <c r="B79">
        <v>1480439338</v>
      </c>
      <c r="C79">
        <v>30</v>
      </c>
    </row>
    <row r="80" spans="1:3" x14ac:dyDescent="0.25">
      <c r="A80">
        <v>1480439338</v>
      </c>
      <c r="B80">
        <v>1480439368</v>
      </c>
      <c r="C80">
        <v>30</v>
      </c>
    </row>
    <row r="81" spans="1:3" x14ac:dyDescent="0.25">
      <c r="A81">
        <v>1480439368</v>
      </c>
      <c r="B81">
        <v>1480439397</v>
      </c>
      <c r="C81">
        <v>29</v>
      </c>
    </row>
    <row r="82" spans="1:3" x14ac:dyDescent="0.25">
      <c r="A82">
        <v>1480439397</v>
      </c>
      <c r="B82">
        <v>1480439425</v>
      </c>
      <c r="C82">
        <v>28</v>
      </c>
    </row>
    <row r="83" spans="1:3" x14ac:dyDescent="0.25">
      <c r="A83">
        <v>1480439425</v>
      </c>
      <c r="B83">
        <v>1480439455</v>
      </c>
      <c r="C83">
        <v>30</v>
      </c>
    </row>
    <row r="84" spans="1:3" x14ac:dyDescent="0.25">
      <c r="A84">
        <v>1480439455</v>
      </c>
      <c r="B84">
        <v>1480439486</v>
      </c>
      <c r="C84">
        <v>31</v>
      </c>
    </row>
    <row r="85" spans="1:3" x14ac:dyDescent="0.25">
      <c r="A85">
        <v>1480439486</v>
      </c>
      <c r="B85">
        <v>1480439514</v>
      </c>
      <c r="C85">
        <v>28</v>
      </c>
    </row>
    <row r="86" spans="1:3" x14ac:dyDescent="0.25">
      <c r="A86">
        <v>1480439514</v>
      </c>
      <c r="B86">
        <v>1480439542</v>
      </c>
      <c r="C86">
        <v>28</v>
      </c>
    </row>
    <row r="87" spans="1:3" x14ac:dyDescent="0.25">
      <c r="A87">
        <v>1480439542</v>
      </c>
      <c r="B87">
        <v>1480439570</v>
      </c>
      <c r="C87">
        <v>28</v>
      </c>
    </row>
    <row r="88" spans="1:3" x14ac:dyDescent="0.25">
      <c r="A88">
        <v>1480439570</v>
      </c>
      <c r="B88">
        <v>1480439597</v>
      </c>
      <c r="C88">
        <v>27</v>
      </c>
    </row>
    <row r="89" spans="1:3" x14ac:dyDescent="0.25">
      <c r="A89">
        <v>1480439597</v>
      </c>
      <c r="B89">
        <v>1480439625</v>
      </c>
      <c r="C89">
        <v>28</v>
      </c>
    </row>
    <row r="90" spans="1:3" x14ac:dyDescent="0.25">
      <c r="A90">
        <v>1480439625</v>
      </c>
      <c r="B90">
        <v>1480439655</v>
      </c>
      <c r="C90">
        <v>30</v>
      </c>
    </row>
    <row r="91" spans="1:3" x14ac:dyDescent="0.25">
      <c r="A91">
        <v>1480439655</v>
      </c>
      <c r="B91">
        <v>1480439682</v>
      </c>
      <c r="C91">
        <v>27</v>
      </c>
    </row>
    <row r="92" spans="1:3" x14ac:dyDescent="0.25">
      <c r="A92">
        <v>1480439682</v>
      </c>
      <c r="B92">
        <v>1480439715</v>
      </c>
      <c r="C92">
        <v>33</v>
      </c>
    </row>
    <row r="93" spans="1:3" x14ac:dyDescent="0.25">
      <c r="A93">
        <v>1480439715</v>
      </c>
      <c r="B93">
        <v>1480439744</v>
      </c>
      <c r="C93">
        <v>29</v>
      </c>
    </row>
    <row r="94" spans="1:3" x14ac:dyDescent="0.25">
      <c r="A94">
        <v>1480439744</v>
      </c>
      <c r="B94">
        <v>1480439774</v>
      </c>
      <c r="C94">
        <v>30</v>
      </c>
    </row>
    <row r="95" spans="1:3" x14ac:dyDescent="0.25">
      <c r="A95">
        <v>1480439774</v>
      </c>
      <c r="B95">
        <v>1480439805</v>
      </c>
      <c r="C95">
        <v>31</v>
      </c>
    </row>
    <row r="96" spans="1:3" x14ac:dyDescent="0.25">
      <c r="A96">
        <v>1480439805</v>
      </c>
      <c r="B96">
        <v>1480439836</v>
      </c>
      <c r="C96">
        <v>31</v>
      </c>
    </row>
    <row r="97" spans="1:3" x14ac:dyDescent="0.25">
      <c r="A97">
        <v>1480439836</v>
      </c>
      <c r="B97">
        <v>1480439868</v>
      </c>
      <c r="C97">
        <v>32</v>
      </c>
    </row>
    <row r="98" spans="1:3" x14ac:dyDescent="0.25">
      <c r="A98">
        <v>1480439868</v>
      </c>
      <c r="B98">
        <v>1480439902</v>
      </c>
      <c r="C98">
        <v>34</v>
      </c>
    </row>
    <row r="99" spans="1:3" x14ac:dyDescent="0.25">
      <c r="A99">
        <v>1480439902</v>
      </c>
      <c r="B99">
        <v>1480439934</v>
      </c>
      <c r="C99">
        <v>32</v>
      </c>
    </row>
    <row r="100" spans="1:3" x14ac:dyDescent="0.25">
      <c r="A100">
        <v>1480439934</v>
      </c>
      <c r="B100">
        <v>1480439965</v>
      </c>
      <c r="C100">
        <v>31</v>
      </c>
    </row>
    <row r="101" spans="1:3" x14ac:dyDescent="0.25">
      <c r="A101">
        <v>1480439965</v>
      </c>
      <c r="B101">
        <v>1480439999</v>
      </c>
      <c r="C101">
        <v>34</v>
      </c>
    </row>
    <row r="102" spans="1:3" x14ac:dyDescent="0.25">
      <c r="A102">
        <v>1480439999</v>
      </c>
      <c r="B102">
        <v>1480440030</v>
      </c>
      <c r="C102">
        <v>31</v>
      </c>
    </row>
    <row r="103" spans="1:3" x14ac:dyDescent="0.25">
      <c r="A103">
        <v>1480440030</v>
      </c>
      <c r="B103">
        <v>1480440063</v>
      </c>
      <c r="C103">
        <v>33</v>
      </c>
    </row>
    <row r="104" spans="1:3" x14ac:dyDescent="0.25">
      <c r="A104">
        <v>1480440063</v>
      </c>
      <c r="B104">
        <v>1480440092</v>
      </c>
      <c r="C104">
        <v>29</v>
      </c>
    </row>
    <row r="105" spans="1:3" x14ac:dyDescent="0.25">
      <c r="A105">
        <v>1480440092</v>
      </c>
      <c r="B105">
        <v>1480440128</v>
      </c>
      <c r="C105">
        <v>36</v>
      </c>
    </row>
    <row r="106" spans="1:3" x14ac:dyDescent="0.25">
      <c r="A106">
        <v>1480440128</v>
      </c>
      <c r="B106">
        <v>1480440158</v>
      </c>
      <c r="C106">
        <v>30</v>
      </c>
    </row>
    <row r="107" spans="1:3" x14ac:dyDescent="0.25">
      <c r="A107">
        <v>1480440158</v>
      </c>
      <c r="B107">
        <v>1480440189</v>
      </c>
      <c r="C107">
        <v>31</v>
      </c>
    </row>
    <row r="108" spans="1:3" x14ac:dyDescent="0.25">
      <c r="A108">
        <v>1480440189</v>
      </c>
      <c r="B108">
        <v>1480440224</v>
      </c>
      <c r="C108">
        <v>35</v>
      </c>
    </row>
    <row r="109" spans="1:3" x14ac:dyDescent="0.25">
      <c r="A109">
        <v>1480440224</v>
      </c>
      <c r="B109">
        <v>1480440254</v>
      </c>
      <c r="C109">
        <v>30</v>
      </c>
    </row>
    <row r="110" spans="1:3" x14ac:dyDescent="0.25">
      <c r="A110">
        <v>1480440254</v>
      </c>
      <c r="B110">
        <v>1480440286</v>
      </c>
      <c r="C110">
        <v>32</v>
      </c>
    </row>
    <row r="111" spans="1:3" x14ac:dyDescent="0.25">
      <c r="A111">
        <v>1480440286</v>
      </c>
      <c r="B111">
        <v>1480440319</v>
      </c>
      <c r="C111">
        <v>33</v>
      </c>
    </row>
    <row r="112" spans="1:3" x14ac:dyDescent="0.25">
      <c r="A112">
        <v>1480440319</v>
      </c>
      <c r="B112">
        <v>1480440349</v>
      </c>
      <c r="C112">
        <v>30</v>
      </c>
    </row>
    <row r="113" spans="1:3" x14ac:dyDescent="0.25">
      <c r="A113">
        <v>1480440349</v>
      </c>
      <c r="B113">
        <v>1480440380</v>
      </c>
      <c r="C113">
        <v>31</v>
      </c>
    </row>
    <row r="114" spans="1:3" x14ac:dyDescent="0.25">
      <c r="A114">
        <v>1480440380</v>
      </c>
      <c r="B114">
        <v>1480440411</v>
      </c>
      <c r="C114">
        <v>31</v>
      </c>
    </row>
    <row r="115" spans="1:3" x14ac:dyDescent="0.25">
      <c r="A115">
        <v>1480440411</v>
      </c>
      <c r="B115">
        <v>1480440442</v>
      </c>
      <c r="C115">
        <v>31</v>
      </c>
    </row>
    <row r="116" spans="1:3" x14ac:dyDescent="0.25">
      <c r="A116">
        <v>1480440442</v>
      </c>
      <c r="B116">
        <v>1480440474</v>
      </c>
      <c r="C116">
        <v>32</v>
      </c>
    </row>
    <row r="117" spans="1:3" x14ac:dyDescent="0.25">
      <c r="A117">
        <v>1480440474</v>
      </c>
      <c r="B117">
        <v>1480440505</v>
      </c>
      <c r="C117">
        <v>31</v>
      </c>
    </row>
    <row r="118" spans="1:3" x14ac:dyDescent="0.25">
      <c r="A118">
        <v>1480440505</v>
      </c>
      <c r="B118">
        <v>1480440535</v>
      </c>
      <c r="C118">
        <v>30</v>
      </c>
    </row>
    <row r="119" spans="1:3" x14ac:dyDescent="0.25">
      <c r="A119">
        <v>1480440535</v>
      </c>
      <c r="B119">
        <v>1480440567</v>
      </c>
      <c r="C119">
        <v>32</v>
      </c>
    </row>
    <row r="120" spans="1:3" x14ac:dyDescent="0.25">
      <c r="A120">
        <v>1480440567</v>
      </c>
      <c r="B120">
        <v>1480440598</v>
      </c>
      <c r="C120">
        <v>31</v>
      </c>
    </row>
    <row r="121" spans="1:3" x14ac:dyDescent="0.25">
      <c r="A121">
        <v>1480440598</v>
      </c>
      <c r="B121">
        <v>1480440630</v>
      </c>
      <c r="C121">
        <v>32</v>
      </c>
    </row>
    <row r="122" spans="1:3" x14ac:dyDescent="0.25">
      <c r="A122">
        <v>1480440630</v>
      </c>
      <c r="B122">
        <v>1480440662</v>
      </c>
      <c r="C122">
        <v>32</v>
      </c>
    </row>
    <row r="123" spans="1:3" x14ac:dyDescent="0.25">
      <c r="A123">
        <v>1480440662</v>
      </c>
      <c r="B123">
        <v>1480440695</v>
      </c>
      <c r="C123">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__snloffice</vt:lpstr>
      <vt:lpstr>Variables</vt:lpstr>
      <vt:lpstr>Progress</vt:lpstr>
      <vt:lpstr>SchD_1A_1</vt:lpstr>
      <vt:lpstr>Tear_Sheet</vt:lpstr>
      <vt:lpstr>OLD_MPL</vt:lpstr>
      <vt:lpstr>TEST_MPL2</vt:lpstr>
      <vt:lpstr>Flattened_Value_Staging</vt:lpstr>
      <vt:lpstr>Financials</vt:lpstr>
      <vt:lpstr>Prospect_List</vt:lpstr>
      <vt:lpstr>SchBA</vt:lpstr>
      <vt:lpstr>Single_Data</vt:lpstr>
      <vt:lpstr>___snlofficequeries</vt:lpstr>
      <vt:lpstr>__queryref</vt:lpstr>
      <vt:lpstr>Companies</vt:lpstr>
      <vt:lpstr>RunTimes</vt:lpstr>
      <vt:lpstr>AUM_THRESHOLD</vt:lpstr>
      <vt:lpstr>COMPANY_GENERAL</vt:lpstr>
      <vt:lpstr>COMPANY_NAME</vt:lpstr>
      <vt:lpstr>FILER_TYPE</vt:lpstr>
      <vt:lpstr>FLAT_VALUE_STAGE</vt:lpstr>
      <vt:lpstr>HEALTH_BOOL</vt:lpstr>
      <vt:lpstr>INSTITUTION_KEY</vt:lpstr>
      <vt:lpstr>LIFE_BOOL</vt:lpstr>
      <vt:lpstr>LINE_TYPE</vt:lpstr>
      <vt:lpstr>PC_BOOL</vt:lpstr>
      <vt:lpstr>STAT_KEY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Insurance AUM</dc:creator>
  <cp:lastModifiedBy>Charles Black</cp:lastModifiedBy>
  <cp:lastPrinted>2016-11-29T21:08:55Z</cp:lastPrinted>
  <dcterms:created xsi:type="dcterms:W3CDTF">2016-11-01T22:29:12Z</dcterms:created>
  <dcterms:modified xsi:type="dcterms:W3CDTF">2016-12-01T00:07:51Z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{098159E0-72F0-4CF9-A803-7D5D6386590D}</vt:lpwstr>
  </property>
</Properties>
</file>